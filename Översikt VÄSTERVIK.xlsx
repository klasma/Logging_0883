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46078</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46078</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46078</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46078</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46078</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46078</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46078</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46078</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46078</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46078</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46078</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46078</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46078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46078</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46078</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26281-2024</t>
        </is>
      </c>
      <c r="B19" s="1" t="n">
        <v>45468</v>
      </c>
      <c r="C19" s="1" t="n">
        <v>46078</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46078</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46078</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14121-2025</t>
        </is>
      </c>
      <c r="B22" s="1" t="n">
        <v>45740.46803240741</v>
      </c>
      <c r="C22" s="1" t="n">
        <v>46078</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1773-2025</t>
        </is>
      </c>
      <c r="B23" s="1" t="n">
        <v>45671</v>
      </c>
      <c r="C23" s="1" t="n">
        <v>46078</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56162-2025</t>
        </is>
      </c>
      <c r="B24" s="1" t="n">
        <v>45974</v>
      </c>
      <c r="C24" s="1" t="n">
        <v>46078</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51234-2025</t>
        </is>
      </c>
      <c r="B25" s="1" t="n">
        <v>45947</v>
      </c>
      <c r="C25" s="1" t="n">
        <v>46078</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56001-2025</t>
        </is>
      </c>
      <c r="B26" s="1" t="n">
        <v>45973</v>
      </c>
      <c r="C26" s="1" t="n">
        <v>46078</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34624-2022</t>
        </is>
      </c>
      <c r="B27" s="1" t="n">
        <v>44795</v>
      </c>
      <c r="C27" s="1" t="n">
        <v>46078</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46078</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63850-2021</t>
        </is>
      </c>
      <c r="B29" s="1" t="n">
        <v>44505</v>
      </c>
      <c r="C29" s="1" t="n">
        <v>46078</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31082-2024</t>
        </is>
      </c>
      <c r="B30" s="1" t="n">
        <v>45502</v>
      </c>
      <c r="C30" s="1" t="n">
        <v>46078</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46078</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24839-2025</t>
        </is>
      </c>
      <c r="B32" s="1" t="n">
        <v>45799.4640625</v>
      </c>
      <c r="C32" s="1" t="n">
        <v>46078</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46078</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34638-2025</t>
        </is>
      </c>
      <c r="B34" s="1" t="n">
        <v>45848.30584490741</v>
      </c>
      <c r="C34" s="1" t="n">
        <v>46078</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46078</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46078</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46078</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46078</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71188-2021</t>
        </is>
      </c>
      <c r="B39" s="1" t="n">
        <v>44539</v>
      </c>
      <c r="C39" s="1" t="n">
        <v>46078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46078</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46078</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46078</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46078</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46078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46078</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46078</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46078</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46078</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46078</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46078</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46078</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46078</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12335-2025</t>
        </is>
      </c>
      <c r="B54" s="1" t="n">
        <v>45730</v>
      </c>
      <c r="C54" s="1" t="n">
        <v>46078</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49412-2025</t>
        </is>
      </c>
      <c r="B55" s="1" t="n">
        <v>45938.68405092593</v>
      </c>
      <c r="C55" s="1" t="n">
        <v>46078</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58927-2022</t>
        </is>
      </c>
      <c r="B56" s="1" t="n">
        <v>44896</v>
      </c>
      <c r="C56" s="1" t="n">
        <v>46078</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55518-2025</t>
        </is>
      </c>
      <c r="B57" s="1" t="n">
        <v>45971.60497685185</v>
      </c>
      <c r="C57" s="1" t="n">
        <v>46078</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46078</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58378-2025</t>
        </is>
      </c>
      <c r="B59" s="1" t="n">
        <v>45985.53541666667</v>
      </c>
      <c r="C59" s="1" t="n">
        <v>46078</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46078</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48724-2024</t>
        </is>
      </c>
      <c r="B61" s="1" t="n">
        <v>45593.55731481482</v>
      </c>
      <c r="C61" s="1" t="n">
        <v>46078</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27737-2024</t>
        </is>
      </c>
      <c r="B62" s="1" t="n">
        <v>45475</v>
      </c>
      <c r="C62" s="1" t="n">
        <v>46078</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54334-2024</t>
        </is>
      </c>
      <c r="B63" s="1" t="n">
        <v>45617.38247685185</v>
      </c>
      <c r="C63" s="1" t="n">
        <v>46078</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1779-2025</t>
        </is>
      </c>
      <c r="B64" s="1" t="n">
        <v>45671</v>
      </c>
      <c r="C64" s="1" t="n">
        <v>46078</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58727-2024</t>
        </is>
      </c>
      <c r="B65" s="1" t="n">
        <v>45635</v>
      </c>
      <c r="C65" s="1" t="n">
        <v>46078</v>
      </c>
      <c r="D65" t="inlineStr">
        <is>
          <t>KALMAR LÄN</t>
        </is>
      </c>
      <c r="E65" t="inlineStr">
        <is>
          <t>VÄSTERVIK</t>
        </is>
      </c>
      <c r="F65" t="inlineStr">
        <is>
          <t>Holmen skog AB</t>
        </is>
      </c>
      <c r="G65" t="n">
        <v>2.8</v>
      </c>
      <c r="H65" t="n">
        <v>4</v>
      </c>
      <c r="I65" t="n">
        <v>1</v>
      </c>
      <c r="J65" t="n">
        <v>4</v>
      </c>
      <c r="K65" t="n">
        <v>0</v>
      </c>
      <c r="L65" t="n">
        <v>0</v>
      </c>
      <c r="M65" t="n">
        <v>0</v>
      </c>
      <c r="N65" t="n">
        <v>0</v>
      </c>
      <c r="O65" t="n">
        <v>4</v>
      </c>
      <c r="P65" t="n">
        <v>0</v>
      </c>
      <c r="Q65" t="n">
        <v>5</v>
      </c>
      <c r="R65" s="2" t="inlineStr">
        <is>
          <t>Entita
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27727-2024</t>
        </is>
      </c>
      <c r="B66" s="1" t="n">
        <v>45475</v>
      </c>
      <c r="C66" s="1" t="n">
        <v>46078</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60670-2025</t>
        </is>
      </c>
      <c r="B67" s="1" t="n">
        <v>45996.52921296296</v>
      </c>
      <c r="C67" s="1" t="n">
        <v>46078</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51923-2022</t>
        </is>
      </c>
      <c r="B68" s="1" t="n">
        <v>44868</v>
      </c>
      <c r="C68" s="1" t="n">
        <v>46078</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46078</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46078</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46078</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46078</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35214-2025</t>
        </is>
      </c>
      <c r="B73" s="1" t="n">
        <v>45853.47163194444</v>
      </c>
      <c r="C73" s="1" t="n">
        <v>46078</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41312-2025</t>
        </is>
      </c>
      <c r="B74" s="1" t="n">
        <v>45898.80314814814</v>
      </c>
      <c r="C74" s="1" t="n">
        <v>46078</v>
      </c>
      <c r="D74" t="inlineStr">
        <is>
          <t>KALMAR LÄN</t>
        </is>
      </c>
      <c r="E74" t="inlineStr">
        <is>
          <t>VÄSTERVIK</t>
        </is>
      </c>
      <c r="G74" t="n">
        <v>0.8</v>
      </c>
      <c r="H74" t="n">
        <v>2</v>
      </c>
      <c r="I74" t="n">
        <v>2</v>
      </c>
      <c r="J74" t="n">
        <v>2</v>
      </c>
      <c r="K74" t="n">
        <v>0</v>
      </c>
      <c r="L74" t="n">
        <v>0</v>
      </c>
      <c r="M74" t="n">
        <v>0</v>
      </c>
      <c r="N74" t="n">
        <v>0</v>
      </c>
      <c r="O74" t="n">
        <v>2</v>
      </c>
      <c r="P74" t="n">
        <v>0</v>
      </c>
      <c r="Q74" t="n">
        <v>4</v>
      </c>
      <c r="R74" s="2" t="inlineStr">
        <is>
          <t>Spillkråka
Talltita
Skinnlav
Svart trolldruva</t>
        </is>
      </c>
      <c r="S74">
        <f>HYPERLINK("https://klasma.github.io/Logging_0883/artfynd/A 41312-2025 artfynd.xlsx", "A 41312-2025")</f>
        <v/>
      </c>
      <c r="T74">
        <f>HYPERLINK("https://klasma.github.io/Logging_0883/kartor/A 41312-2025 karta.png", "A 41312-2025")</f>
        <v/>
      </c>
      <c r="V74">
        <f>HYPERLINK("https://klasma.github.io/Logging_0883/klagomål/A 41312-2025 FSC-klagomål.docx", "A 41312-2025")</f>
        <v/>
      </c>
      <c r="W74">
        <f>HYPERLINK("https://klasma.github.io/Logging_0883/klagomålsmail/A 41312-2025 FSC-klagomål mail.docx", "A 41312-2025")</f>
        <v/>
      </c>
      <c r="X74">
        <f>HYPERLINK("https://klasma.github.io/Logging_0883/tillsyn/A 41312-2025 tillsynsbegäran.docx", "A 41312-2025")</f>
        <v/>
      </c>
      <c r="Y74">
        <f>HYPERLINK("https://klasma.github.io/Logging_0883/tillsynsmail/A 41312-2025 tillsynsbegäran mail.docx", "A 41312-2025")</f>
        <v/>
      </c>
      <c r="Z74">
        <f>HYPERLINK("https://klasma.github.io/Logging_0883/fåglar/A 41312-2025 prioriterade fågelarter.docx", "A 41312-2025")</f>
        <v/>
      </c>
    </row>
    <row r="75" ht="15" customHeight="1">
      <c r="A75" t="inlineStr">
        <is>
          <t>A 25280-2021</t>
        </is>
      </c>
      <c r="B75" s="1" t="n">
        <v>44342</v>
      </c>
      <c r="C75" s="1" t="n">
        <v>46078</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9975-2024</t>
        </is>
      </c>
      <c r="B76" s="1" t="n">
        <v>45363</v>
      </c>
      <c r="C76" s="1" t="n">
        <v>46078</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26985-2025</t>
        </is>
      </c>
      <c r="B77" s="1" t="n">
        <v>45811</v>
      </c>
      <c r="C77" s="1" t="n">
        <v>46078</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63366-2023</t>
        </is>
      </c>
      <c r="B78" s="1" t="n">
        <v>45274</v>
      </c>
      <c r="C78" s="1" t="n">
        <v>46078</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10781-2025</t>
        </is>
      </c>
      <c r="B79" s="1" t="n">
        <v>45722</v>
      </c>
      <c r="C79" s="1" t="n">
        <v>46078</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46078</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46078</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46078</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46078</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46078</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46078</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46078</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46078</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46078</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56908-2025</t>
        </is>
      </c>
      <c r="B89" s="1" t="n">
        <v>45978</v>
      </c>
      <c r="C89" s="1" t="n">
        <v>46078</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44635-2021</t>
        </is>
      </c>
      <c r="B90" s="1" t="n">
        <v>44437</v>
      </c>
      <c r="C90" s="1" t="n">
        <v>46078</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25534-2024</t>
        </is>
      </c>
      <c r="B91" s="1" t="n">
        <v>45463</v>
      </c>
      <c r="C91" s="1" t="n">
        <v>46078</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18397-2024</t>
        </is>
      </c>
      <c r="B92" s="1" t="n">
        <v>45425</v>
      </c>
      <c r="C92" s="1" t="n">
        <v>46078</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1107-2026</t>
        </is>
      </c>
      <c r="B93" s="1" t="n">
        <v>46030.67351851852</v>
      </c>
      <c r="C93" s="1" t="n">
        <v>46078</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37524-2025</t>
        </is>
      </c>
      <c r="B94" s="1" t="n">
        <v>45877</v>
      </c>
      <c r="C94" s="1" t="n">
        <v>46078</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20366-2024</t>
        </is>
      </c>
      <c r="B95" s="1" t="n">
        <v>45435</v>
      </c>
      <c r="C95" s="1" t="n">
        <v>46078</v>
      </c>
      <c r="D95" t="inlineStr">
        <is>
          <t>KALMAR LÄN</t>
        </is>
      </c>
      <c r="E95" t="inlineStr">
        <is>
          <t>VÄSTERVIK</t>
        </is>
      </c>
      <c r="G95" t="n">
        <v>0.8</v>
      </c>
      <c r="H95" t="n">
        <v>3</v>
      </c>
      <c r="I95" t="n">
        <v>1</v>
      </c>
      <c r="J95" t="n">
        <v>3</v>
      </c>
      <c r="K95" t="n">
        <v>0</v>
      </c>
      <c r="L95" t="n">
        <v>0</v>
      </c>
      <c r="M95" t="n">
        <v>0</v>
      </c>
      <c r="N95" t="n">
        <v>0</v>
      </c>
      <c r="O95" t="n">
        <v>3</v>
      </c>
      <c r="P95" t="n">
        <v>0</v>
      </c>
      <c r="Q95" t="n">
        <v>4</v>
      </c>
      <c r="R95" s="2" t="inlineStr">
        <is>
          <t>Entita
Spillkråka
Tallticka
Purpurknipprot</t>
        </is>
      </c>
      <c r="S95">
        <f>HYPERLINK("https://klasma.github.io/Logging_0883/artfynd/A 20366-2024 artfynd.xlsx", "A 20366-2024")</f>
        <v/>
      </c>
      <c r="T95">
        <f>HYPERLINK("https://klasma.github.io/Logging_0883/kartor/A 20366-2024 karta.png", "A 20366-2024")</f>
        <v/>
      </c>
      <c r="V95">
        <f>HYPERLINK("https://klasma.github.io/Logging_0883/klagomål/A 20366-2024 FSC-klagomål.docx", "A 20366-2024")</f>
        <v/>
      </c>
      <c r="W95">
        <f>HYPERLINK("https://klasma.github.io/Logging_0883/klagomålsmail/A 20366-2024 FSC-klagomål mail.docx", "A 20366-2024")</f>
        <v/>
      </c>
      <c r="X95">
        <f>HYPERLINK("https://klasma.github.io/Logging_0883/tillsyn/A 20366-2024 tillsynsbegäran.docx", "A 20366-2024")</f>
        <v/>
      </c>
      <c r="Y95">
        <f>HYPERLINK("https://klasma.github.io/Logging_0883/tillsynsmail/A 20366-2024 tillsynsbegäran mail.docx", "A 20366-2024")</f>
        <v/>
      </c>
      <c r="Z95">
        <f>HYPERLINK("https://klasma.github.io/Logging_0883/fåglar/A 20366-2024 prioriterade fågelarter.docx", "A 20366-2024")</f>
        <v/>
      </c>
    </row>
    <row r="96" ht="15" customHeight="1">
      <c r="A96" t="inlineStr">
        <is>
          <t>A 3781-2025</t>
        </is>
      </c>
      <c r="B96" s="1" t="n">
        <v>45681.62086805556</v>
      </c>
      <c r="C96" s="1" t="n">
        <v>46078</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54233-2023</t>
        </is>
      </c>
      <c r="B97" s="1" t="n">
        <v>45232</v>
      </c>
      <c r="C97" s="1" t="n">
        <v>46078</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46078</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46078</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21084-2025</t>
        </is>
      </c>
      <c r="B100" s="1" t="n">
        <v>45777.6084837963</v>
      </c>
      <c r="C100" s="1" t="n">
        <v>46078</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Grönpyrola</t>
        </is>
      </c>
      <c r="S100">
        <f>HYPERLINK("https://klasma.github.io/Logging_0883/artfynd/A 21084-2025 artfynd.xlsx", "A 21084-2025")</f>
        <v/>
      </c>
      <c r="T100">
        <f>HYPERLINK("https://klasma.github.io/Logging_0883/kartor/A 21084-2025 karta.png", "A 21084-2025")</f>
        <v/>
      </c>
      <c r="V100">
        <f>HYPERLINK("https://klasma.github.io/Logging_0883/klagomål/A 21084-2025 FSC-klagomål.docx", "A 21084-2025")</f>
        <v/>
      </c>
      <c r="W100">
        <f>HYPERLINK("https://klasma.github.io/Logging_0883/klagomålsmail/A 21084-2025 FSC-klagomål mail.docx", "A 21084-2025")</f>
        <v/>
      </c>
      <c r="X100">
        <f>HYPERLINK("https://klasma.github.io/Logging_0883/tillsyn/A 21084-2025 tillsynsbegäran.docx", "A 21084-2025")</f>
        <v/>
      </c>
      <c r="Y100">
        <f>HYPERLINK("https://klasma.github.io/Logging_0883/tillsynsmail/A 21084-2025 tillsynsbegäran mail.docx", "A 21084-2025")</f>
        <v/>
      </c>
      <c r="Z100">
        <f>HYPERLINK("https://klasma.github.io/Logging_0883/fåglar/A 21084-2025 prioriterade fågelarter.docx", "A 21084-2025")</f>
        <v/>
      </c>
    </row>
    <row r="101" ht="15" customHeight="1">
      <c r="A101" t="inlineStr">
        <is>
          <t>A 58750-2024</t>
        </is>
      </c>
      <c r="B101" s="1" t="n">
        <v>45635.71747685185</v>
      </c>
      <c r="C101" s="1" t="n">
        <v>46078</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804-2023</t>
        </is>
      </c>
      <c r="B102" s="1" t="n">
        <v>44931</v>
      </c>
      <c r="C102" s="1" t="n">
        <v>46078</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46078</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46078</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46078</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46078</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46078</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49607-2025</t>
        </is>
      </c>
      <c r="B108" s="1" t="n">
        <v>45939.5674074074</v>
      </c>
      <c r="C108" s="1" t="n">
        <v>46078</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27700-2024</t>
        </is>
      </c>
      <c r="B109" s="1" t="n">
        <v>45475.35597222222</v>
      </c>
      <c r="C109" s="1" t="n">
        <v>46078</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21658-2025</t>
        </is>
      </c>
      <c r="B110" s="1" t="n">
        <v>45783.45474537037</v>
      </c>
      <c r="C110" s="1" t="n">
        <v>46078</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35705-2025</t>
        </is>
      </c>
      <c r="B111" s="1" t="n">
        <v>45860.36769675926</v>
      </c>
      <c r="C111" s="1" t="n">
        <v>46078</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48318-2024</t>
        </is>
      </c>
      <c r="B112" s="1" t="n">
        <v>45590.49690972222</v>
      </c>
      <c r="C112" s="1" t="n">
        <v>46078</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2657-2024</t>
        </is>
      </c>
      <c r="B113" s="1" t="n">
        <v>45314</v>
      </c>
      <c r="C113" s="1" t="n">
        <v>46078</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61552-2025</t>
        </is>
      </c>
      <c r="B114" s="1" t="n">
        <v>46001.7772337963</v>
      </c>
      <c r="C114" s="1" t="n">
        <v>46078</v>
      </c>
      <c r="D114" t="inlineStr">
        <is>
          <t>KALMAR LÄN</t>
        </is>
      </c>
      <c r="E114" t="inlineStr">
        <is>
          <t>VÄSTERVIK</t>
        </is>
      </c>
      <c r="F114" t="inlineStr">
        <is>
          <t>Sveaskog</t>
        </is>
      </c>
      <c r="G114" t="n">
        <v>8.1</v>
      </c>
      <c r="H114" t="n">
        <v>2</v>
      </c>
      <c r="I114" t="n">
        <v>0</v>
      </c>
      <c r="J114" t="n">
        <v>3</v>
      </c>
      <c r="K114" t="n">
        <v>0</v>
      </c>
      <c r="L114" t="n">
        <v>0</v>
      </c>
      <c r="M114" t="n">
        <v>0</v>
      </c>
      <c r="N114" t="n">
        <v>0</v>
      </c>
      <c r="O114" t="n">
        <v>3</v>
      </c>
      <c r="P114" t="n">
        <v>0</v>
      </c>
      <c r="Q114" t="n">
        <v>3</v>
      </c>
      <c r="R114" s="2" t="inlineStr">
        <is>
          <t>Motaggsvamp
Spillkråka
Talltita</t>
        </is>
      </c>
      <c r="S114">
        <f>HYPERLINK("https://klasma.github.io/Logging_0883/artfynd/A 61552-2025 artfynd.xlsx", "A 61552-2025")</f>
        <v/>
      </c>
      <c r="T114">
        <f>HYPERLINK("https://klasma.github.io/Logging_0883/kartor/A 61552-2025 karta.png", "A 61552-2025")</f>
        <v/>
      </c>
      <c r="V114">
        <f>HYPERLINK("https://klasma.github.io/Logging_0883/klagomål/A 61552-2025 FSC-klagomål.docx", "A 61552-2025")</f>
        <v/>
      </c>
      <c r="W114">
        <f>HYPERLINK("https://klasma.github.io/Logging_0883/klagomålsmail/A 61552-2025 FSC-klagomål mail.docx", "A 61552-2025")</f>
        <v/>
      </c>
      <c r="X114">
        <f>HYPERLINK("https://klasma.github.io/Logging_0883/tillsyn/A 61552-2025 tillsynsbegäran.docx", "A 61552-2025")</f>
        <v/>
      </c>
      <c r="Y114">
        <f>HYPERLINK("https://klasma.github.io/Logging_0883/tillsynsmail/A 61552-2025 tillsynsbegäran mail.docx", "A 61552-2025")</f>
        <v/>
      </c>
      <c r="Z114">
        <f>HYPERLINK("https://klasma.github.io/Logging_0883/fåglar/A 61552-2025 prioriterade fågelarter.docx", "A 61552-2025")</f>
        <v/>
      </c>
    </row>
    <row r="115" ht="15" customHeight="1">
      <c r="A115" t="inlineStr">
        <is>
          <t>A 1763-2025</t>
        </is>
      </c>
      <c r="B115" s="1" t="n">
        <v>45671</v>
      </c>
      <c r="C115" s="1" t="n">
        <v>46078</v>
      </c>
      <c r="D115" t="inlineStr">
        <is>
          <t>KALMAR LÄN</t>
        </is>
      </c>
      <c r="E115" t="inlineStr">
        <is>
          <t>VÄSTERVIK</t>
        </is>
      </c>
      <c r="G115" t="n">
        <v>1.1</v>
      </c>
      <c r="H115" t="n">
        <v>2</v>
      </c>
      <c r="I115" t="n">
        <v>1</v>
      </c>
      <c r="J115" t="n">
        <v>2</v>
      </c>
      <c r="K115" t="n">
        <v>0</v>
      </c>
      <c r="L115" t="n">
        <v>0</v>
      </c>
      <c r="M115" t="n">
        <v>0</v>
      </c>
      <c r="N115" t="n">
        <v>0</v>
      </c>
      <c r="O115" t="n">
        <v>2</v>
      </c>
      <c r="P115" t="n">
        <v>0</v>
      </c>
      <c r="Q115" t="n">
        <v>3</v>
      </c>
      <c r="R115" s="2" t="inlineStr">
        <is>
          <t>Spillkråka
Talltita
Blåmossa</t>
        </is>
      </c>
      <c r="S115">
        <f>HYPERLINK("https://klasma.github.io/Logging_0883/artfynd/A 1763-2025 artfynd.xlsx", "A 1763-2025")</f>
        <v/>
      </c>
      <c r="T115">
        <f>HYPERLINK("https://klasma.github.io/Logging_0883/kartor/A 1763-2025 karta.png", "A 1763-2025")</f>
        <v/>
      </c>
      <c r="V115">
        <f>HYPERLINK("https://klasma.github.io/Logging_0883/klagomål/A 1763-2025 FSC-klagomål.docx", "A 1763-2025")</f>
        <v/>
      </c>
      <c r="W115">
        <f>HYPERLINK("https://klasma.github.io/Logging_0883/klagomålsmail/A 1763-2025 FSC-klagomål mail.docx", "A 1763-2025")</f>
        <v/>
      </c>
      <c r="X115">
        <f>HYPERLINK("https://klasma.github.io/Logging_0883/tillsyn/A 1763-2025 tillsynsbegäran.docx", "A 1763-2025")</f>
        <v/>
      </c>
      <c r="Y115">
        <f>HYPERLINK("https://klasma.github.io/Logging_0883/tillsynsmail/A 1763-2025 tillsynsbegäran mail.docx", "A 1763-2025")</f>
        <v/>
      </c>
      <c r="Z115">
        <f>HYPERLINK("https://klasma.github.io/Logging_0883/fåglar/A 1763-2025 prioriterade fågelarter.docx", "A 1763-2025")</f>
        <v/>
      </c>
    </row>
    <row r="116" ht="15" customHeight="1">
      <c r="A116" t="inlineStr">
        <is>
          <t>A 1764-2025</t>
        </is>
      </c>
      <c r="B116" s="1" t="n">
        <v>45671</v>
      </c>
      <c r="C116" s="1" t="n">
        <v>46078</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27067-2024</t>
        </is>
      </c>
      <c r="B117" s="1" t="n">
        <v>45471</v>
      </c>
      <c r="C117" s="1" t="n">
        <v>46078</v>
      </c>
      <c r="D117" t="inlineStr">
        <is>
          <t>KALMAR LÄN</t>
        </is>
      </c>
      <c r="E117" t="inlineStr">
        <is>
          <t>VÄSTERVIK</t>
        </is>
      </c>
      <c r="F117" t="inlineStr">
        <is>
          <t>Holmen skog AB</t>
        </is>
      </c>
      <c r="G117" t="n">
        <v>8.4</v>
      </c>
      <c r="H117" t="n">
        <v>2</v>
      </c>
      <c r="I117" t="n">
        <v>0</v>
      </c>
      <c r="J117" t="n">
        <v>3</v>
      </c>
      <c r="K117" t="n">
        <v>0</v>
      </c>
      <c r="L117" t="n">
        <v>0</v>
      </c>
      <c r="M117" t="n">
        <v>0</v>
      </c>
      <c r="N117" t="n">
        <v>0</v>
      </c>
      <c r="O117" t="n">
        <v>3</v>
      </c>
      <c r="P117" t="n">
        <v>0</v>
      </c>
      <c r="Q117" t="n">
        <v>3</v>
      </c>
      <c r="R117" s="2" t="inlineStr">
        <is>
          <t>Ekticka
Spillkråka
Talltita</t>
        </is>
      </c>
      <c r="S117">
        <f>HYPERLINK("https://klasma.github.io/Logging_0883/artfynd/A 27067-2024 artfynd.xlsx", "A 27067-2024")</f>
        <v/>
      </c>
      <c r="T117">
        <f>HYPERLINK("https://klasma.github.io/Logging_0883/kartor/A 27067-2024 karta.png", "A 27067-2024")</f>
        <v/>
      </c>
      <c r="V117">
        <f>HYPERLINK("https://klasma.github.io/Logging_0883/klagomål/A 27067-2024 FSC-klagomål.docx", "A 27067-2024")</f>
        <v/>
      </c>
      <c r="W117">
        <f>HYPERLINK("https://klasma.github.io/Logging_0883/klagomålsmail/A 27067-2024 FSC-klagomål mail.docx", "A 27067-2024")</f>
        <v/>
      </c>
      <c r="X117">
        <f>HYPERLINK("https://klasma.github.io/Logging_0883/tillsyn/A 27067-2024 tillsynsbegäran.docx", "A 27067-2024")</f>
        <v/>
      </c>
      <c r="Y117">
        <f>HYPERLINK("https://klasma.github.io/Logging_0883/tillsynsmail/A 27067-2024 tillsynsbegäran mail.docx", "A 27067-2024")</f>
        <v/>
      </c>
      <c r="Z117">
        <f>HYPERLINK("https://klasma.github.io/Logging_0883/fåglar/A 27067-2024 prioriterade fågelarter.docx", "A 27067-2024")</f>
        <v/>
      </c>
    </row>
    <row r="118" ht="15" customHeight="1">
      <c r="A118" t="inlineStr">
        <is>
          <t>A 52992-2024</t>
        </is>
      </c>
      <c r="B118" s="1" t="n">
        <v>45611</v>
      </c>
      <c r="C118" s="1" t="n">
        <v>46078</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49560-2025</t>
        </is>
      </c>
      <c r="B119" s="1" t="n">
        <v>45939</v>
      </c>
      <c r="C119" s="1" t="n">
        <v>46078</v>
      </c>
      <c r="D119" t="inlineStr">
        <is>
          <t>KALMAR LÄN</t>
        </is>
      </c>
      <c r="E119" t="inlineStr">
        <is>
          <t>VÄSTERVIK</t>
        </is>
      </c>
      <c r="F119" t="inlineStr">
        <is>
          <t>Holmen skog AB</t>
        </is>
      </c>
      <c r="G119" t="n">
        <v>1.9</v>
      </c>
      <c r="H119" t="n">
        <v>2</v>
      </c>
      <c r="I119" t="n">
        <v>1</v>
      </c>
      <c r="J119" t="n">
        <v>1</v>
      </c>
      <c r="K119" t="n">
        <v>1</v>
      </c>
      <c r="L119" t="n">
        <v>0</v>
      </c>
      <c r="M119" t="n">
        <v>0</v>
      </c>
      <c r="N119" t="n">
        <v>0</v>
      </c>
      <c r="O119" t="n">
        <v>2</v>
      </c>
      <c r="P119" t="n">
        <v>1</v>
      </c>
      <c r="Q119" t="n">
        <v>3</v>
      </c>
      <c r="R119" s="2" t="inlineStr">
        <is>
          <t>Knärot
Spillkråka
Dropptaggsvamp</t>
        </is>
      </c>
      <c r="S119">
        <f>HYPERLINK("https://klasma.github.io/Logging_0883/artfynd/A 49560-2025 artfynd.xlsx", "A 49560-2025")</f>
        <v/>
      </c>
      <c r="T119">
        <f>HYPERLINK("https://klasma.github.io/Logging_0883/kartor/A 49560-2025 karta.png", "A 49560-2025")</f>
        <v/>
      </c>
      <c r="U119">
        <f>HYPERLINK("https://klasma.github.io/Logging_0883/knärot/A 49560-2025 karta knärot.png", "A 49560-2025")</f>
        <v/>
      </c>
      <c r="V119">
        <f>HYPERLINK("https://klasma.github.io/Logging_0883/klagomål/A 49560-2025 FSC-klagomål.docx", "A 49560-2025")</f>
        <v/>
      </c>
      <c r="W119">
        <f>HYPERLINK("https://klasma.github.io/Logging_0883/klagomålsmail/A 49560-2025 FSC-klagomål mail.docx", "A 49560-2025")</f>
        <v/>
      </c>
      <c r="X119">
        <f>HYPERLINK("https://klasma.github.io/Logging_0883/tillsyn/A 49560-2025 tillsynsbegäran.docx", "A 49560-2025")</f>
        <v/>
      </c>
      <c r="Y119">
        <f>HYPERLINK("https://klasma.github.io/Logging_0883/tillsynsmail/A 49560-2025 tillsynsbegäran mail.docx", "A 49560-2025")</f>
        <v/>
      </c>
      <c r="Z119">
        <f>HYPERLINK("https://klasma.github.io/Logging_0883/fåglar/A 49560-2025 prioriterade fågelarter.docx", "A 49560-2025")</f>
        <v/>
      </c>
    </row>
    <row r="120" ht="15" customHeight="1">
      <c r="A120" t="inlineStr">
        <is>
          <t>A 433-2026</t>
        </is>
      </c>
      <c r="B120" s="1" t="n">
        <v>46029.32555555556</v>
      </c>
      <c r="C120" s="1" t="n">
        <v>46078</v>
      </c>
      <c r="D120" t="inlineStr">
        <is>
          <t>KALMAR LÄN</t>
        </is>
      </c>
      <c r="E120" t="inlineStr">
        <is>
          <t>VÄSTERVIK</t>
        </is>
      </c>
      <c r="G120" t="n">
        <v>4.6</v>
      </c>
      <c r="H120" t="n">
        <v>1</v>
      </c>
      <c r="I120" t="n">
        <v>1</v>
      </c>
      <c r="J120" t="n">
        <v>1</v>
      </c>
      <c r="K120" t="n">
        <v>0</v>
      </c>
      <c r="L120" t="n">
        <v>0</v>
      </c>
      <c r="M120" t="n">
        <v>0</v>
      </c>
      <c r="N120" t="n">
        <v>0</v>
      </c>
      <c r="O120" t="n">
        <v>1</v>
      </c>
      <c r="P120" t="n">
        <v>0</v>
      </c>
      <c r="Q120" t="n">
        <v>3</v>
      </c>
      <c r="R120" s="2" t="inlineStr">
        <is>
          <t>Slåtterfibbla
Grovticka
Grönvit nattviol</t>
        </is>
      </c>
      <c r="S120">
        <f>HYPERLINK("https://klasma.github.io/Logging_0883/artfynd/A 433-2026 artfynd.xlsx", "A 433-2026")</f>
        <v/>
      </c>
      <c r="T120">
        <f>HYPERLINK("https://klasma.github.io/Logging_0883/kartor/A 433-2026 karta.png", "A 433-2026")</f>
        <v/>
      </c>
      <c r="V120">
        <f>HYPERLINK("https://klasma.github.io/Logging_0883/klagomål/A 433-2026 FSC-klagomål.docx", "A 433-2026")</f>
        <v/>
      </c>
      <c r="W120">
        <f>HYPERLINK("https://klasma.github.io/Logging_0883/klagomålsmail/A 433-2026 FSC-klagomål mail.docx", "A 433-2026")</f>
        <v/>
      </c>
      <c r="X120">
        <f>HYPERLINK("https://klasma.github.io/Logging_0883/tillsyn/A 433-2026 tillsynsbegäran.docx", "A 433-2026")</f>
        <v/>
      </c>
      <c r="Y120">
        <f>HYPERLINK("https://klasma.github.io/Logging_0883/tillsynsmail/A 433-2026 tillsynsbegäran mail.docx", "A 433-2026")</f>
        <v/>
      </c>
    </row>
    <row r="121" ht="15" customHeight="1">
      <c r="A121" t="inlineStr">
        <is>
          <t>A 56336-2025</t>
        </is>
      </c>
      <c r="B121" s="1" t="n">
        <v>45974</v>
      </c>
      <c r="C121" s="1" t="n">
        <v>46078</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60671-2025</t>
        </is>
      </c>
      <c r="B122" s="1" t="n">
        <v>45996.53078703704</v>
      </c>
      <c r="C122" s="1" t="n">
        <v>46078</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Motaggsvamp
Grönpyrola</t>
        </is>
      </c>
      <c r="S122">
        <f>HYPERLINK("https://klasma.github.io/Logging_0883/artfynd/A 60671-2025 artfynd.xlsx", "A 60671-2025")</f>
        <v/>
      </c>
      <c r="T122">
        <f>HYPERLINK("https://klasma.github.io/Logging_0883/kartor/A 60671-2025 karta.png", "A 60671-2025")</f>
        <v/>
      </c>
      <c r="U122">
        <f>HYPERLINK("https://klasma.github.io/Logging_0883/knärot/A 60671-2025 karta knärot.png", "A 60671-2025")</f>
        <v/>
      </c>
      <c r="V122">
        <f>HYPERLINK("https://klasma.github.io/Logging_0883/klagomål/A 60671-2025 FSC-klagomål.docx", "A 60671-2025")</f>
        <v/>
      </c>
      <c r="W122">
        <f>HYPERLINK("https://klasma.github.io/Logging_0883/klagomålsmail/A 60671-2025 FSC-klagomål mail.docx", "A 60671-2025")</f>
        <v/>
      </c>
      <c r="X122">
        <f>HYPERLINK("https://klasma.github.io/Logging_0883/tillsyn/A 60671-2025 tillsynsbegäran.docx", "A 60671-2025")</f>
        <v/>
      </c>
      <c r="Y122">
        <f>HYPERLINK("https://klasma.github.io/Logging_0883/tillsynsmail/A 60671-2025 tillsynsbegäran mail.docx", "A 60671-2025")</f>
        <v/>
      </c>
    </row>
    <row r="123" ht="15" customHeight="1">
      <c r="A123" t="inlineStr">
        <is>
          <t>A 31854-2025</t>
        </is>
      </c>
      <c r="B123" s="1" t="n">
        <v>45834</v>
      </c>
      <c r="C123" s="1" t="n">
        <v>46078</v>
      </c>
      <c r="D123" t="inlineStr">
        <is>
          <t>KALMAR LÄN</t>
        </is>
      </c>
      <c r="E123" t="inlineStr">
        <is>
          <t>VÄSTERVIK</t>
        </is>
      </c>
      <c r="F123" t="inlineStr">
        <is>
          <t>Holmen skog AB</t>
        </is>
      </c>
      <c r="G123" t="n">
        <v>4.3</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31854-2025 artfynd.xlsx", "A 31854-2025")</f>
        <v/>
      </c>
      <c r="T123">
        <f>HYPERLINK("https://klasma.github.io/Logging_0883/kartor/A 31854-2025 karta.png", "A 31854-2025")</f>
        <v/>
      </c>
      <c r="U123">
        <f>HYPERLINK("https://klasma.github.io/Logging_0883/knärot/A 31854-2025 karta knärot.png", "A 31854-2025")</f>
        <v/>
      </c>
      <c r="V123">
        <f>HYPERLINK("https://klasma.github.io/Logging_0883/klagomål/A 31854-2025 FSC-klagomål.docx", "A 31854-2025")</f>
        <v/>
      </c>
      <c r="W123">
        <f>HYPERLINK("https://klasma.github.io/Logging_0883/klagomålsmail/A 31854-2025 FSC-klagomål mail.docx", "A 31854-2025")</f>
        <v/>
      </c>
      <c r="X123">
        <f>HYPERLINK("https://klasma.github.io/Logging_0883/tillsyn/A 31854-2025 tillsynsbegäran.docx", "A 31854-2025")</f>
        <v/>
      </c>
      <c r="Y123">
        <f>HYPERLINK("https://klasma.github.io/Logging_0883/tillsynsmail/A 31854-2025 tillsynsbegäran mail.docx", "A 31854-2025")</f>
        <v/>
      </c>
      <c r="Z123">
        <f>HYPERLINK("https://klasma.github.io/Logging_0883/fåglar/A 31854-2025 prioriterade fågelarter.docx", "A 31854-2025")</f>
        <v/>
      </c>
    </row>
    <row r="124" ht="15" customHeight="1">
      <c r="A124" t="inlineStr">
        <is>
          <t>A 56080-2025</t>
        </is>
      </c>
      <c r="B124" s="1" t="n">
        <v>45973</v>
      </c>
      <c r="C124" s="1" t="n">
        <v>46078</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39190-2024</t>
        </is>
      </c>
      <c r="B125" s="1" t="n">
        <v>45548</v>
      </c>
      <c r="C125" s="1" t="n">
        <v>46078</v>
      </c>
      <c r="D125" t="inlineStr">
        <is>
          <t>KALMAR LÄN</t>
        </is>
      </c>
      <c r="E125" t="inlineStr">
        <is>
          <t>VÄSTERVIK</t>
        </is>
      </c>
      <c r="G125" t="n">
        <v>1.7</v>
      </c>
      <c r="H125" t="n">
        <v>2</v>
      </c>
      <c r="I125" t="n">
        <v>0</v>
      </c>
      <c r="J125" t="n">
        <v>2</v>
      </c>
      <c r="K125" t="n">
        <v>1</v>
      </c>
      <c r="L125" t="n">
        <v>0</v>
      </c>
      <c r="M125" t="n">
        <v>0</v>
      </c>
      <c r="N125" t="n">
        <v>0</v>
      </c>
      <c r="O125" t="n">
        <v>3</v>
      </c>
      <c r="P125" t="n">
        <v>1</v>
      </c>
      <c r="Q125" t="n">
        <v>3</v>
      </c>
      <c r="R125" s="2" t="inlineStr">
        <is>
          <t>Knärot
Svart taggsvamp
Talltita</t>
        </is>
      </c>
      <c r="S125">
        <f>HYPERLINK("https://klasma.github.io/Logging_0883/artfynd/A 39190-2024 artfynd.xlsx", "A 39190-2024")</f>
        <v/>
      </c>
      <c r="T125">
        <f>HYPERLINK("https://klasma.github.io/Logging_0883/kartor/A 39190-2024 karta.png", "A 39190-2024")</f>
        <v/>
      </c>
      <c r="U125">
        <f>HYPERLINK("https://klasma.github.io/Logging_0883/knärot/A 39190-2024 karta knärot.png", "A 39190-2024")</f>
        <v/>
      </c>
      <c r="V125">
        <f>HYPERLINK("https://klasma.github.io/Logging_0883/klagomål/A 39190-2024 FSC-klagomål.docx", "A 39190-2024")</f>
        <v/>
      </c>
      <c r="W125">
        <f>HYPERLINK("https://klasma.github.io/Logging_0883/klagomålsmail/A 39190-2024 FSC-klagomål mail.docx", "A 39190-2024")</f>
        <v/>
      </c>
      <c r="X125">
        <f>HYPERLINK("https://klasma.github.io/Logging_0883/tillsyn/A 39190-2024 tillsynsbegäran.docx", "A 39190-2024")</f>
        <v/>
      </c>
      <c r="Y125">
        <f>HYPERLINK("https://klasma.github.io/Logging_0883/tillsynsmail/A 39190-2024 tillsynsbegäran mail.docx", "A 39190-2024")</f>
        <v/>
      </c>
      <c r="Z125">
        <f>HYPERLINK("https://klasma.github.io/Logging_0883/fåglar/A 39190-2024 prioriterade fågelarter.docx", "A 39190-2024")</f>
        <v/>
      </c>
    </row>
    <row r="126" ht="15" customHeight="1">
      <c r="A126" t="inlineStr">
        <is>
          <t>A 42353-2023</t>
        </is>
      </c>
      <c r="B126" s="1" t="n">
        <v>45180</v>
      </c>
      <c r="C126" s="1" t="n">
        <v>46078</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15595-2021</t>
        </is>
      </c>
      <c r="B127" s="1" t="n">
        <v>44285.66680555556</v>
      </c>
      <c r="C127" s="1" t="n">
        <v>46078</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14126-2025</t>
        </is>
      </c>
      <c r="B128" s="1" t="n">
        <v>45740.47012731482</v>
      </c>
      <c r="C128" s="1" t="n">
        <v>46078</v>
      </c>
      <c r="D128" t="inlineStr">
        <is>
          <t>KALMAR LÄN</t>
        </is>
      </c>
      <c r="E128" t="inlineStr">
        <is>
          <t>VÄSTERVIK</t>
        </is>
      </c>
      <c r="F128" t="inlineStr">
        <is>
          <t>Sveaskog</t>
        </is>
      </c>
      <c r="G128" t="n">
        <v>1.3</v>
      </c>
      <c r="H128" t="n">
        <v>2</v>
      </c>
      <c r="I128" t="n">
        <v>0</v>
      </c>
      <c r="J128" t="n">
        <v>1</v>
      </c>
      <c r="K128" t="n">
        <v>0</v>
      </c>
      <c r="L128" t="n">
        <v>0</v>
      </c>
      <c r="M128" t="n">
        <v>0</v>
      </c>
      <c r="N128" t="n">
        <v>0</v>
      </c>
      <c r="O128" t="n">
        <v>1</v>
      </c>
      <c r="P128" t="n">
        <v>0</v>
      </c>
      <c r="Q128" t="n">
        <v>2</v>
      </c>
      <c r="R128" s="2" t="inlineStr">
        <is>
          <t>Grönsångare
Blåsippa</t>
        </is>
      </c>
      <c r="S128">
        <f>HYPERLINK("https://klasma.github.io/Logging_0883/artfynd/A 14126-2025 artfynd.xlsx", "A 14126-2025")</f>
        <v/>
      </c>
      <c r="T128">
        <f>HYPERLINK("https://klasma.github.io/Logging_0883/kartor/A 14126-2025 karta.png", "A 14126-2025")</f>
        <v/>
      </c>
      <c r="V128">
        <f>HYPERLINK("https://klasma.github.io/Logging_0883/klagomål/A 14126-2025 FSC-klagomål.docx", "A 14126-2025")</f>
        <v/>
      </c>
      <c r="W128">
        <f>HYPERLINK("https://klasma.github.io/Logging_0883/klagomålsmail/A 14126-2025 FSC-klagomål mail.docx", "A 14126-2025")</f>
        <v/>
      </c>
      <c r="X128">
        <f>HYPERLINK("https://klasma.github.io/Logging_0883/tillsyn/A 14126-2025 tillsynsbegäran.docx", "A 14126-2025")</f>
        <v/>
      </c>
      <c r="Y128">
        <f>HYPERLINK("https://klasma.github.io/Logging_0883/tillsynsmail/A 14126-2025 tillsynsbegäran mail.docx", "A 14126-2025")</f>
        <v/>
      </c>
      <c r="Z128">
        <f>HYPERLINK("https://klasma.github.io/Logging_0883/fåglar/A 14126-2025 prioriterade fågelarter.docx", "A 14126-2025")</f>
        <v/>
      </c>
    </row>
    <row r="129" ht="15" customHeight="1">
      <c r="A129" t="inlineStr">
        <is>
          <t>A 59940-2021</t>
        </is>
      </c>
      <c r="B129" s="1" t="n">
        <v>44494</v>
      </c>
      <c r="C129" s="1" t="n">
        <v>46078</v>
      </c>
      <c r="D129" t="inlineStr">
        <is>
          <t>KALMAR LÄN</t>
        </is>
      </c>
      <c r="E129" t="inlineStr">
        <is>
          <t>VÄSTERVIK</t>
        </is>
      </c>
      <c r="G129" t="n">
        <v>4.3</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59940-2021 artfynd.xlsx", "A 59940-2021")</f>
        <v/>
      </c>
      <c r="T129">
        <f>HYPERLINK("https://klasma.github.io/Logging_0883/kartor/A 59940-2021 karta.png", "A 59940-2021")</f>
        <v/>
      </c>
      <c r="U129">
        <f>HYPERLINK("https://klasma.github.io/Logging_0883/knärot/A 59940-2021 karta knärot.png", "A 59940-2021")</f>
        <v/>
      </c>
      <c r="V129">
        <f>HYPERLINK("https://klasma.github.io/Logging_0883/klagomål/A 59940-2021 FSC-klagomål.docx", "A 59940-2021")</f>
        <v/>
      </c>
      <c r="W129">
        <f>HYPERLINK("https://klasma.github.io/Logging_0883/klagomålsmail/A 59940-2021 FSC-klagomål mail.docx", "A 59940-2021")</f>
        <v/>
      </c>
      <c r="X129">
        <f>HYPERLINK("https://klasma.github.io/Logging_0883/tillsyn/A 59940-2021 tillsynsbegäran.docx", "A 59940-2021")</f>
        <v/>
      </c>
      <c r="Y129">
        <f>HYPERLINK("https://klasma.github.io/Logging_0883/tillsynsmail/A 59940-2021 tillsynsbegäran mail.docx", "A 59940-2021")</f>
        <v/>
      </c>
    </row>
    <row r="130" ht="15" customHeight="1">
      <c r="A130" t="inlineStr">
        <is>
          <t>A 59231-2022</t>
        </is>
      </c>
      <c r="B130" s="1" t="n">
        <v>44904.55646990741</v>
      </c>
      <c r="C130" s="1" t="n">
        <v>46078</v>
      </c>
      <c r="D130" t="inlineStr">
        <is>
          <t>KALMAR LÄN</t>
        </is>
      </c>
      <c r="E130" t="inlineStr">
        <is>
          <t>VÄSTERVIK</t>
        </is>
      </c>
      <c r="G130" t="n">
        <v>1.8</v>
      </c>
      <c r="H130" t="n">
        <v>0</v>
      </c>
      <c r="I130" t="n">
        <v>1</v>
      </c>
      <c r="J130" t="n">
        <v>1</v>
      </c>
      <c r="K130" t="n">
        <v>0</v>
      </c>
      <c r="L130" t="n">
        <v>0</v>
      </c>
      <c r="M130" t="n">
        <v>0</v>
      </c>
      <c r="N130" t="n">
        <v>0</v>
      </c>
      <c r="O130" t="n">
        <v>1</v>
      </c>
      <c r="P130" t="n">
        <v>0</v>
      </c>
      <c r="Q130" t="n">
        <v>2</v>
      </c>
      <c r="R130" s="2" t="inlineStr">
        <is>
          <t>Tallticka
Grönpyrola</t>
        </is>
      </c>
      <c r="S130">
        <f>HYPERLINK("https://klasma.github.io/Logging_0883/artfynd/A 59231-2022 artfynd.xlsx", "A 59231-2022")</f>
        <v/>
      </c>
      <c r="T130">
        <f>HYPERLINK("https://klasma.github.io/Logging_0883/kartor/A 59231-2022 karta.png", "A 59231-2022")</f>
        <v/>
      </c>
      <c r="V130">
        <f>HYPERLINK("https://klasma.github.io/Logging_0883/klagomål/A 59231-2022 FSC-klagomål.docx", "A 59231-2022")</f>
        <v/>
      </c>
      <c r="W130">
        <f>HYPERLINK("https://klasma.github.io/Logging_0883/klagomålsmail/A 59231-2022 FSC-klagomål mail.docx", "A 59231-2022")</f>
        <v/>
      </c>
      <c r="X130">
        <f>HYPERLINK("https://klasma.github.io/Logging_0883/tillsyn/A 59231-2022 tillsynsbegäran.docx", "A 59231-2022")</f>
        <v/>
      </c>
      <c r="Y130">
        <f>HYPERLINK("https://klasma.github.io/Logging_0883/tillsynsmail/A 59231-2022 tillsynsbegäran mail.docx", "A 59231-2022")</f>
        <v/>
      </c>
    </row>
    <row r="131" ht="15" customHeight="1">
      <c r="A131" t="inlineStr">
        <is>
          <t>A 35236-2024</t>
        </is>
      </c>
      <c r="B131" s="1" t="n">
        <v>45530.54184027778</v>
      </c>
      <c r="C131" s="1" t="n">
        <v>46078</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62008-2023</t>
        </is>
      </c>
      <c r="B132" s="1" t="n">
        <v>45266</v>
      </c>
      <c r="C132" s="1" t="n">
        <v>46078</v>
      </c>
      <c r="D132" t="inlineStr">
        <is>
          <t>KALMAR LÄN</t>
        </is>
      </c>
      <c r="E132" t="inlineStr">
        <is>
          <t>VÄSTERVIK</t>
        </is>
      </c>
      <c r="G132" t="n">
        <v>4</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62008-2023 artfynd.xlsx", "A 62008-2023")</f>
        <v/>
      </c>
      <c r="T132">
        <f>HYPERLINK("https://klasma.github.io/Logging_0883/kartor/A 62008-2023 karta.png", "A 62008-2023")</f>
        <v/>
      </c>
      <c r="U132">
        <f>HYPERLINK("https://klasma.github.io/Logging_0883/knärot/A 62008-2023 karta knärot.png", "A 62008-2023")</f>
        <v/>
      </c>
      <c r="V132">
        <f>HYPERLINK("https://klasma.github.io/Logging_0883/klagomål/A 62008-2023 FSC-klagomål.docx", "A 62008-2023")</f>
        <v/>
      </c>
      <c r="W132">
        <f>HYPERLINK("https://klasma.github.io/Logging_0883/klagomålsmail/A 62008-2023 FSC-klagomål mail.docx", "A 62008-2023")</f>
        <v/>
      </c>
      <c r="X132">
        <f>HYPERLINK("https://klasma.github.io/Logging_0883/tillsyn/A 62008-2023 tillsynsbegäran.docx", "A 62008-2023")</f>
        <v/>
      </c>
      <c r="Y132">
        <f>HYPERLINK("https://klasma.github.io/Logging_0883/tillsynsmail/A 62008-2023 tillsynsbegäran mail.docx", "A 62008-2023")</f>
        <v/>
      </c>
      <c r="Z132">
        <f>HYPERLINK("https://klasma.github.io/Logging_0883/fåglar/A 62008-2023 prioriterade fågelarter.docx", "A 62008-2023")</f>
        <v/>
      </c>
    </row>
    <row r="133" ht="15" customHeight="1">
      <c r="A133" t="inlineStr">
        <is>
          <t>A 33687-2025</t>
        </is>
      </c>
      <c r="B133" s="1" t="n">
        <v>45841.69072916666</v>
      </c>
      <c r="C133" s="1" t="n">
        <v>46078</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49414-2025</t>
        </is>
      </c>
      <c r="B134" s="1" t="n">
        <v>45938.68725694445</v>
      </c>
      <c r="C134" s="1" t="n">
        <v>46078</v>
      </c>
      <c r="D134" t="inlineStr">
        <is>
          <t>KALMAR LÄN</t>
        </is>
      </c>
      <c r="E134" t="inlineStr">
        <is>
          <t>VÄSTERVIK</t>
        </is>
      </c>
      <c r="G134" t="n">
        <v>1.3</v>
      </c>
      <c r="H134" t="n">
        <v>2</v>
      </c>
      <c r="I134" t="n">
        <v>0</v>
      </c>
      <c r="J134" t="n">
        <v>1</v>
      </c>
      <c r="K134" t="n">
        <v>0</v>
      </c>
      <c r="L134" t="n">
        <v>0</v>
      </c>
      <c r="M134" t="n">
        <v>0</v>
      </c>
      <c r="N134" t="n">
        <v>0</v>
      </c>
      <c r="O134" t="n">
        <v>1</v>
      </c>
      <c r="P134" t="n">
        <v>0</v>
      </c>
      <c r="Q134" t="n">
        <v>2</v>
      </c>
      <c r="R134" s="2" t="inlineStr">
        <is>
          <t>Spillkråka
Revlummer</t>
        </is>
      </c>
      <c r="S134">
        <f>HYPERLINK("https://klasma.github.io/Logging_0883/artfynd/A 49414-2025 artfynd.xlsx", "A 49414-2025")</f>
        <v/>
      </c>
      <c r="T134">
        <f>HYPERLINK("https://klasma.github.io/Logging_0883/kartor/A 49414-2025 karta.png", "A 49414-2025")</f>
        <v/>
      </c>
      <c r="V134">
        <f>HYPERLINK("https://klasma.github.io/Logging_0883/klagomål/A 49414-2025 FSC-klagomål.docx", "A 49414-2025")</f>
        <v/>
      </c>
      <c r="W134">
        <f>HYPERLINK("https://klasma.github.io/Logging_0883/klagomålsmail/A 49414-2025 FSC-klagomål mail.docx", "A 49414-2025")</f>
        <v/>
      </c>
      <c r="X134">
        <f>HYPERLINK("https://klasma.github.io/Logging_0883/tillsyn/A 49414-2025 tillsynsbegäran.docx", "A 49414-2025")</f>
        <v/>
      </c>
      <c r="Y134">
        <f>HYPERLINK("https://klasma.github.io/Logging_0883/tillsynsmail/A 49414-2025 tillsynsbegäran mail.docx", "A 49414-2025")</f>
        <v/>
      </c>
      <c r="Z134">
        <f>HYPERLINK("https://klasma.github.io/Logging_0883/fåglar/A 49414-2025 prioriterade fågelarter.docx", "A 49414-2025")</f>
        <v/>
      </c>
    </row>
    <row r="135" ht="15" customHeight="1">
      <c r="A135" t="inlineStr">
        <is>
          <t>A 2126-2024</t>
        </is>
      </c>
      <c r="B135" s="1" t="n">
        <v>45309</v>
      </c>
      <c r="C135" s="1" t="n">
        <v>46078</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48892-2025</t>
        </is>
      </c>
      <c r="B136" s="1" t="n">
        <v>45937.47267361111</v>
      </c>
      <c r="C136" s="1" t="n">
        <v>46078</v>
      </c>
      <c r="D136" t="inlineStr">
        <is>
          <t>KALMAR LÄN</t>
        </is>
      </c>
      <c r="E136" t="inlineStr">
        <is>
          <t>VÄSTERVIK</t>
        </is>
      </c>
      <c r="F136" t="inlineStr">
        <is>
          <t>Sveaskog</t>
        </is>
      </c>
      <c r="G136" t="n">
        <v>1.4</v>
      </c>
      <c r="H136" t="n">
        <v>1</v>
      </c>
      <c r="I136" t="n">
        <v>1</v>
      </c>
      <c r="J136" t="n">
        <v>0</v>
      </c>
      <c r="K136" t="n">
        <v>0</v>
      </c>
      <c r="L136" t="n">
        <v>0</v>
      </c>
      <c r="M136" t="n">
        <v>0</v>
      </c>
      <c r="N136" t="n">
        <v>0</v>
      </c>
      <c r="O136" t="n">
        <v>0</v>
      </c>
      <c r="P136" t="n">
        <v>0</v>
      </c>
      <c r="Q136" t="n">
        <v>2</v>
      </c>
      <c r="R136" s="2" t="inlineStr">
        <is>
          <t>Fällmossa
Blåsippa</t>
        </is>
      </c>
      <c r="S136">
        <f>HYPERLINK("https://klasma.github.io/Logging_0883/artfynd/A 48892-2025 artfynd.xlsx", "A 48892-2025")</f>
        <v/>
      </c>
      <c r="T136">
        <f>HYPERLINK("https://klasma.github.io/Logging_0883/kartor/A 48892-2025 karta.png", "A 48892-2025")</f>
        <v/>
      </c>
      <c r="V136">
        <f>HYPERLINK("https://klasma.github.io/Logging_0883/klagomål/A 48892-2025 FSC-klagomål.docx", "A 48892-2025")</f>
        <v/>
      </c>
      <c r="W136">
        <f>HYPERLINK("https://klasma.github.io/Logging_0883/klagomålsmail/A 48892-2025 FSC-klagomål mail.docx", "A 48892-2025")</f>
        <v/>
      </c>
      <c r="X136">
        <f>HYPERLINK("https://klasma.github.io/Logging_0883/tillsyn/A 48892-2025 tillsynsbegäran.docx", "A 48892-2025")</f>
        <v/>
      </c>
      <c r="Y136">
        <f>HYPERLINK("https://klasma.github.io/Logging_0883/tillsynsmail/A 48892-2025 tillsynsbegäran mail.docx", "A 48892-2025")</f>
        <v/>
      </c>
    </row>
    <row r="137" ht="15" customHeight="1">
      <c r="A137" t="inlineStr">
        <is>
          <t>A 52723-2024</t>
        </is>
      </c>
      <c r="B137" s="1" t="n">
        <v>45610.44008101852</v>
      </c>
      <c r="C137" s="1" t="n">
        <v>46078</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46078</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48877-2025</t>
        </is>
      </c>
      <c r="B139" s="1" t="n">
        <v>45937.4565162037</v>
      </c>
      <c r="C139" s="1" t="n">
        <v>46078</v>
      </c>
      <c r="D139" t="inlineStr">
        <is>
          <t>KALMAR LÄN</t>
        </is>
      </c>
      <c r="E139" t="inlineStr">
        <is>
          <t>VÄSTERVIK</t>
        </is>
      </c>
      <c r="F139" t="inlineStr">
        <is>
          <t>Sveaskog</t>
        </is>
      </c>
      <c r="G139" t="n">
        <v>1.9</v>
      </c>
      <c r="H139" t="n">
        <v>1</v>
      </c>
      <c r="I139" t="n">
        <v>1</v>
      </c>
      <c r="J139" t="n">
        <v>0</v>
      </c>
      <c r="K139" t="n">
        <v>0</v>
      </c>
      <c r="L139" t="n">
        <v>0</v>
      </c>
      <c r="M139" t="n">
        <v>0</v>
      </c>
      <c r="N139" t="n">
        <v>0</v>
      </c>
      <c r="O139" t="n">
        <v>0</v>
      </c>
      <c r="P139" t="n">
        <v>0</v>
      </c>
      <c r="Q139" t="n">
        <v>2</v>
      </c>
      <c r="R139" s="2" t="inlineStr">
        <is>
          <t>Fällmossa
Blåsippa</t>
        </is>
      </c>
      <c r="S139">
        <f>HYPERLINK("https://klasma.github.io/Logging_0883/artfynd/A 48877-2025 artfynd.xlsx", "A 48877-2025")</f>
        <v/>
      </c>
      <c r="T139">
        <f>HYPERLINK("https://klasma.github.io/Logging_0883/kartor/A 48877-2025 karta.png", "A 48877-2025")</f>
        <v/>
      </c>
      <c r="V139">
        <f>HYPERLINK("https://klasma.github.io/Logging_0883/klagomål/A 48877-2025 FSC-klagomål.docx", "A 48877-2025")</f>
        <v/>
      </c>
      <c r="W139">
        <f>HYPERLINK("https://klasma.github.io/Logging_0883/klagomålsmail/A 48877-2025 FSC-klagomål mail.docx", "A 48877-2025")</f>
        <v/>
      </c>
      <c r="X139">
        <f>HYPERLINK("https://klasma.github.io/Logging_0883/tillsyn/A 48877-2025 tillsynsbegäran.docx", "A 48877-2025")</f>
        <v/>
      </c>
      <c r="Y139">
        <f>HYPERLINK("https://klasma.github.io/Logging_0883/tillsynsmail/A 48877-2025 tillsynsbegäran mail.docx", "A 48877-2025")</f>
        <v/>
      </c>
    </row>
    <row r="140" ht="15" customHeight="1">
      <c r="A140" t="inlineStr">
        <is>
          <t>A 15534-2024</t>
        </is>
      </c>
      <c r="B140" s="1" t="n">
        <v>45401</v>
      </c>
      <c r="C140" s="1" t="n">
        <v>46078</v>
      </c>
      <c r="D140" t="inlineStr">
        <is>
          <t>KALMAR LÄN</t>
        </is>
      </c>
      <c r="E140" t="inlineStr">
        <is>
          <t>VÄSTERVIK</t>
        </is>
      </c>
      <c r="F140" t="inlineStr">
        <is>
          <t>Holmen skog AB</t>
        </is>
      </c>
      <c r="G140" t="n">
        <v>5.1</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15534-2024 artfynd.xlsx", "A 15534-2024")</f>
        <v/>
      </c>
      <c r="T140">
        <f>HYPERLINK("https://klasma.github.io/Logging_0883/kartor/A 15534-2024 karta.png", "A 15534-2024")</f>
        <v/>
      </c>
      <c r="U140">
        <f>HYPERLINK("https://klasma.github.io/Logging_0883/knärot/A 15534-2024 karta knärot.png", "A 15534-2024")</f>
        <v/>
      </c>
      <c r="V140">
        <f>HYPERLINK("https://klasma.github.io/Logging_0883/klagomål/A 15534-2024 FSC-klagomål.docx", "A 15534-2024")</f>
        <v/>
      </c>
      <c r="W140">
        <f>HYPERLINK("https://klasma.github.io/Logging_0883/klagomålsmail/A 15534-2024 FSC-klagomål mail.docx", "A 15534-2024")</f>
        <v/>
      </c>
      <c r="X140">
        <f>HYPERLINK("https://klasma.github.io/Logging_0883/tillsyn/A 15534-2024 tillsynsbegäran.docx", "A 15534-2024")</f>
        <v/>
      </c>
      <c r="Y140">
        <f>HYPERLINK("https://klasma.github.io/Logging_0883/tillsynsmail/A 15534-2024 tillsynsbegäran mail.docx", "A 15534-2024")</f>
        <v/>
      </c>
    </row>
    <row r="141" ht="15" customHeight="1">
      <c r="A141" t="inlineStr">
        <is>
          <t>A 17438-2024</t>
        </is>
      </c>
      <c r="B141" s="1" t="n">
        <v>45415</v>
      </c>
      <c r="C141" s="1" t="n">
        <v>46078</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46078</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1373-2024</t>
        </is>
      </c>
      <c r="B143" s="1" t="n">
        <v>45303</v>
      </c>
      <c r="C143" s="1" t="n">
        <v>46078</v>
      </c>
      <c r="D143" t="inlineStr">
        <is>
          <t>KALMAR LÄN</t>
        </is>
      </c>
      <c r="E143" t="inlineStr">
        <is>
          <t>VÄSTERVIK</t>
        </is>
      </c>
      <c r="G143" t="n">
        <v>1.2</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25439-2021</t>
        </is>
      </c>
      <c r="B144" s="1" t="n">
        <v>44342</v>
      </c>
      <c r="C144" s="1" t="n">
        <v>46078</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46552-2022</t>
        </is>
      </c>
      <c r="B145" s="1" t="n">
        <v>44848</v>
      </c>
      <c r="C145" s="1" t="n">
        <v>46078</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50647-2025</t>
        </is>
      </c>
      <c r="B146" s="1" t="n">
        <v>45945.65792824074</v>
      </c>
      <c r="C146" s="1" t="n">
        <v>46078</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50647-2025 artfynd.xlsx", "A 50647-2025")</f>
        <v/>
      </c>
      <c r="T146">
        <f>HYPERLINK("https://klasma.github.io/Logging_0883/kartor/A 50647-2025 karta.png", "A 50647-2025")</f>
        <v/>
      </c>
      <c r="U146">
        <f>HYPERLINK("https://klasma.github.io/Logging_0883/knärot/A 50647-2025 karta knärot.png", "A 50647-2025")</f>
        <v/>
      </c>
      <c r="V146">
        <f>HYPERLINK("https://klasma.github.io/Logging_0883/klagomål/A 50647-2025 FSC-klagomål.docx", "A 50647-2025")</f>
        <v/>
      </c>
      <c r="W146">
        <f>HYPERLINK("https://klasma.github.io/Logging_0883/klagomålsmail/A 50647-2025 FSC-klagomål mail.docx", "A 50647-2025")</f>
        <v/>
      </c>
      <c r="X146">
        <f>HYPERLINK("https://klasma.github.io/Logging_0883/tillsyn/A 50647-2025 tillsynsbegäran.docx", "A 50647-2025")</f>
        <v/>
      </c>
      <c r="Y146">
        <f>HYPERLINK("https://klasma.github.io/Logging_0883/tillsynsmail/A 50647-2025 tillsynsbegäran mail.docx", "A 50647-2025")</f>
        <v/>
      </c>
    </row>
    <row r="147" ht="15" customHeight="1">
      <c r="A147" t="inlineStr">
        <is>
          <t>A 958-2025</t>
        </is>
      </c>
      <c r="B147" s="1" t="n">
        <v>45666</v>
      </c>
      <c r="C147" s="1" t="n">
        <v>46078</v>
      </c>
      <c r="D147" t="inlineStr">
        <is>
          <t>KALMAR LÄN</t>
        </is>
      </c>
      <c r="E147" t="inlineStr">
        <is>
          <t>VÄSTERVIK</t>
        </is>
      </c>
      <c r="G147" t="n">
        <v>2.8</v>
      </c>
      <c r="H147" t="n">
        <v>1</v>
      </c>
      <c r="I147" t="n">
        <v>0</v>
      </c>
      <c r="J147" t="n">
        <v>2</v>
      </c>
      <c r="K147" t="n">
        <v>0</v>
      </c>
      <c r="L147" t="n">
        <v>0</v>
      </c>
      <c r="M147" t="n">
        <v>0</v>
      </c>
      <c r="N147" t="n">
        <v>0</v>
      </c>
      <c r="O147" t="n">
        <v>2</v>
      </c>
      <c r="P147" t="n">
        <v>0</v>
      </c>
      <c r="Q147" t="n">
        <v>2</v>
      </c>
      <c r="R147" s="2" t="inlineStr">
        <is>
          <t>Orange taggsvamp
Spillkråka</t>
        </is>
      </c>
      <c r="S147">
        <f>HYPERLINK("https://klasma.github.io/Logging_0883/artfynd/A 958-2025 artfynd.xlsx", "A 958-2025")</f>
        <v/>
      </c>
      <c r="T147">
        <f>HYPERLINK("https://klasma.github.io/Logging_0883/kartor/A 958-2025 karta.png", "A 958-2025")</f>
        <v/>
      </c>
      <c r="V147">
        <f>HYPERLINK("https://klasma.github.io/Logging_0883/klagomål/A 958-2025 FSC-klagomål.docx", "A 958-2025")</f>
        <v/>
      </c>
      <c r="W147">
        <f>HYPERLINK("https://klasma.github.io/Logging_0883/klagomålsmail/A 958-2025 FSC-klagomål mail.docx", "A 958-2025")</f>
        <v/>
      </c>
      <c r="X147">
        <f>HYPERLINK("https://klasma.github.io/Logging_0883/tillsyn/A 958-2025 tillsynsbegäran.docx", "A 958-2025")</f>
        <v/>
      </c>
      <c r="Y147">
        <f>HYPERLINK("https://klasma.github.io/Logging_0883/tillsynsmail/A 958-2025 tillsynsbegäran mail.docx", "A 958-2025")</f>
        <v/>
      </c>
      <c r="Z147">
        <f>HYPERLINK("https://klasma.github.io/Logging_0883/fåglar/A 958-2025 prioriterade fågelarter.docx", "A 958-2025")</f>
        <v/>
      </c>
    </row>
    <row r="148" ht="15" customHeight="1">
      <c r="A148" t="inlineStr">
        <is>
          <t>A 34292-2025</t>
        </is>
      </c>
      <c r="B148" s="1" t="n">
        <v>45846.34083333334</v>
      </c>
      <c r="C148" s="1" t="n">
        <v>46078</v>
      </c>
      <c r="D148" t="inlineStr">
        <is>
          <t>KALMAR LÄN</t>
        </is>
      </c>
      <c r="E148" t="inlineStr">
        <is>
          <t>VÄSTERVIK</t>
        </is>
      </c>
      <c r="G148" t="n">
        <v>3.4</v>
      </c>
      <c r="H148" t="n">
        <v>0</v>
      </c>
      <c r="I148" t="n">
        <v>1</v>
      </c>
      <c r="J148" t="n">
        <v>1</v>
      </c>
      <c r="K148" t="n">
        <v>0</v>
      </c>
      <c r="L148" t="n">
        <v>0</v>
      </c>
      <c r="M148" t="n">
        <v>0</v>
      </c>
      <c r="N148" t="n">
        <v>0</v>
      </c>
      <c r="O148" t="n">
        <v>1</v>
      </c>
      <c r="P148" t="n">
        <v>0</v>
      </c>
      <c r="Q148" t="n">
        <v>2</v>
      </c>
      <c r="R148" s="2" t="inlineStr">
        <is>
          <t>Tallticka
Blåmossa</t>
        </is>
      </c>
      <c r="S148">
        <f>HYPERLINK("https://klasma.github.io/Logging_0883/artfynd/A 34292-2025 artfynd.xlsx", "A 34292-2025")</f>
        <v/>
      </c>
      <c r="T148">
        <f>HYPERLINK("https://klasma.github.io/Logging_0883/kartor/A 34292-2025 karta.png", "A 34292-2025")</f>
        <v/>
      </c>
      <c r="V148">
        <f>HYPERLINK("https://klasma.github.io/Logging_0883/klagomål/A 34292-2025 FSC-klagomål.docx", "A 34292-2025")</f>
        <v/>
      </c>
      <c r="W148">
        <f>HYPERLINK("https://klasma.github.io/Logging_0883/klagomålsmail/A 34292-2025 FSC-klagomål mail.docx", "A 34292-2025")</f>
        <v/>
      </c>
      <c r="X148">
        <f>HYPERLINK("https://klasma.github.io/Logging_0883/tillsyn/A 34292-2025 tillsynsbegäran.docx", "A 34292-2025")</f>
        <v/>
      </c>
      <c r="Y148">
        <f>HYPERLINK("https://klasma.github.io/Logging_0883/tillsynsmail/A 34292-2025 tillsynsbegäran mail.docx", "A 34292-2025")</f>
        <v/>
      </c>
    </row>
    <row r="149" ht="15" customHeight="1">
      <c r="A149" t="inlineStr">
        <is>
          <t>A 53769-2021</t>
        </is>
      </c>
      <c r="B149" s="1" t="n">
        <v>44467</v>
      </c>
      <c r="C149" s="1" t="n">
        <v>46078</v>
      </c>
      <c r="D149" t="inlineStr">
        <is>
          <t>KALMAR LÄN</t>
        </is>
      </c>
      <c r="E149" t="inlineStr">
        <is>
          <t>VÄSTERVIK</t>
        </is>
      </c>
      <c r="G149" t="n">
        <v>2.2</v>
      </c>
      <c r="H149" t="n">
        <v>1</v>
      </c>
      <c r="I149" t="n">
        <v>2</v>
      </c>
      <c r="J149" t="n">
        <v>0</v>
      </c>
      <c r="K149" t="n">
        <v>0</v>
      </c>
      <c r="L149" t="n">
        <v>0</v>
      </c>
      <c r="M149" t="n">
        <v>0</v>
      </c>
      <c r="N149" t="n">
        <v>0</v>
      </c>
      <c r="O149" t="n">
        <v>0</v>
      </c>
      <c r="P149" t="n">
        <v>0</v>
      </c>
      <c r="Q149" t="n">
        <v>2</v>
      </c>
      <c r="R149" s="2" t="inlineStr">
        <is>
          <t>Grön sköldmossa
Stubbspretmossa</t>
        </is>
      </c>
      <c r="S149">
        <f>HYPERLINK("https://klasma.github.io/Logging_0883/artfynd/A 53769-2021 artfynd.xlsx", "A 53769-2021")</f>
        <v/>
      </c>
      <c r="T149">
        <f>HYPERLINK("https://klasma.github.io/Logging_0883/kartor/A 53769-2021 karta.png", "A 53769-2021")</f>
        <v/>
      </c>
      <c r="V149">
        <f>HYPERLINK("https://klasma.github.io/Logging_0883/klagomål/A 53769-2021 FSC-klagomål.docx", "A 53769-2021")</f>
        <v/>
      </c>
      <c r="W149">
        <f>HYPERLINK("https://klasma.github.io/Logging_0883/klagomålsmail/A 53769-2021 FSC-klagomål mail.docx", "A 53769-2021")</f>
        <v/>
      </c>
      <c r="X149">
        <f>HYPERLINK("https://klasma.github.io/Logging_0883/tillsyn/A 53769-2021 tillsynsbegäran.docx", "A 53769-2021")</f>
        <v/>
      </c>
      <c r="Y149">
        <f>HYPERLINK("https://klasma.github.io/Logging_0883/tillsynsmail/A 53769-2021 tillsynsbegäran mail.docx", "A 53769-2021")</f>
        <v/>
      </c>
    </row>
    <row r="150" ht="15" customHeight="1">
      <c r="A150" t="inlineStr">
        <is>
          <t>A 52030-2025</t>
        </is>
      </c>
      <c r="B150" s="1" t="n">
        <v>45952.60846064815</v>
      </c>
      <c r="C150" s="1" t="n">
        <v>46078</v>
      </c>
      <c r="D150" t="inlineStr">
        <is>
          <t>KALMAR LÄN</t>
        </is>
      </c>
      <c r="E150" t="inlineStr">
        <is>
          <t>VÄSTERVIK</t>
        </is>
      </c>
      <c r="F150" t="inlineStr">
        <is>
          <t>Holmen skog AB</t>
        </is>
      </c>
      <c r="G150" t="n">
        <v>7.3</v>
      </c>
      <c r="H150" t="n">
        <v>0</v>
      </c>
      <c r="I150" t="n">
        <v>0</v>
      </c>
      <c r="J150" t="n">
        <v>2</v>
      </c>
      <c r="K150" t="n">
        <v>0</v>
      </c>
      <c r="L150" t="n">
        <v>0</v>
      </c>
      <c r="M150" t="n">
        <v>0</v>
      </c>
      <c r="N150" t="n">
        <v>0</v>
      </c>
      <c r="O150" t="n">
        <v>2</v>
      </c>
      <c r="P150" t="n">
        <v>0</v>
      </c>
      <c r="Q150" t="n">
        <v>2</v>
      </c>
      <c r="R150" s="2" t="inlineStr">
        <is>
          <t>Ekticka
Oxtungssvamp</t>
        </is>
      </c>
      <c r="S150">
        <f>HYPERLINK("https://klasma.github.io/Logging_0883/artfynd/A 52030-2025 artfynd.xlsx", "A 52030-2025")</f>
        <v/>
      </c>
      <c r="T150">
        <f>HYPERLINK("https://klasma.github.io/Logging_0883/kartor/A 52030-2025 karta.png", "A 52030-2025")</f>
        <v/>
      </c>
      <c r="V150">
        <f>HYPERLINK("https://klasma.github.io/Logging_0883/klagomål/A 52030-2025 FSC-klagomål.docx", "A 52030-2025")</f>
        <v/>
      </c>
      <c r="W150">
        <f>HYPERLINK("https://klasma.github.io/Logging_0883/klagomålsmail/A 52030-2025 FSC-klagomål mail.docx", "A 52030-2025")</f>
        <v/>
      </c>
      <c r="X150">
        <f>HYPERLINK("https://klasma.github.io/Logging_0883/tillsyn/A 52030-2025 tillsynsbegäran.docx", "A 52030-2025")</f>
        <v/>
      </c>
      <c r="Y150">
        <f>HYPERLINK("https://klasma.github.io/Logging_0883/tillsynsmail/A 52030-2025 tillsynsbegäran mail.docx", "A 52030-2025")</f>
        <v/>
      </c>
    </row>
    <row r="151" ht="15" customHeight="1">
      <c r="A151" t="inlineStr">
        <is>
          <t>A 72945-2021</t>
        </is>
      </c>
      <c r="B151" s="1" t="n">
        <v>44547.90868055556</v>
      </c>
      <c r="C151" s="1" t="n">
        <v>46078</v>
      </c>
      <c r="D151" t="inlineStr">
        <is>
          <t>KALMAR LÄN</t>
        </is>
      </c>
      <c r="E151" t="inlineStr">
        <is>
          <t>VÄSTERVIK</t>
        </is>
      </c>
      <c r="G151" t="n">
        <v>1.6</v>
      </c>
      <c r="H151" t="n">
        <v>0</v>
      </c>
      <c r="I151" t="n">
        <v>1</v>
      </c>
      <c r="J151" t="n">
        <v>1</v>
      </c>
      <c r="K151" t="n">
        <v>0</v>
      </c>
      <c r="L151" t="n">
        <v>0</v>
      </c>
      <c r="M151" t="n">
        <v>0</v>
      </c>
      <c r="N151" t="n">
        <v>0</v>
      </c>
      <c r="O151" t="n">
        <v>1</v>
      </c>
      <c r="P151" t="n">
        <v>0</v>
      </c>
      <c r="Q151" t="n">
        <v>2</v>
      </c>
      <c r="R151" s="2" t="inlineStr">
        <is>
          <t>Veckticka
Rävticka</t>
        </is>
      </c>
      <c r="S151">
        <f>HYPERLINK("https://klasma.github.io/Logging_0883/artfynd/A 72945-2021 artfynd.xlsx", "A 72945-2021")</f>
        <v/>
      </c>
      <c r="T151">
        <f>HYPERLINK("https://klasma.github.io/Logging_0883/kartor/A 72945-2021 karta.png", "A 72945-2021")</f>
        <v/>
      </c>
      <c r="V151">
        <f>HYPERLINK("https://klasma.github.io/Logging_0883/klagomål/A 72945-2021 FSC-klagomål.docx", "A 72945-2021")</f>
        <v/>
      </c>
      <c r="W151">
        <f>HYPERLINK("https://klasma.github.io/Logging_0883/klagomålsmail/A 72945-2021 FSC-klagomål mail.docx", "A 72945-2021")</f>
        <v/>
      </c>
      <c r="X151">
        <f>HYPERLINK("https://klasma.github.io/Logging_0883/tillsyn/A 72945-2021 tillsynsbegäran.docx", "A 72945-2021")</f>
        <v/>
      </c>
      <c r="Y151">
        <f>HYPERLINK("https://klasma.github.io/Logging_0883/tillsynsmail/A 72945-2021 tillsynsbegäran mail.docx", "A 72945-2021")</f>
        <v/>
      </c>
    </row>
    <row r="152" ht="15" customHeight="1">
      <c r="A152" t="inlineStr">
        <is>
          <t>A 2515-2023</t>
        </is>
      </c>
      <c r="B152" s="1" t="n">
        <v>44943</v>
      </c>
      <c r="C152" s="1" t="n">
        <v>46078</v>
      </c>
      <c r="D152" t="inlineStr">
        <is>
          <t>KALMAR LÄN</t>
        </is>
      </c>
      <c r="E152" t="inlineStr">
        <is>
          <t>VÄSTERVIK</t>
        </is>
      </c>
      <c r="G152" t="n">
        <v>1.3</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2515-2023 artfynd.xlsx", "A 2515-2023")</f>
        <v/>
      </c>
      <c r="T152">
        <f>HYPERLINK("https://klasma.github.io/Logging_0883/kartor/A 2515-2023 karta.png", "A 2515-2023")</f>
        <v/>
      </c>
      <c r="U152">
        <f>HYPERLINK("https://klasma.github.io/Logging_0883/knärot/A 2515-2023 karta knärot.png", "A 2515-2023")</f>
        <v/>
      </c>
      <c r="V152">
        <f>HYPERLINK("https://klasma.github.io/Logging_0883/klagomål/A 2515-2023 FSC-klagomål.docx", "A 2515-2023")</f>
        <v/>
      </c>
      <c r="W152">
        <f>HYPERLINK("https://klasma.github.io/Logging_0883/klagomålsmail/A 2515-2023 FSC-klagomål mail.docx", "A 2515-2023")</f>
        <v/>
      </c>
      <c r="X152">
        <f>HYPERLINK("https://klasma.github.io/Logging_0883/tillsyn/A 2515-2023 tillsynsbegäran.docx", "A 2515-2023")</f>
        <v/>
      </c>
      <c r="Y152">
        <f>HYPERLINK("https://klasma.github.io/Logging_0883/tillsynsmail/A 2515-2023 tillsynsbegäran mail.docx", "A 2515-2023")</f>
        <v/>
      </c>
    </row>
    <row r="153" ht="15" customHeight="1">
      <c r="A153" t="inlineStr">
        <is>
          <t>A 32649-2023</t>
        </is>
      </c>
      <c r="B153" s="1" t="n">
        <v>45121</v>
      </c>
      <c r="C153" s="1" t="n">
        <v>46078</v>
      </c>
      <c r="D153" t="inlineStr">
        <is>
          <t>KALMAR LÄN</t>
        </is>
      </c>
      <c r="E153" t="inlineStr">
        <is>
          <t>VÄSTERVIK</t>
        </is>
      </c>
      <c r="G153" t="n">
        <v>1.7</v>
      </c>
      <c r="H153" t="n">
        <v>1</v>
      </c>
      <c r="I153" t="n">
        <v>1</v>
      </c>
      <c r="J153" t="n">
        <v>0</v>
      </c>
      <c r="K153" t="n">
        <v>1</v>
      </c>
      <c r="L153" t="n">
        <v>0</v>
      </c>
      <c r="M153" t="n">
        <v>0</v>
      </c>
      <c r="N153" t="n">
        <v>0</v>
      </c>
      <c r="O153" t="n">
        <v>1</v>
      </c>
      <c r="P153" t="n">
        <v>1</v>
      </c>
      <c r="Q153" t="n">
        <v>2</v>
      </c>
      <c r="R153" s="2" t="inlineStr">
        <is>
          <t>Knärot
Blåmossa</t>
        </is>
      </c>
      <c r="S153">
        <f>HYPERLINK("https://klasma.github.io/Logging_0883/artfynd/A 32649-2023 artfynd.xlsx", "A 32649-2023")</f>
        <v/>
      </c>
      <c r="T153">
        <f>HYPERLINK("https://klasma.github.io/Logging_0883/kartor/A 32649-2023 karta.png", "A 32649-2023")</f>
        <v/>
      </c>
      <c r="U153">
        <f>HYPERLINK("https://klasma.github.io/Logging_0883/knärot/A 32649-2023 karta knärot.png", "A 32649-2023")</f>
        <v/>
      </c>
      <c r="V153">
        <f>HYPERLINK("https://klasma.github.io/Logging_0883/klagomål/A 32649-2023 FSC-klagomål.docx", "A 32649-2023")</f>
        <v/>
      </c>
      <c r="W153">
        <f>HYPERLINK("https://klasma.github.io/Logging_0883/klagomålsmail/A 32649-2023 FSC-klagomål mail.docx", "A 32649-2023")</f>
        <v/>
      </c>
      <c r="X153">
        <f>HYPERLINK("https://klasma.github.io/Logging_0883/tillsyn/A 32649-2023 tillsynsbegäran.docx", "A 32649-2023")</f>
        <v/>
      </c>
      <c r="Y153">
        <f>HYPERLINK("https://klasma.github.io/Logging_0883/tillsynsmail/A 32649-2023 tillsynsbegäran mail.docx", "A 32649-2023")</f>
        <v/>
      </c>
    </row>
    <row r="154" ht="15" customHeight="1">
      <c r="A154" t="inlineStr">
        <is>
          <t>A 53129-2025</t>
        </is>
      </c>
      <c r="B154" s="1" t="n">
        <v>45958.46118055555</v>
      </c>
      <c r="C154" s="1" t="n">
        <v>46078</v>
      </c>
      <c r="D154" t="inlineStr">
        <is>
          <t>KALMAR LÄN</t>
        </is>
      </c>
      <c r="E154" t="inlineStr">
        <is>
          <t>VÄSTERVIK</t>
        </is>
      </c>
      <c r="G154" t="n">
        <v>4.1</v>
      </c>
      <c r="H154" t="n">
        <v>2</v>
      </c>
      <c r="I154" t="n">
        <v>1</v>
      </c>
      <c r="J154" t="n">
        <v>1</v>
      </c>
      <c r="K154" t="n">
        <v>0</v>
      </c>
      <c r="L154" t="n">
        <v>0</v>
      </c>
      <c r="M154" t="n">
        <v>0</v>
      </c>
      <c r="N154" t="n">
        <v>0</v>
      </c>
      <c r="O154" t="n">
        <v>1</v>
      </c>
      <c r="P154" t="n">
        <v>0</v>
      </c>
      <c r="Q154" t="n">
        <v>2</v>
      </c>
      <c r="R154" s="2" t="inlineStr">
        <is>
          <t>Spillkråka
Skogsknipprot</t>
        </is>
      </c>
      <c r="S154">
        <f>HYPERLINK("https://klasma.github.io/Logging_0883/artfynd/A 53129-2025 artfynd.xlsx", "A 53129-2025")</f>
        <v/>
      </c>
      <c r="T154">
        <f>HYPERLINK("https://klasma.github.io/Logging_0883/kartor/A 53129-2025 karta.png", "A 53129-2025")</f>
        <v/>
      </c>
      <c r="V154">
        <f>HYPERLINK("https://klasma.github.io/Logging_0883/klagomål/A 53129-2025 FSC-klagomål.docx", "A 53129-2025")</f>
        <v/>
      </c>
      <c r="W154">
        <f>HYPERLINK("https://klasma.github.io/Logging_0883/klagomålsmail/A 53129-2025 FSC-klagomål mail.docx", "A 53129-2025")</f>
        <v/>
      </c>
      <c r="X154">
        <f>HYPERLINK("https://klasma.github.io/Logging_0883/tillsyn/A 53129-2025 tillsynsbegäran.docx", "A 53129-2025")</f>
        <v/>
      </c>
      <c r="Y154">
        <f>HYPERLINK("https://klasma.github.io/Logging_0883/tillsynsmail/A 53129-2025 tillsynsbegäran mail.docx", "A 53129-2025")</f>
        <v/>
      </c>
      <c r="Z154">
        <f>HYPERLINK("https://klasma.github.io/Logging_0883/fåglar/A 53129-2025 prioriterade fågelarter.docx", "A 53129-2025")</f>
        <v/>
      </c>
    </row>
    <row r="155" ht="15" customHeight="1">
      <c r="A155" t="inlineStr">
        <is>
          <t>A 46787-2022</t>
        </is>
      </c>
      <c r="B155" s="1" t="n">
        <v>44851</v>
      </c>
      <c r="C155" s="1" t="n">
        <v>46078</v>
      </c>
      <c r="D155" t="inlineStr">
        <is>
          <t>KALMAR LÄN</t>
        </is>
      </c>
      <c r="E155" t="inlineStr">
        <is>
          <t>VÄSTERVIK</t>
        </is>
      </c>
      <c r="G155" t="n">
        <v>4.4</v>
      </c>
      <c r="H155" t="n">
        <v>0</v>
      </c>
      <c r="I155" t="n">
        <v>0</v>
      </c>
      <c r="J155" t="n">
        <v>2</v>
      </c>
      <c r="K155" t="n">
        <v>0</v>
      </c>
      <c r="L155" t="n">
        <v>0</v>
      </c>
      <c r="M155" t="n">
        <v>0</v>
      </c>
      <c r="N155" t="n">
        <v>0</v>
      </c>
      <c r="O155" t="n">
        <v>2</v>
      </c>
      <c r="P155" t="n">
        <v>0</v>
      </c>
      <c r="Q155" t="n">
        <v>2</v>
      </c>
      <c r="R155" s="2" t="inlineStr">
        <is>
          <t>Motaggsvamp
Tallticka</t>
        </is>
      </c>
      <c r="S155">
        <f>HYPERLINK("https://klasma.github.io/Logging_0883/artfynd/A 46787-2022 artfynd.xlsx", "A 46787-2022")</f>
        <v/>
      </c>
      <c r="T155">
        <f>HYPERLINK("https://klasma.github.io/Logging_0883/kartor/A 46787-2022 karta.png", "A 46787-2022")</f>
        <v/>
      </c>
      <c r="V155">
        <f>HYPERLINK("https://klasma.github.io/Logging_0883/klagomål/A 46787-2022 FSC-klagomål.docx", "A 46787-2022")</f>
        <v/>
      </c>
      <c r="W155">
        <f>HYPERLINK("https://klasma.github.io/Logging_0883/klagomålsmail/A 46787-2022 FSC-klagomål mail.docx", "A 46787-2022")</f>
        <v/>
      </c>
      <c r="X155">
        <f>HYPERLINK("https://klasma.github.io/Logging_0883/tillsyn/A 46787-2022 tillsynsbegäran.docx", "A 46787-2022")</f>
        <v/>
      </c>
      <c r="Y155">
        <f>HYPERLINK("https://klasma.github.io/Logging_0883/tillsynsmail/A 46787-2022 tillsynsbegäran mail.docx", "A 46787-2022")</f>
        <v/>
      </c>
    </row>
    <row r="156" ht="15" customHeight="1">
      <c r="A156" t="inlineStr">
        <is>
          <t>A 34119-2023</t>
        </is>
      </c>
      <c r="B156" s="1" t="n">
        <v>45135</v>
      </c>
      <c r="C156" s="1" t="n">
        <v>46078</v>
      </c>
      <c r="D156" t="inlineStr">
        <is>
          <t>KALMAR LÄN</t>
        </is>
      </c>
      <c r="E156" t="inlineStr">
        <is>
          <t>VÄSTERVIK</t>
        </is>
      </c>
      <c r="G156" t="n">
        <v>3.1</v>
      </c>
      <c r="H156" t="n">
        <v>1</v>
      </c>
      <c r="I156" t="n">
        <v>1</v>
      </c>
      <c r="J156" t="n">
        <v>0</v>
      </c>
      <c r="K156" t="n">
        <v>1</v>
      </c>
      <c r="L156" t="n">
        <v>0</v>
      </c>
      <c r="M156" t="n">
        <v>0</v>
      </c>
      <c r="N156" t="n">
        <v>0</v>
      </c>
      <c r="O156" t="n">
        <v>1</v>
      </c>
      <c r="P156" t="n">
        <v>1</v>
      </c>
      <c r="Q156" t="n">
        <v>2</v>
      </c>
      <c r="R156" s="2" t="inlineStr">
        <is>
          <t>Knärot
Blomkålssvamp</t>
        </is>
      </c>
      <c r="S156">
        <f>HYPERLINK("https://klasma.github.io/Logging_0883/artfynd/A 34119-2023 artfynd.xlsx", "A 34119-2023")</f>
        <v/>
      </c>
      <c r="T156">
        <f>HYPERLINK("https://klasma.github.io/Logging_0883/kartor/A 34119-2023 karta.png", "A 34119-2023")</f>
        <v/>
      </c>
      <c r="U156">
        <f>HYPERLINK("https://klasma.github.io/Logging_0883/knärot/A 34119-2023 karta knärot.png", "A 34119-2023")</f>
        <v/>
      </c>
      <c r="V156">
        <f>HYPERLINK("https://klasma.github.io/Logging_0883/klagomål/A 34119-2023 FSC-klagomål.docx", "A 34119-2023")</f>
        <v/>
      </c>
      <c r="W156">
        <f>HYPERLINK("https://klasma.github.io/Logging_0883/klagomålsmail/A 34119-2023 FSC-klagomål mail.docx", "A 34119-2023")</f>
        <v/>
      </c>
      <c r="X156">
        <f>HYPERLINK("https://klasma.github.io/Logging_0883/tillsyn/A 34119-2023 tillsynsbegäran.docx", "A 34119-2023")</f>
        <v/>
      </c>
      <c r="Y156">
        <f>HYPERLINK("https://klasma.github.io/Logging_0883/tillsynsmail/A 34119-2023 tillsynsbegäran mail.docx", "A 34119-2023")</f>
        <v/>
      </c>
    </row>
    <row r="157" ht="15" customHeight="1">
      <c r="A157" t="inlineStr">
        <is>
          <t>A 3173-2023</t>
        </is>
      </c>
      <c r="B157" s="1" t="n">
        <v>44946</v>
      </c>
      <c r="C157" s="1" t="n">
        <v>46078</v>
      </c>
      <c r="D157" t="inlineStr">
        <is>
          <t>KALMAR LÄN</t>
        </is>
      </c>
      <c r="E157" t="inlineStr">
        <is>
          <t>VÄSTERVIK</t>
        </is>
      </c>
      <c r="G157" t="n">
        <v>4</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3173-2023 artfynd.xlsx", "A 3173-2023")</f>
        <v/>
      </c>
      <c r="T157">
        <f>HYPERLINK("https://klasma.github.io/Logging_0883/kartor/A 3173-2023 karta.png", "A 3173-2023")</f>
        <v/>
      </c>
      <c r="U157">
        <f>HYPERLINK("https://klasma.github.io/Logging_0883/knärot/A 3173-2023 karta knärot.png", "A 3173-2023")</f>
        <v/>
      </c>
      <c r="V157">
        <f>HYPERLINK("https://klasma.github.io/Logging_0883/klagomål/A 3173-2023 FSC-klagomål.docx", "A 3173-2023")</f>
        <v/>
      </c>
      <c r="W157">
        <f>HYPERLINK("https://klasma.github.io/Logging_0883/klagomålsmail/A 3173-2023 FSC-klagomål mail.docx", "A 3173-2023")</f>
        <v/>
      </c>
      <c r="X157">
        <f>HYPERLINK("https://klasma.github.io/Logging_0883/tillsyn/A 3173-2023 tillsynsbegäran.docx", "A 3173-2023")</f>
        <v/>
      </c>
      <c r="Y157">
        <f>HYPERLINK("https://klasma.github.io/Logging_0883/tillsynsmail/A 3173-2023 tillsynsbegäran mail.docx", "A 3173-2023")</f>
        <v/>
      </c>
    </row>
    <row r="158" ht="15" customHeight="1">
      <c r="A158" t="inlineStr">
        <is>
          <t>A 55086-2025</t>
        </is>
      </c>
      <c r="B158" s="1" t="n">
        <v>45968.33027777778</v>
      </c>
      <c r="C158" s="1" t="n">
        <v>46078</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46078</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3658-2024</t>
        </is>
      </c>
      <c r="B160" s="1" t="n">
        <v>45321</v>
      </c>
      <c r="C160" s="1" t="n">
        <v>46078</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57977-2025</t>
        </is>
      </c>
      <c r="B161" s="1" t="n">
        <v>45982.39497685185</v>
      </c>
      <c r="C161" s="1" t="n">
        <v>46078</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46078</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Leptoporus erubescens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46157-2025</t>
        </is>
      </c>
      <c r="B163" s="1" t="n">
        <v>45924.63246527778</v>
      </c>
      <c r="C163" s="1" t="n">
        <v>46078</v>
      </c>
      <c r="D163" t="inlineStr">
        <is>
          <t>KALMAR LÄN</t>
        </is>
      </c>
      <c r="E163" t="inlineStr">
        <is>
          <t>VÄSTERVIK</t>
        </is>
      </c>
      <c r="G163" t="n">
        <v>3.1</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46157-2025 artfynd.xlsx", "A 46157-2025")</f>
        <v/>
      </c>
      <c r="T163">
        <f>HYPERLINK("https://klasma.github.io/Logging_0883/kartor/A 46157-2025 karta.png", "A 46157-2025")</f>
        <v/>
      </c>
      <c r="V163">
        <f>HYPERLINK("https://klasma.github.io/Logging_0883/klagomål/A 46157-2025 FSC-klagomål.docx", "A 46157-2025")</f>
        <v/>
      </c>
      <c r="W163">
        <f>HYPERLINK("https://klasma.github.io/Logging_0883/klagomålsmail/A 46157-2025 FSC-klagomål mail.docx", "A 46157-2025")</f>
        <v/>
      </c>
      <c r="X163">
        <f>HYPERLINK("https://klasma.github.io/Logging_0883/tillsyn/A 46157-2025 tillsynsbegäran.docx", "A 46157-2025")</f>
        <v/>
      </c>
      <c r="Y163">
        <f>HYPERLINK("https://klasma.github.io/Logging_0883/tillsynsmail/A 46157-2025 tillsynsbegäran mail.docx", "A 46157-2025")</f>
        <v/>
      </c>
      <c r="Z163">
        <f>HYPERLINK("https://klasma.github.io/Logging_0883/fåglar/A 46157-2025 prioriterade fågelarter.docx", "A 46157-2025")</f>
        <v/>
      </c>
    </row>
    <row r="164" ht="15" customHeight="1">
      <c r="A164" t="inlineStr">
        <is>
          <t>A 59852-2025</t>
        </is>
      </c>
      <c r="B164" s="1" t="n">
        <v>45992.71744212963</v>
      </c>
      <c r="C164" s="1" t="n">
        <v>46078</v>
      </c>
      <c r="D164" t="inlineStr">
        <is>
          <t>KALMAR LÄN</t>
        </is>
      </c>
      <c r="E164" t="inlineStr">
        <is>
          <t>VÄSTERVIK</t>
        </is>
      </c>
      <c r="F164" t="inlineStr">
        <is>
          <t>Holmen skog AB</t>
        </is>
      </c>
      <c r="G164" t="n">
        <v>3.3</v>
      </c>
      <c r="H164" t="n">
        <v>2</v>
      </c>
      <c r="I164" t="n">
        <v>0</v>
      </c>
      <c r="J164" t="n">
        <v>1</v>
      </c>
      <c r="K164" t="n">
        <v>0</v>
      </c>
      <c r="L164" t="n">
        <v>0</v>
      </c>
      <c r="M164" t="n">
        <v>0</v>
      </c>
      <c r="N164" t="n">
        <v>0</v>
      </c>
      <c r="O164" t="n">
        <v>1</v>
      </c>
      <c r="P164" t="n">
        <v>0</v>
      </c>
      <c r="Q164" t="n">
        <v>2</v>
      </c>
      <c r="R164" s="2" t="inlineStr">
        <is>
          <t>Spillkråka
Gröngöling</t>
        </is>
      </c>
      <c r="S164">
        <f>HYPERLINK("https://klasma.github.io/Logging_0883/artfynd/A 59852-2025 artfynd.xlsx", "A 59852-2025")</f>
        <v/>
      </c>
      <c r="T164">
        <f>HYPERLINK("https://klasma.github.io/Logging_0883/kartor/A 59852-2025 karta.png", "A 59852-2025")</f>
        <v/>
      </c>
      <c r="V164">
        <f>HYPERLINK("https://klasma.github.io/Logging_0883/klagomål/A 59852-2025 FSC-klagomål.docx", "A 59852-2025")</f>
        <v/>
      </c>
      <c r="W164">
        <f>HYPERLINK("https://klasma.github.io/Logging_0883/klagomålsmail/A 59852-2025 FSC-klagomål mail.docx", "A 59852-2025")</f>
        <v/>
      </c>
      <c r="X164">
        <f>HYPERLINK("https://klasma.github.io/Logging_0883/tillsyn/A 59852-2025 tillsynsbegäran.docx", "A 59852-2025")</f>
        <v/>
      </c>
      <c r="Y164">
        <f>HYPERLINK("https://klasma.github.io/Logging_0883/tillsynsmail/A 59852-2025 tillsynsbegäran mail.docx", "A 59852-2025")</f>
        <v/>
      </c>
      <c r="Z164">
        <f>HYPERLINK("https://klasma.github.io/Logging_0883/fåglar/A 59852-2025 prioriterade fågelarter.docx", "A 59852-2025")</f>
        <v/>
      </c>
    </row>
    <row r="165" ht="15" customHeight="1">
      <c r="A165" t="inlineStr">
        <is>
          <t>A 59654-2025</t>
        </is>
      </c>
      <c r="B165" s="1" t="n">
        <v>45992.43790509259</v>
      </c>
      <c r="C165" s="1" t="n">
        <v>46078</v>
      </c>
      <c r="D165" t="inlineStr">
        <is>
          <t>KALMAR LÄN</t>
        </is>
      </c>
      <c r="E165" t="inlineStr">
        <is>
          <t>VÄSTERVIK</t>
        </is>
      </c>
      <c r="G165" t="n">
        <v>3.3</v>
      </c>
      <c r="H165" t="n">
        <v>1</v>
      </c>
      <c r="I165" t="n">
        <v>0</v>
      </c>
      <c r="J165" t="n">
        <v>2</v>
      </c>
      <c r="K165" t="n">
        <v>0</v>
      </c>
      <c r="L165" t="n">
        <v>0</v>
      </c>
      <c r="M165" t="n">
        <v>0</v>
      </c>
      <c r="N165" t="n">
        <v>0</v>
      </c>
      <c r="O165" t="n">
        <v>2</v>
      </c>
      <c r="P165" t="n">
        <v>0</v>
      </c>
      <c r="Q165" t="n">
        <v>2</v>
      </c>
      <c r="R165" s="2" t="inlineStr">
        <is>
          <t>Rutskinn
Spillkråka</t>
        </is>
      </c>
      <c r="S165">
        <f>HYPERLINK("https://klasma.github.io/Logging_0883/artfynd/A 59654-2025 artfynd.xlsx", "A 59654-2025")</f>
        <v/>
      </c>
      <c r="T165">
        <f>HYPERLINK("https://klasma.github.io/Logging_0883/kartor/A 59654-2025 karta.png", "A 59654-2025")</f>
        <v/>
      </c>
      <c r="V165">
        <f>HYPERLINK("https://klasma.github.io/Logging_0883/klagomål/A 59654-2025 FSC-klagomål.docx", "A 59654-2025")</f>
        <v/>
      </c>
      <c r="W165">
        <f>HYPERLINK("https://klasma.github.io/Logging_0883/klagomålsmail/A 59654-2025 FSC-klagomål mail.docx", "A 59654-2025")</f>
        <v/>
      </c>
      <c r="X165">
        <f>HYPERLINK("https://klasma.github.io/Logging_0883/tillsyn/A 59654-2025 tillsynsbegäran.docx", "A 59654-2025")</f>
        <v/>
      </c>
      <c r="Y165">
        <f>HYPERLINK("https://klasma.github.io/Logging_0883/tillsynsmail/A 59654-2025 tillsynsbegäran mail.docx", "A 59654-2025")</f>
        <v/>
      </c>
      <c r="Z165">
        <f>HYPERLINK("https://klasma.github.io/Logging_0883/fåglar/A 59654-2025 prioriterade fågelarter.docx", "A 59654-2025")</f>
        <v/>
      </c>
    </row>
    <row r="166" ht="15" customHeight="1">
      <c r="A166" t="inlineStr">
        <is>
          <t>A 14086-2025</t>
        </is>
      </c>
      <c r="B166" s="1" t="n">
        <v>45740.44130787037</v>
      </c>
      <c r="C166" s="1" t="n">
        <v>46078</v>
      </c>
      <c r="D166" t="inlineStr">
        <is>
          <t>KALMAR LÄN</t>
        </is>
      </c>
      <c r="E166" t="inlineStr">
        <is>
          <t>VÄSTERVIK</t>
        </is>
      </c>
      <c r="F166" t="inlineStr">
        <is>
          <t>Sveaskog</t>
        </is>
      </c>
      <c r="G166" t="n">
        <v>3.2</v>
      </c>
      <c r="H166" t="n">
        <v>1</v>
      </c>
      <c r="I166" t="n">
        <v>1</v>
      </c>
      <c r="J166" t="n">
        <v>0</v>
      </c>
      <c r="K166" t="n">
        <v>0</v>
      </c>
      <c r="L166" t="n">
        <v>0</v>
      </c>
      <c r="M166" t="n">
        <v>0</v>
      </c>
      <c r="N166" t="n">
        <v>0</v>
      </c>
      <c r="O166" t="n">
        <v>0</v>
      </c>
      <c r="P166" t="n">
        <v>0</v>
      </c>
      <c r="Q166" t="n">
        <v>2</v>
      </c>
      <c r="R166" s="2" t="inlineStr">
        <is>
          <t>Skogsbräsma
Åkergroda</t>
        </is>
      </c>
      <c r="S166">
        <f>HYPERLINK("https://klasma.github.io/Logging_0883/artfynd/A 14086-2025 artfynd.xlsx", "A 14086-2025")</f>
        <v/>
      </c>
      <c r="T166">
        <f>HYPERLINK("https://klasma.github.io/Logging_0883/kartor/A 14086-2025 karta.png", "A 14086-2025")</f>
        <v/>
      </c>
      <c r="V166">
        <f>HYPERLINK("https://klasma.github.io/Logging_0883/klagomål/A 14086-2025 FSC-klagomål.docx", "A 14086-2025")</f>
        <v/>
      </c>
      <c r="W166">
        <f>HYPERLINK("https://klasma.github.io/Logging_0883/klagomålsmail/A 14086-2025 FSC-klagomål mail.docx", "A 14086-2025")</f>
        <v/>
      </c>
      <c r="X166">
        <f>HYPERLINK("https://klasma.github.io/Logging_0883/tillsyn/A 14086-2025 tillsynsbegäran.docx", "A 14086-2025")</f>
        <v/>
      </c>
      <c r="Y166">
        <f>HYPERLINK("https://klasma.github.io/Logging_0883/tillsynsmail/A 14086-2025 tillsynsbegäran mail.docx", "A 14086-2025")</f>
        <v/>
      </c>
    </row>
    <row r="167" ht="15" customHeight="1">
      <c r="A167" t="inlineStr">
        <is>
          <t>A 14089-2025</t>
        </is>
      </c>
      <c r="B167" s="1" t="n">
        <v>45740.44363425926</v>
      </c>
      <c r="C167" s="1" t="n">
        <v>46078</v>
      </c>
      <c r="D167" t="inlineStr">
        <is>
          <t>KALMAR LÄN</t>
        </is>
      </c>
      <c r="E167" t="inlineStr">
        <is>
          <t>VÄSTERVIK</t>
        </is>
      </c>
      <c r="F167" t="inlineStr">
        <is>
          <t>Sveaskog</t>
        </is>
      </c>
      <c r="G167" t="n">
        <v>1.3</v>
      </c>
      <c r="H167" t="n">
        <v>2</v>
      </c>
      <c r="I167" t="n">
        <v>0</v>
      </c>
      <c r="J167" t="n">
        <v>2</v>
      </c>
      <c r="K167" t="n">
        <v>0</v>
      </c>
      <c r="L167" t="n">
        <v>0</v>
      </c>
      <c r="M167" t="n">
        <v>0</v>
      </c>
      <c r="N167" t="n">
        <v>0</v>
      </c>
      <c r="O167" t="n">
        <v>2</v>
      </c>
      <c r="P167" t="n">
        <v>0</v>
      </c>
      <c r="Q167" t="n">
        <v>2</v>
      </c>
      <c r="R167" s="2" t="inlineStr">
        <is>
          <t>Mindre hackspett
Spillkråka</t>
        </is>
      </c>
      <c r="S167">
        <f>HYPERLINK("https://klasma.github.io/Logging_0883/artfynd/A 14089-2025 artfynd.xlsx", "A 14089-2025")</f>
        <v/>
      </c>
      <c r="T167">
        <f>HYPERLINK("https://klasma.github.io/Logging_0883/kartor/A 14089-2025 karta.png", "A 14089-2025")</f>
        <v/>
      </c>
      <c r="V167">
        <f>HYPERLINK("https://klasma.github.io/Logging_0883/klagomål/A 14089-2025 FSC-klagomål.docx", "A 14089-2025")</f>
        <v/>
      </c>
      <c r="W167">
        <f>HYPERLINK("https://klasma.github.io/Logging_0883/klagomålsmail/A 14089-2025 FSC-klagomål mail.docx", "A 14089-2025")</f>
        <v/>
      </c>
      <c r="X167">
        <f>HYPERLINK("https://klasma.github.io/Logging_0883/tillsyn/A 14089-2025 tillsynsbegäran.docx", "A 14089-2025")</f>
        <v/>
      </c>
      <c r="Y167">
        <f>HYPERLINK("https://klasma.github.io/Logging_0883/tillsynsmail/A 14089-2025 tillsynsbegäran mail.docx", "A 14089-2025")</f>
        <v/>
      </c>
      <c r="Z167">
        <f>HYPERLINK("https://klasma.github.io/Logging_0883/fåglar/A 14089-2025 prioriterade fågelarter.docx", "A 14089-2025")</f>
        <v/>
      </c>
    </row>
    <row r="168" ht="15" customHeight="1">
      <c r="A168" t="inlineStr">
        <is>
          <t>A 14301-2023</t>
        </is>
      </c>
      <c r="B168" s="1" t="n">
        <v>45011</v>
      </c>
      <c r="C168" s="1" t="n">
        <v>46078</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61229-2025</t>
        </is>
      </c>
      <c r="B169" s="1" t="n">
        <v>46000.63108796296</v>
      </c>
      <c r="C169" s="1" t="n">
        <v>46078</v>
      </c>
      <c r="D169" t="inlineStr">
        <is>
          <t>KALMAR LÄN</t>
        </is>
      </c>
      <c r="E169" t="inlineStr">
        <is>
          <t>VÄSTERVIK</t>
        </is>
      </c>
      <c r="G169" t="n">
        <v>1.3</v>
      </c>
      <c r="H169" t="n">
        <v>1</v>
      </c>
      <c r="I169" t="n">
        <v>1</v>
      </c>
      <c r="J169" t="n">
        <v>1</v>
      </c>
      <c r="K169" t="n">
        <v>0</v>
      </c>
      <c r="L169" t="n">
        <v>0</v>
      </c>
      <c r="M169" t="n">
        <v>0</v>
      </c>
      <c r="N169" t="n">
        <v>0</v>
      </c>
      <c r="O169" t="n">
        <v>1</v>
      </c>
      <c r="P169" t="n">
        <v>0</v>
      </c>
      <c r="Q169" t="n">
        <v>2</v>
      </c>
      <c r="R169" s="2" t="inlineStr">
        <is>
          <t>Spillkråka
Dropptaggsvamp</t>
        </is>
      </c>
      <c r="S169">
        <f>HYPERLINK("https://klasma.github.io/Logging_0883/artfynd/A 61229-2025 artfynd.xlsx", "A 61229-2025")</f>
        <v/>
      </c>
      <c r="T169">
        <f>HYPERLINK("https://klasma.github.io/Logging_0883/kartor/A 61229-2025 karta.png", "A 61229-2025")</f>
        <v/>
      </c>
      <c r="V169">
        <f>HYPERLINK("https://klasma.github.io/Logging_0883/klagomål/A 61229-2025 FSC-klagomål.docx", "A 61229-2025")</f>
        <v/>
      </c>
      <c r="W169">
        <f>HYPERLINK("https://klasma.github.io/Logging_0883/klagomålsmail/A 61229-2025 FSC-klagomål mail.docx", "A 61229-2025")</f>
        <v/>
      </c>
      <c r="X169">
        <f>HYPERLINK("https://klasma.github.io/Logging_0883/tillsyn/A 61229-2025 tillsynsbegäran.docx", "A 61229-2025")</f>
        <v/>
      </c>
      <c r="Y169">
        <f>HYPERLINK("https://klasma.github.io/Logging_0883/tillsynsmail/A 61229-2025 tillsynsbegäran mail.docx", "A 61229-2025")</f>
        <v/>
      </c>
      <c r="Z169">
        <f>HYPERLINK("https://klasma.github.io/Logging_0883/fåglar/A 61229-2025 prioriterade fågelarter.docx", "A 61229-2025")</f>
        <v/>
      </c>
    </row>
    <row r="170" ht="15" customHeight="1">
      <c r="A170" t="inlineStr">
        <is>
          <t>A 932-2024</t>
        </is>
      </c>
      <c r="B170" s="1" t="n">
        <v>45301</v>
      </c>
      <c r="C170" s="1" t="n">
        <v>46078</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4306-2026</t>
        </is>
      </c>
      <c r="B171" s="1" t="n">
        <v>46045.43553240741</v>
      </c>
      <c r="C171" s="1" t="n">
        <v>46078</v>
      </c>
      <c r="D171" t="inlineStr">
        <is>
          <t>KALMAR LÄN</t>
        </is>
      </c>
      <c r="E171" t="inlineStr">
        <is>
          <t>VÄSTERVIK</t>
        </is>
      </c>
      <c r="F171" t="inlineStr">
        <is>
          <t>Övriga Aktiebolag</t>
        </is>
      </c>
      <c r="G171" t="n">
        <v>2.9</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4306-2026 artfynd.xlsx", "A 4306-2026")</f>
        <v/>
      </c>
      <c r="T171">
        <f>HYPERLINK("https://klasma.github.io/Logging_0883/kartor/A 4306-2026 karta.png", "A 4306-2026")</f>
        <v/>
      </c>
      <c r="V171">
        <f>HYPERLINK("https://klasma.github.io/Logging_0883/klagomål/A 4306-2026 FSC-klagomål.docx", "A 4306-2026")</f>
        <v/>
      </c>
      <c r="W171">
        <f>HYPERLINK("https://klasma.github.io/Logging_0883/klagomålsmail/A 4306-2026 FSC-klagomål mail.docx", "A 4306-2026")</f>
        <v/>
      </c>
      <c r="X171">
        <f>HYPERLINK("https://klasma.github.io/Logging_0883/tillsyn/A 4306-2026 tillsynsbegäran.docx", "A 4306-2026")</f>
        <v/>
      </c>
      <c r="Y171">
        <f>HYPERLINK("https://klasma.github.io/Logging_0883/tillsynsmail/A 4306-2026 tillsynsbegäran mail.docx", "A 4306-2026")</f>
        <v/>
      </c>
      <c r="Z171">
        <f>HYPERLINK("https://klasma.github.io/Logging_0883/fåglar/A 4306-2026 prioriterade fågelarter.docx", "A 4306-2026")</f>
        <v/>
      </c>
    </row>
    <row r="172" ht="15" customHeight="1">
      <c r="A172" t="inlineStr">
        <is>
          <t>A 63387-2025</t>
        </is>
      </c>
      <c r="B172" s="1" t="n">
        <v>46011.668125</v>
      </c>
      <c r="C172" s="1" t="n">
        <v>46078</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46078</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26992-2024</t>
        </is>
      </c>
      <c r="B174" s="1" t="n">
        <v>45471</v>
      </c>
      <c r="C174" s="1" t="n">
        <v>46078</v>
      </c>
      <c r="D174" t="inlineStr">
        <is>
          <t>KALMAR LÄN</t>
        </is>
      </c>
      <c r="E174" t="inlineStr">
        <is>
          <t>VÄSTERVIK</t>
        </is>
      </c>
      <c r="F174" t="inlineStr">
        <is>
          <t>Holmen skog AB</t>
        </is>
      </c>
      <c r="G174" t="n">
        <v>4.6</v>
      </c>
      <c r="H174" t="n">
        <v>2</v>
      </c>
      <c r="I174" t="n">
        <v>0</v>
      </c>
      <c r="J174" t="n">
        <v>2</v>
      </c>
      <c r="K174" t="n">
        <v>0</v>
      </c>
      <c r="L174" t="n">
        <v>0</v>
      </c>
      <c r="M174" t="n">
        <v>0</v>
      </c>
      <c r="N174" t="n">
        <v>0</v>
      </c>
      <c r="O174" t="n">
        <v>2</v>
      </c>
      <c r="P174" t="n">
        <v>0</v>
      </c>
      <c r="Q174" t="n">
        <v>2</v>
      </c>
      <c r="R174" s="2" t="inlineStr">
        <is>
          <t>Mindre hackspett
Talltita</t>
        </is>
      </c>
      <c r="S174">
        <f>HYPERLINK("https://klasma.github.io/Logging_0883/artfynd/A 26992-2024 artfynd.xlsx", "A 26992-2024")</f>
        <v/>
      </c>
      <c r="T174">
        <f>HYPERLINK("https://klasma.github.io/Logging_0883/kartor/A 26992-2024 karta.png", "A 26992-2024")</f>
        <v/>
      </c>
      <c r="V174">
        <f>HYPERLINK("https://klasma.github.io/Logging_0883/klagomål/A 26992-2024 FSC-klagomål.docx", "A 26992-2024")</f>
        <v/>
      </c>
      <c r="W174">
        <f>HYPERLINK("https://klasma.github.io/Logging_0883/klagomålsmail/A 26992-2024 FSC-klagomål mail.docx", "A 26992-2024")</f>
        <v/>
      </c>
      <c r="X174">
        <f>HYPERLINK("https://klasma.github.io/Logging_0883/tillsyn/A 26992-2024 tillsynsbegäran.docx", "A 26992-2024")</f>
        <v/>
      </c>
      <c r="Y174">
        <f>HYPERLINK("https://klasma.github.io/Logging_0883/tillsynsmail/A 26992-2024 tillsynsbegäran mail.docx", "A 26992-2024")</f>
        <v/>
      </c>
      <c r="Z174">
        <f>HYPERLINK("https://klasma.github.io/Logging_0883/fåglar/A 26992-2024 prioriterade fågelarter.docx", "A 26992-2024")</f>
        <v/>
      </c>
    </row>
    <row r="175" ht="15" customHeight="1">
      <c r="A175" t="inlineStr">
        <is>
          <t>A 28401-2024</t>
        </is>
      </c>
      <c r="B175" s="1" t="n">
        <v>45477</v>
      </c>
      <c r="C175" s="1" t="n">
        <v>46078</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9040-2023</t>
        </is>
      </c>
      <c r="B176" s="1" t="n">
        <v>44979</v>
      </c>
      <c r="C176" s="1" t="n">
        <v>46078</v>
      </c>
      <c r="D176" t="inlineStr">
        <is>
          <t>KALMAR LÄN</t>
        </is>
      </c>
      <c r="E176" t="inlineStr">
        <is>
          <t>VÄSTERVIK</t>
        </is>
      </c>
      <c r="G176" t="n">
        <v>5.1</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9040-2023 artfynd.xlsx", "A 9040-2023")</f>
        <v/>
      </c>
      <c r="T176">
        <f>HYPERLINK("https://klasma.github.io/Logging_0883/kartor/A 9040-2023 karta.png", "A 9040-2023")</f>
        <v/>
      </c>
      <c r="U176">
        <f>HYPERLINK("https://klasma.github.io/Logging_0883/knärot/A 9040-2023 karta knärot.png", "A 9040-2023")</f>
        <v/>
      </c>
      <c r="V176">
        <f>HYPERLINK("https://klasma.github.io/Logging_0883/klagomål/A 9040-2023 FSC-klagomål.docx", "A 9040-2023")</f>
        <v/>
      </c>
      <c r="W176">
        <f>HYPERLINK("https://klasma.github.io/Logging_0883/klagomålsmail/A 9040-2023 FSC-klagomål mail.docx", "A 9040-2023")</f>
        <v/>
      </c>
      <c r="X176">
        <f>HYPERLINK("https://klasma.github.io/Logging_0883/tillsyn/A 9040-2023 tillsynsbegäran.docx", "A 9040-2023")</f>
        <v/>
      </c>
      <c r="Y176">
        <f>HYPERLINK("https://klasma.github.io/Logging_0883/tillsynsmail/A 9040-2023 tillsynsbegäran mail.docx", "A 9040-2023")</f>
        <v/>
      </c>
    </row>
    <row r="177" ht="15" customHeight="1">
      <c r="A177" t="inlineStr">
        <is>
          <t>A 14090-2025</t>
        </is>
      </c>
      <c r="B177" s="1" t="n">
        <v>45740.44487268518</v>
      </c>
      <c r="C177" s="1" t="n">
        <v>46078</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11849-2024</t>
        </is>
      </c>
      <c r="B178" s="1" t="n">
        <v>45376.41797453703</v>
      </c>
      <c r="C178" s="1" t="n">
        <v>46078</v>
      </c>
      <c r="D178" t="inlineStr">
        <is>
          <t>KALMAR LÄN</t>
        </is>
      </c>
      <c r="E178" t="inlineStr">
        <is>
          <t>VÄSTERVIK</t>
        </is>
      </c>
      <c r="F178" t="inlineStr">
        <is>
          <t>Sveaskog</t>
        </is>
      </c>
      <c r="G178" t="n">
        <v>5.3</v>
      </c>
      <c r="H178" t="n">
        <v>2</v>
      </c>
      <c r="I178" t="n">
        <v>0</v>
      </c>
      <c r="J178" t="n">
        <v>0</v>
      </c>
      <c r="K178" t="n">
        <v>0</v>
      </c>
      <c r="L178" t="n">
        <v>0</v>
      </c>
      <c r="M178" t="n">
        <v>0</v>
      </c>
      <c r="N178" t="n">
        <v>0</v>
      </c>
      <c r="O178" t="n">
        <v>0</v>
      </c>
      <c r="P178" t="n">
        <v>0</v>
      </c>
      <c r="Q178" t="n">
        <v>2</v>
      </c>
      <c r="R178" s="2" t="inlineStr">
        <is>
          <t>Mattlummer
Revlummer</t>
        </is>
      </c>
      <c r="S178">
        <f>HYPERLINK("https://klasma.github.io/Logging_0883/artfynd/A 11849-2024 artfynd.xlsx", "A 11849-2024")</f>
        <v/>
      </c>
      <c r="T178">
        <f>HYPERLINK("https://klasma.github.io/Logging_0883/kartor/A 11849-2024 karta.png", "A 11849-2024")</f>
        <v/>
      </c>
      <c r="V178">
        <f>HYPERLINK("https://klasma.github.io/Logging_0883/klagomål/A 11849-2024 FSC-klagomål.docx", "A 11849-2024")</f>
        <v/>
      </c>
      <c r="W178">
        <f>HYPERLINK("https://klasma.github.io/Logging_0883/klagomålsmail/A 11849-2024 FSC-klagomål mail.docx", "A 11849-2024")</f>
        <v/>
      </c>
      <c r="X178">
        <f>HYPERLINK("https://klasma.github.io/Logging_0883/tillsyn/A 11849-2024 tillsynsbegäran.docx", "A 11849-2024")</f>
        <v/>
      </c>
      <c r="Y178">
        <f>HYPERLINK("https://klasma.github.io/Logging_0883/tillsynsmail/A 11849-2024 tillsynsbegäran mail.docx", "A 11849-2024")</f>
        <v/>
      </c>
    </row>
    <row r="179" ht="15" customHeight="1">
      <c r="A179" t="inlineStr">
        <is>
          <t>A 21081-2025</t>
        </is>
      </c>
      <c r="B179" s="1" t="n">
        <v>45777</v>
      </c>
      <c r="C179" s="1" t="n">
        <v>46078</v>
      </c>
      <c r="D179" t="inlineStr">
        <is>
          <t>KALMAR LÄN</t>
        </is>
      </c>
      <c r="E179" t="inlineStr">
        <is>
          <t>VÄSTERVIK</t>
        </is>
      </c>
      <c r="G179" t="n">
        <v>1</v>
      </c>
      <c r="H179" t="n">
        <v>1</v>
      </c>
      <c r="I179" t="n">
        <v>0</v>
      </c>
      <c r="J179" t="n">
        <v>1</v>
      </c>
      <c r="K179" t="n">
        <v>1</v>
      </c>
      <c r="L179" t="n">
        <v>0</v>
      </c>
      <c r="M179" t="n">
        <v>0</v>
      </c>
      <c r="N179" t="n">
        <v>0</v>
      </c>
      <c r="O179" t="n">
        <v>2</v>
      </c>
      <c r="P179" t="n">
        <v>1</v>
      </c>
      <c r="Q179" t="n">
        <v>2</v>
      </c>
      <c r="R179" s="2" t="inlineStr">
        <is>
          <t>Knärot
Ullticka</t>
        </is>
      </c>
      <c r="S179">
        <f>HYPERLINK("https://klasma.github.io/Logging_0883/artfynd/A 21081-2025 artfynd.xlsx", "A 21081-2025")</f>
        <v/>
      </c>
      <c r="T179">
        <f>HYPERLINK("https://klasma.github.io/Logging_0883/kartor/A 21081-2025 karta.png", "A 21081-2025")</f>
        <v/>
      </c>
      <c r="U179">
        <f>HYPERLINK("https://klasma.github.io/Logging_0883/knärot/A 21081-2025 karta knärot.png", "A 21081-2025")</f>
        <v/>
      </c>
      <c r="V179">
        <f>HYPERLINK("https://klasma.github.io/Logging_0883/klagomål/A 21081-2025 FSC-klagomål.docx", "A 21081-2025")</f>
        <v/>
      </c>
      <c r="W179">
        <f>HYPERLINK("https://klasma.github.io/Logging_0883/klagomålsmail/A 21081-2025 FSC-klagomål mail.docx", "A 21081-2025")</f>
        <v/>
      </c>
      <c r="X179">
        <f>HYPERLINK("https://klasma.github.io/Logging_0883/tillsyn/A 21081-2025 tillsynsbegäran.docx", "A 21081-2025")</f>
        <v/>
      </c>
      <c r="Y179">
        <f>HYPERLINK("https://klasma.github.io/Logging_0883/tillsynsmail/A 21081-2025 tillsynsbegäran mail.docx", "A 21081-2025")</f>
        <v/>
      </c>
    </row>
    <row r="180" ht="15" customHeight="1">
      <c r="A180" t="inlineStr">
        <is>
          <t>A 948-2024</t>
        </is>
      </c>
      <c r="B180" s="1" t="n">
        <v>45301</v>
      </c>
      <c r="C180" s="1" t="n">
        <v>46078</v>
      </c>
      <c r="D180" t="inlineStr">
        <is>
          <t>KALMAR LÄN</t>
        </is>
      </c>
      <c r="E180" t="inlineStr">
        <is>
          <t>VÄSTERVIK</t>
        </is>
      </c>
      <c r="G180" t="n">
        <v>4.5</v>
      </c>
      <c r="H180" t="n">
        <v>1</v>
      </c>
      <c r="I180" t="n">
        <v>1</v>
      </c>
      <c r="J180" t="n">
        <v>0</v>
      </c>
      <c r="K180" t="n">
        <v>0</v>
      </c>
      <c r="L180" t="n">
        <v>0</v>
      </c>
      <c r="M180" t="n">
        <v>0</v>
      </c>
      <c r="N180" t="n">
        <v>0</v>
      </c>
      <c r="O180" t="n">
        <v>0</v>
      </c>
      <c r="P180" t="n">
        <v>0</v>
      </c>
      <c r="Q180" t="n">
        <v>2</v>
      </c>
      <c r="R180" s="2" t="inlineStr">
        <is>
          <t>Dropptaggsvamp
Tjäder</t>
        </is>
      </c>
      <c r="S180">
        <f>HYPERLINK("https://klasma.github.io/Logging_0883/artfynd/A 948-2024 artfynd.xlsx", "A 948-2024")</f>
        <v/>
      </c>
      <c r="T180">
        <f>HYPERLINK("https://klasma.github.io/Logging_0883/kartor/A 948-2024 karta.png", "A 948-2024")</f>
        <v/>
      </c>
      <c r="V180">
        <f>HYPERLINK("https://klasma.github.io/Logging_0883/klagomål/A 948-2024 FSC-klagomål.docx", "A 948-2024")</f>
        <v/>
      </c>
      <c r="W180">
        <f>HYPERLINK("https://klasma.github.io/Logging_0883/klagomålsmail/A 948-2024 FSC-klagomål mail.docx", "A 948-2024")</f>
        <v/>
      </c>
      <c r="X180">
        <f>HYPERLINK("https://klasma.github.io/Logging_0883/tillsyn/A 948-2024 tillsynsbegäran.docx", "A 948-2024")</f>
        <v/>
      </c>
      <c r="Y180">
        <f>HYPERLINK("https://klasma.github.io/Logging_0883/tillsynsmail/A 948-2024 tillsynsbegäran mail.docx", "A 948-2024")</f>
        <v/>
      </c>
      <c r="Z180">
        <f>HYPERLINK("https://klasma.github.io/Logging_0883/fåglar/A 948-2024 prioriterade fågelarter.docx", "A 948-2024")</f>
        <v/>
      </c>
    </row>
    <row r="181" ht="15" customHeight="1">
      <c r="A181" t="inlineStr">
        <is>
          <t>A 51833-2021</t>
        </is>
      </c>
      <c r="B181" s="1" t="n">
        <v>44462</v>
      </c>
      <c r="C181" s="1" t="n">
        <v>46078</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16419-2024</t>
        </is>
      </c>
      <c r="B182" s="1" t="n">
        <v>45407</v>
      </c>
      <c r="C182" s="1" t="n">
        <v>46078</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12598-2024</t>
        </is>
      </c>
      <c r="B183" s="1" t="n">
        <v>45380</v>
      </c>
      <c r="C183" s="1" t="n">
        <v>46078</v>
      </c>
      <c r="D183" t="inlineStr">
        <is>
          <t>KALMAR LÄN</t>
        </is>
      </c>
      <c r="E183" t="inlineStr">
        <is>
          <t>VÄSTERVIK</t>
        </is>
      </c>
      <c r="F183" t="inlineStr">
        <is>
          <t>Holmen skog AB</t>
        </is>
      </c>
      <c r="G183" t="n">
        <v>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12598-2024 artfynd.xlsx", "A 12598-2024")</f>
        <v/>
      </c>
      <c r="T183">
        <f>HYPERLINK("https://klasma.github.io/Logging_0883/kartor/A 12598-2024 karta.png", "A 12598-2024")</f>
        <v/>
      </c>
      <c r="U183">
        <f>HYPERLINK("https://klasma.github.io/Logging_0883/knärot/A 12598-2024 karta knärot.png", "A 12598-2024")</f>
        <v/>
      </c>
      <c r="V183">
        <f>HYPERLINK("https://klasma.github.io/Logging_0883/klagomål/A 12598-2024 FSC-klagomål.docx", "A 12598-2024")</f>
        <v/>
      </c>
      <c r="W183">
        <f>HYPERLINK("https://klasma.github.io/Logging_0883/klagomålsmail/A 12598-2024 FSC-klagomål mail.docx", "A 12598-2024")</f>
        <v/>
      </c>
      <c r="X183">
        <f>HYPERLINK("https://klasma.github.io/Logging_0883/tillsyn/A 12598-2024 tillsynsbegäran.docx", "A 12598-2024")</f>
        <v/>
      </c>
      <c r="Y183">
        <f>HYPERLINK("https://klasma.github.io/Logging_0883/tillsynsmail/A 12598-2024 tillsynsbegäran mail.docx", "A 12598-2024")</f>
        <v/>
      </c>
    </row>
    <row r="184" ht="15" customHeight="1">
      <c r="A184" t="inlineStr">
        <is>
          <t>A 9770-2024</t>
        </is>
      </c>
      <c r="B184" s="1" t="n">
        <v>45362.63960648148</v>
      </c>
      <c r="C184" s="1" t="n">
        <v>46078</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941-2024</t>
        </is>
      </c>
      <c r="B185" s="1" t="n">
        <v>45301</v>
      </c>
      <c r="C185" s="1" t="n">
        <v>46078</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40331-2024</t>
        </is>
      </c>
      <c r="B186" s="1" t="n">
        <v>45555.31039351852</v>
      </c>
      <c r="C186" s="1" t="n">
        <v>46078</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62889-2025</t>
        </is>
      </c>
      <c r="B187" s="1" t="n">
        <v>46009.32436342593</v>
      </c>
      <c r="C187" s="1" t="n">
        <v>46078</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61804-2023</t>
        </is>
      </c>
      <c r="B188" s="1" t="n">
        <v>45266</v>
      </c>
      <c r="C188" s="1" t="n">
        <v>46078</v>
      </c>
      <c r="D188" t="inlineStr">
        <is>
          <t>KALMAR LÄN</t>
        </is>
      </c>
      <c r="E188" t="inlineStr">
        <is>
          <t>VÄSTERVIK</t>
        </is>
      </c>
      <c r="G188" t="n">
        <v>2.3</v>
      </c>
      <c r="H188" t="n">
        <v>0</v>
      </c>
      <c r="I188" t="n">
        <v>0</v>
      </c>
      <c r="J188" t="n">
        <v>2</v>
      </c>
      <c r="K188" t="n">
        <v>0</v>
      </c>
      <c r="L188" t="n">
        <v>0</v>
      </c>
      <c r="M188" t="n">
        <v>0</v>
      </c>
      <c r="N188" t="n">
        <v>0</v>
      </c>
      <c r="O188" t="n">
        <v>2</v>
      </c>
      <c r="P188" t="n">
        <v>0</v>
      </c>
      <c r="Q188" t="n">
        <v>2</v>
      </c>
      <c r="R188" s="2" t="inlineStr">
        <is>
          <t>Bredbrämad bastardsvärmare
Smalsprötad bastardsvärmare</t>
        </is>
      </c>
      <c r="S188">
        <f>HYPERLINK("https://klasma.github.io/Logging_0883/artfynd/A 61804-2023 artfynd.xlsx", "A 61804-2023")</f>
        <v/>
      </c>
      <c r="T188">
        <f>HYPERLINK("https://klasma.github.io/Logging_0883/kartor/A 61804-2023 karta.png", "A 61804-2023")</f>
        <v/>
      </c>
      <c r="V188">
        <f>HYPERLINK("https://klasma.github.io/Logging_0883/klagomål/A 61804-2023 FSC-klagomål.docx", "A 61804-2023")</f>
        <v/>
      </c>
      <c r="W188">
        <f>HYPERLINK("https://klasma.github.io/Logging_0883/klagomålsmail/A 61804-2023 FSC-klagomål mail.docx", "A 61804-2023")</f>
        <v/>
      </c>
      <c r="X188">
        <f>HYPERLINK("https://klasma.github.io/Logging_0883/tillsyn/A 61804-2023 tillsynsbegäran.docx", "A 61804-2023")</f>
        <v/>
      </c>
      <c r="Y188">
        <f>HYPERLINK("https://klasma.github.io/Logging_0883/tillsynsmail/A 61804-2023 tillsynsbegäran mail.docx", "A 61804-2023")</f>
        <v/>
      </c>
    </row>
    <row r="189" ht="15" customHeight="1">
      <c r="A189" t="inlineStr">
        <is>
          <t>A 1879-2026</t>
        </is>
      </c>
      <c r="B189" s="1" t="n">
        <v>46035.47266203703</v>
      </c>
      <c r="C189" s="1" t="n">
        <v>46078</v>
      </c>
      <c r="D189" t="inlineStr">
        <is>
          <t>KALMAR LÄN</t>
        </is>
      </c>
      <c r="E189" t="inlineStr">
        <is>
          <t>VÄSTERVIK</t>
        </is>
      </c>
      <c r="G189" t="n">
        <v>1.6</v>
      </c>
      <c r="H189" t="n">
        <v>1</v>
      </c>
      <c r="I189" t="n">
        <v>0</v>
      </c>
      <c r="J189" t="n">
        <v>1</v>
      </c>
      <c r="K189" t="n">
        <v>1</v>
      </c>
      <c r="L189" t="n">
        <v>0</v>
      </c>
      <c r="M189" t="n">
        <v>0</v>
      </c>
      <c r="N189" t="n">
        <v>0</v>
      </c>
      <c r="O189" t="n">
        <v>2</v>
      </c>
      <c r="P189" t="n">
        <v>1</v>
      </c>
      <c r="Q189" t="n">
        <v>2</v>
      </c>
      <c r="R189" s="2" t="inlineStr">
        <is>
          <t>Knärot
Motaggsvamp</t>
        </is>
      </c>
      <c r="S189">
        <f>HYPERLINK("https://klasma.github.io/Logging_0883/artfynd/A 1879-2026 artfynd.xlsx", "A 1879-2026")</f>
        <v/>
      </c>
      <c r="T189">
        <f>HYPERLINK("https://klasma.github.io/Logging_0883/kartor/A 1879-2026 karta.png", "A 1879-2026")</f>
        <v/>
      </c>
      <c r="U189">
        <f>HYPERLINK("https://klasma.github.io/Logging_0883/knärot/A 1879-2026 karta knärot.png", "A 1879-2026")</f>
        <v/>
      </c>
      <c r="V189">
        <f>HYPERLINK("https://klasma.github.io/Logging_0883/klagomål/A 1879-2026 FSC-klagomål.docx", "A 1879-2026")</f>
        <v/>
      </c>
      <c r="W189">
        <f>HYPERLINK("https://klasma.github.io/Logging_0883/klagomålsmail/A 1879-2026 FSC-klagomål mail.docx", "A 1879-2026")</f>
        <v/>
      </c>
      <c r="X189">
        <f>HYPERLINK("https://klasma.github.io/Logging_0883/tillsyn/A 1879-2026 tillsynsbegäran.docx", "A 1879-2026")</f>
        <v/>
      </c>
      <c r="Y189">
        <f>HYPERLINK("https://klasma.github.io/Logging_0883/tillsynsmail/A 1879-2026 tillsynsbegäran mail.docx", "A 1879-2026")</f>
        <v/>
      </c>
    </row>
    <row r="190" ht="15" customHeight="1">
      <c r="A190" t="inlineStr">
        <is>
          <t>A 8618-2024</t>
        </is>
      </c>
      <c r="B190" s="1" t="n">
        <v>45355.73453703704</v>
      </c>
      <c r="C190" s="1" t="n">
        <v>46078</v>
      </c>
      <c r="D190" t="inlineStr">
        <is>
          <t>KALMAR LÄN</t>
        </is>
      </c>
      <c r="E190" t="inlineStr">
        <is>
          <t>VÄSTERVIK</t>
        </is>
      </c>
      <c r="G190" t="n">
        <v>4.3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8618-2024 artfynd.xlsx", "A 8618-2024")</f>
        <v/>
      </c>
      <c r="T190">
        <f>HYPERLINK("https://klasma.github.io/Logging_0883/kartor/A 8618-2024 karta.png", "A 8618-2024")</f>
        <v/>
      </c>
      <c r="U190">
        <f>HYPERLINK("https://klasma.github.io/Logging_0883/knärot/A 8618-2024 karta knärot.png", "A 8618-2024")</f>
        <v/>
      </c>
      <c r="V190">
        <f>HYPERLINK("https://klasma.github.io/Logging_0883/klagomål/A 8618-2024 FSC-klagomål.docx", "A 8618-2024")</f>
        <v/>
      </c>
      <c r="W190">
        <f>HYPERLINK("https://klasma.github.io/Logging_0883/klagomålsmail/A 8618-2024 FSC-klagomål mail.docx", "A 8618-2024")</f>
        <v/>
      </c>
      <c r="X190">
        <f>HYPERLINK("https://klasma.github.io/Logging_0883/tillsyn/A 8618-2024 tillsynsbegäran.docx", "A 8618-2024")</f>
        <v/>
      </c>
      <c r="Y190">
        <f>HYPERLINK("https://klasma.github.io/Logging_0883/tillsynsmail/A 8618-2024 tillsynsbegäran mail.docx", "A 8618-2024")</f>
        <v/>
      </c>
    </row>
    <row r="191" ht="15" customHeight="1">
      <c r="A191" t="inlineStr">
        <is>
          <t>A 1767-2025</t>
        </is>
      </c>
      <c r="B191" s="1" t="n">
        <v>45671</v>
      </c>
      <c r="C191" s="1" t="n">
        <v>46078</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47935-2023</t>
        </is>
      </c>
      <c r="B192" s="1" t="n">
        <v>45204</v>
      </c>
      <c r="C192" s="1" t="n">
        <v>46078</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911-2024</t>
        </is>
      </c>
      <c r="B193" s="1" t="n">
        <v>45301</v>
      </c>
      <c r="C193" s="1" t="n">
        <v>46078</v>
      </c>
      <c r="D193" t="inlineStr">
        <is>
          <t>KALMAR LÄN</t>
        </is>
      </c>
      <c r="E193" t="inlineStr">
        <is>
          <t>VÄSTERVIK</t>
        </is>
      </c>
      <c r="G193" t="n">
        <v>5.6</v>
      </c>
      <c r="H193" t="n">
        <v>1</v>
      </c>
      <c r="I193" t="n">
        <v>1</v>
      </c>
      <c r="J193" t="n">
        <v>1</v>
      </c>
      <c r="K193" t="n">
        <v>0</v>
      </c>
      <c r="L193" t="n">
        <v>0</v>
      </c>
      <c r="M193" t="n">
        <v>0</v>
      </c>
      <c r="N193" t="n">
        <v>0</v>
      </c>
      <c r="O193" t="n">
        <v>1</v>
      </c>
      <c r="P193" t="n">
        <v>0</v>
      </c>
      <c r="Q193" t="n">
        <v>2</v>
      </c>
      <c r="R193" s="2" t="inlineStr">
        <is>
          <t>Talltita
Blodticka</t>
        </is>
      </c>
      <c r="S193">
        <f>HYPERLINK("https://klasma.github.io/Logging_0883/artfynd/A 911-2024 artfynd.xlsx", "A 911-2024")</f>
        <v/>
      </c>
      <c r="T193">
        <f>HYPERLINK("https://klasma.github.io/Logging_0883/kartor/A 911-2024 karta.png", "A 911-2024")</f>
        <v/>
      </c>
      <c r="V193">
        <f>HYPERLINK("https://klasma.github.io/Logging_0883/klagomål/A 911-2024 FSC-klagomål.docx", "A 911-2024")</f>
        <v/>
      </c>
      <c r="W193">
        <f>HYPERLINK("https://klasma.github.io/Logging_0883/klagomålsmail/A 911-2024 FSC-klagomål mail.docx", "A 911-2024")</f>
        <v/>
      </c>
      <c r="X193">
        <f>HYPERLINK("https://klasma.github.io/Logging_0883/tillsyn/A 911-2024 tillsynsbegäran.docx", "A 911-2024")</f>
        <v/>
      </c>
      <c r="Y193">
        <f>HYPERLINK("https://klasma.github.io/Logging_0883/tillsynsmail/A 911-2024 tillsynsbegäran mail.docx", "A 911-2024")</f>
        <v/>
      </c>
      <c r="Z193">
        <f>HYPERLINK("https://klasma.github.io/Logging_0883/fåglar/A 911-2024 prioriterade fågelarter.docx", "A 911-2024")</f>
        <v/>
      </c>
    </row>
    <row r="194" ht="15" customHeight="1">
      <c r="A194" t="inlineStr">
        <is>
          <t>A 25145-2022</t>
        </is>
      </c>
      <c r="B194" s="1" t="n">
        <v>44729</v>
      </c>
      <c r="C194" s="1" t="n">
        <v>46078</v>
      </c>
      <c r="D194" t="inlineStr">
        <is>
          <t>KALMAR LÄN</t>
        </is>
      </c>
      <c r="E194" t="inlineStr">
        <is>
          <t>VÄSTERVIK</t>
        </is>
      </c>
      <c r="G194" t="n">
        <v>1.3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25145-2022 artfynd.xlsx", "A 25145-2022")</f>
        <v/>
      </c>
      <c r="T194">
        <f>HYPERLINK("https://klasma.github.io/Logging_0883/kartor/A 25145-2022 karta.png", "A 25145-2022")</f>
        <v/>
      </c>
      <c r="U194">
        <f>HYPERLINK("https://klasma.github.io/Logging_0883/knärot/A 25145-2022 karta knärot.png", "A 25145-2022")</f>
        <v/>
      </c>
      <c r="V194">
        <f>HYPERLINK("https://klasma.github.io/Logging_0883/klagomål/A 25145-2022 FSC-klagomål.docx", "A 25145-2022")</f>
        <v/>
      </c>
      <c r="W194">
        <f>HYPERLINK("https://klasma.github.io/Logging_0883/klagomålsmail/A 25145-2022 FSC-klagomål mail.docx", "A 25145-2022")</f>
        <v/>
      </c>
      <c r="X194">
        <f>HYPERLINK("https://klasma.github.io/Logging_0883/tillsyn/A 25145-2022 tillsynsbegäran.docx", "A 25145-2022")</f>
        <v/>
      </c>
      <c r="Y194">
        <f>HYPERLINK("https://klasma.github.io/Logging_0883/tillsynsmail/A 25145-2022 tillsynsbegäran mail.docx", "A 25145-2022")</f>
        <v/>
      </c>
    </row>
    <row r="195" ht="15" customHeight="1">
      <c r="A195" t="inlineStr">
        <is>
          <t>A 16700-2025</t>
        </is>
      </c>
      <c r="B195" s="1" t="n">
        <v>45754.46833333333</v>
      </c>
      <c r="C195" s="1" t="n">
        <v>46078</v>
      </c>
      <c r="D195" t="inlineStr">
        <is>
          <t>KALMAR LÄN</t>
        </is>
      </c>
      <c r="E195" t="inlineStr">
        <is>
          <t>VÄSTERVIK</t>
        </is>
      </c>
      <c r="F195" t="inlineStr">
        <is>
          <t>Sveaskog</t>
        </is>
      </c>
      <c r="G195" t="n">
        <v>1.7</v>
      </c>
      <c r="H195" t="n">
        <v>2</v>
      </c>
      <c r="I195" t="n">
        <v>0</v>
      </c>
      <c r="J195" t="n">
        <v>1</v>
      </c>
      <c r="K195" t="n">
        <v>0</v>
      </c>
      <c r="L195" t="n">
        <v>0</v>
      </c>
      <c r="M195" t="n">
        <v>0</v>
      </c>
      <c r="N195" t="n">
        <v>0</v>
      </c>
      <c r="O195" t="n">
        <v>1</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56857-2023</t>
        </is>
      </c>
      <c r="B196" s="1" t="n">
        <v>45244</v>
      </c>
      <c r="C196" s="1" t="n">
        <v>46078</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12212-2024</t>
        </is>
      </c>
      <c r="B197" s="1" t="n">
        <v>45378.31111111111</v>
      </c>
      <c r="C197" s="1" t="n">
        <v>46078</v>
      </c>
      <c r="D197" t="inlineStr">
        <is>
          <t>KALMAR LÄN</t>
        </is>
      </c>
      <c r="E197" t="inlineStr">
        <is>
          <t>VÄSTERVIK</t>
        </is>
      </c>
      <c r="G197" t="n">
        <v>0.8</v>
      </c>
      <c r="H197" t="n">
        <v>2</v>
      </c>
      <c r="I197" t="n">
        <v>0</v>
      </c>
      <c r="J197" t="n">
        <v>2</v>
      </c>
      <c r="K197" t="n">
        <v>0</v>
      </c>
      <c r="L197" t="n">
        <v>0</v>
      </c>
      <c r="M197" t="n">
        <v>0</v>
      </c>
      <c r="N197" t="n">
        <v>0</v>
      </c>
      <c r="O197" t="n">
        <v>2</v>
      </c>
      <c r="P197" t="n">
        <v>0</v>
      </c>
      <c r="Q197" t="n">
        <v>2</v>
      </c>
      <c r="R197" s="2" t="inlineStr">
        <is>
          <t>Spillkråka
Talltita</t>
        </is>
      </c>
      <c r="S197">
        <f>HYPERLINK("https://klasma.github.io/Logging_0883/artfynd/A 12212-2024 artfynd.xlsx", "A 12212-2024")</f>
        <v/>
      </c>
      <c r="T197">
        <f>HYPERLINK("https://klasma.github.io/Logging_0883/kartor/A 12212-2024 karta.png", "A 12212-2024")</f>
        <v/>
      </c>
      <c r="V197">
        <f>HYPERLINK("https://klasma.github.io/Logging_0883/klagomål/A 12212-2024 FSC-klagomål.docx", "A 12212-2024")</f>
        <v/>
      </c>
      <c r="W197">
        <f>HYPERLINK("https://klasma.github.io/Logging_0883/klagomålsmail/A 12212-2024 FSC-klagomål mail.docx", "A 12212-2024")</f>
        <v/>
      </c>
      <c r="X197">
        <f>HYPERLINK("https://klasma.github.io/Logging_0883/tillsyn/A 12212-2024 tillsynsbegäran.docx", "A 12212-2024")</f>
        <v/>
      </c>
      <c r="Y197">
        <f>HYPERLINK("https://klasma.github.io/Logging_0883/tillsynsmail/A 12212-2024 tillsynsbegäran mail.docx", "A 12212-2024")</f>
        <v/>
      </c>
      <c r="Z197">
        <f>HYPERLINK("https://klasma.github.io/Logging_0883/fåglar/A 12212-2024 prioriterade fågelarter.docx", "A 12212-2024")</f>
        <v/>
      </c>
    </row>
    <row r="198" ht="15" customHeight="1">
      <c r="A198" t="inlineStr">
        <is>
          <t>A 56036-2024</t>
        </is>
      </c>
      <c r="B198" s="1" t="n">
        <v>45624</v>
      </c>
      <c r="C198" s="1" t="n">
        <v>46078</v>
      </c>
      <c r="D198" t="inlineStr">
        <is>
          <t>KALMAR LÄN</t>
        </is>
      </c>
      <c r="E198" t="inlineStr">
        <is>
          <t>VÄSTERVIK</t>
        </is>
      </c>
      <c r="F198" t="inlineStr">
        <is>
          <t>Kyrkan</t>
        </is>
      </c>
      <c r="G198" t="n">
        <v>5.5</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56036-2024 artfynd.xlsx", "A 56036-2024")</f>
        <v/>
      </c>
      <c r="T198">
        <f>HYPERLINK("https://klasma.github.io/Logging_0883/kartor/A 56036-2024 karta.png", "A 56036-2024")</f>
        <v/>
      </c>
      <c r="U198">
        <f>HYPERLINK("https://klasma.github.io/Logging_0883/knärot/A 56036-2024 karta knärot.png", "A 56036-2024")</f>
        <v/>
      </c>
      <c r="V198">
        <f>HYPERLINK("https://klasma.github.io/Logging_0883/klagomål/A 56036-2024 FSC-klagomål.docx", "A 56036-2024")</f>
        <v/>
      </c>
      <c r="W198">
        <f>HYPERLINK("https://klasma.github.io/Logging_0883/klagomålsmail/A 56036-2024 FSC-klagomål mail.docx", "A 56036-2024")</f>
        <v/>
      </c>
      <c r="X198">
        <f>HYPERLINK("https://klasma.github.io/Logging_0883/tillsyn/A 56036-2024 tillsynsbegäran.docx", "A 56036-2024")</f>
        <v/>
      </c>
      <c r="Y198">
        <f>HYPERLINK("https://klasma.github.io/Logging_0883/tillsynsmail/A 56036-2024 tillsynsbegäran mail.docx", "A 56036-2024")</f>
        <v/>
      </c>
      <c r="Z198">
        <f>HYPERLINK("https://klasma.github.io/Logging_0883/fåglar/A 56036-2024 prioriterade fågelarter.docx", "A 56036-2024")</f>
        <v/>
      </c>
    </row>
    <row r="199" ht="15" customHeight="1">
      <c r="A199" t="inlineStr">
        <is>
          <t>A 55408-2023</t>
        </is>
      </c>
      <c r="B199" s="1" t="n">
        <v>45238</v>
      </c>
      <c r="C199" s="1" t="n">
        <v>46078</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38373-2022</t>
        </is>
      </c>
      <c r="B200" s="1" t="n">
        <v>44812</v>
      </c>
      <c r="C200" s="1" t="n">
        <v>46078</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25435-2023</t>
        </is>
      </c>
      <c r="B201" s="1" t="n">
        <v>45089</v>
      </c>
      <c r="C201" s="1" t="n">
        <v>46078</v>
      </c>
      <c r="D201" t="inlineStr">
        <is>
          <t>KALMAR LÄN</t>
        </is>
      </c>
      <c r="E201" t="inlineStr">
        <is>
          <t>VÄSTERVIK</t>
        </is>
      </c>
      <c r="G201" t="n">
        <v>1.6</v>
      </c>
      <c r="H201" t="n">
        <v>2</v>
      </c>
      <c r="I201" t="n">
        <v>0</v>
      </c>
      <c r="J201" t="n">
        <v>0</v>
      </c>
      <c r="K201" t="n">
        <v>1</v>
      </c>
      <c r="L201" t="n">
        <v>0</v>
      </c>
      <c r="M201" t="n">
        <v>0</v>
      </c>
      <c r="N201" t="n">
        <v>0</v>
      </c>
      <c r="O201" t="n">
        <v>1</v>
      </c>
      <c r="P201" t="n">
        <v>1</v>
      </c>
      <c r="Q201" t="n">
        <v>2</v>
      </c>
      <c r="R201" s="2" t="inlineStr">
        <is>
          <t>Knärot
Tjäder</t>
        </is>
      </c>
      <c r="S201">
        <f>HYPERLINK("https://klasma.github.io/Logging_0883/artfynd/A 25435-2023 artfynd.xlsx", "A 25435-2023")</f>
        <v/>
      </c>
      <c r="T201">
        <f>HYPERLINK("https://klasma.github.io/Logging_0883/kartor/A 25435-2023 karta.png", "A 25435-2023")</f>
        <v/>
      </c>
      <c r="U201">
        <f>HYPERLINK("https://klasma.github.io/Logging_0883/knärot/A 25435-2023 karta knärot.png", "A 25435-2023")</f>
        <v/>
      </c>
      <c r="V201">
        <f>HYPERLINK("https://klasma.github.io/Logging_0883/klagomål/A 25435-2023 FSC-klagomål.docx", "A 25435-2023")</f>
        <v/>
      </c>
      <c r="W201">
        <f>HYPERLINK("https://klasma.github.io/Logging_0883/klagomålsmail/A 25435-2023 FSC-klagomål mail.docx", "A 25435-2023")</f>
        <v/>
      </c>
      <c r="X201">
        <f>HYPERLINK("https://klasma.github.io/Logging_0883/tillsyn/A 25435-2023 tillsynsbegäran.docx", "A 25435-2023")</f>
        <v/>
      </c>
      <c r="Y201">
        <f>HYPERLINK("https://klasma.github.io/Logging_0883/tillsynsmail/A 25435-2023 tillsynsbegäran mail.docx", "A 25435-2023")</f>
        <v/>
      </c>
      <c r="Z201">
        <f>HYPERLINK("https://klasma.github.io/Logging_0883/fåglar/A 25435-2023 prioriterade fågelarter.docx", "A 25435-2023")</f>
        <v/>
      </c>
    </row>
    <row r="202" ht="15" customHeight="1">
      <c r="A202" t="inlineStr">
        <is>
          <t>A 50977-2021</t>
        </is>
      </c>
      <c r="B202" s="1" t="n">
        <v>44460.68069444445</v>
      </c>
      <c r="C202" s="1" t="n">
        <v>46078</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46078</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40924-2022</t>
        </is>
      </c>
      <c r="B204" s="1" t="n">
        <v>44825</v>
      </c>
      <c r="C204" s="1" t="n">
        <v>46078</v>
      </c>
      <c r="D204" t="inlineStr">
        <is>
          <t>KALMAR LÄN</t>
        </is>
      </c>
      <c r="E204" t="inlineStr">
        <is>
          <t>VÄSTERVIK</t>
        </is>
      </c>
      <c r="F204" t="inlineStr">
        <is>
          <t>Sveaskog</t>
        </is>
      </c>
      <c r="G204" t="n">
        <v>0.5</v>
      </c>
      <c r="H204" t="n">
        <v>1</v>
      </c>
      <c r="I204" t="n">
        <v>0</v>
      </c>
      <c r="J204" t="n">
        <v>1</v>
      </c>
      <c r="K204" t="n">
        <v>0</v>
      </c>
      <c r="L204" t="n">
        <v>0</v>
      </c>
      <c r="M204" t="n">
        <v>0</v>
      </c>
      <c r="N204" t="n">
        <v>0</v>
      </c>
      <c r="O204" t="n">
        <v>1</v>
      </c>
      <c r="P204" t="n">
        <v>0</v>
      </c>
      <c r="Q204" t="n">
        <v>1</v>
      </c>
      <c r="R204" s="2" t="inlineStr">
        <is>
          <t>Barbastell</t>
        </is>
      </c>
      <c r="S204">
        <f>HYPERLINK("https://klasma.github.io/Logging_0883/artfynd/A 40924-2022 artfynd.xlsx", "A 40924-2022")</f>
        <v/>
      </c>
      <c r="T204">
        <f>HYPERLINK("https://klasma.github.io/Logging_0883/kartor/A 40924-2022 karta.png", "A 40924-2022")</f>
        <v/>
      </c>
      <c r="V204">
        <f>HYPERLINK("https://klasma.github.io/Logging_0883/klagomål/A 40924-2022 FSC-klagomål.docx", "A 40924-2022")</f>
        <v/>
      </c>
      <c r="W204">
        <f>HYPERLINK("https://klasma.github.io/Logging_0883/klagomålsmail/A 40924-2022 FSC-klagomål mail.docx", "A 40924-2022")</f>
        <v/>
      </c>
      <c r="X204">
        <f>HYPERLINK("https://klasma.github.io/Logging_0883/tillsyn/A 40924-2022 tillsynsbegäran.docx", "A 40924-2022")</f>
        <v/>
      </c>
      <c r="Y204">
        <f>HYPERLINK("https://klasma.github.io/Logging_0883/tillsynsmail/A 40924-2022 tillsynsbegäran mail.docx", "A 40924-2022")</f>
        <v/>
      </c>
    </row>
    <row r="205" ht="15" customHeight="1">
      <c r="A205" t="inlineStr">
        <is>
          <t>A 28495-2023</t>
        </is>
      </c>
      <c r="B205" s="1" t="n">
        <v>45103</v>
      </c>
      <c r="C205" s="1" t="n">
        <v>46078</v>
      </c>
      <c r="D205" t="inlineStr">
        <is>
          <t>KALMAR LÄN</t>
        </is>
      </c>
      <c r="E205" t="inlineStr">
        <is>
          <t>VÄSTERVIK</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HYPERLINK("https://klasma.github.io/Logging_0883/artfynd/A 28495-2023 artfynd.xlsx", "A 28495-2023")</f>
        <v/>
      </c>
      <c r="T205">
        <f>HYPERLINK("https://klasma.github.io/Logging_0883/kartor/A 28495-2023 karta.png", "A 28495-2023")</f>
        <v/>
      </c>
      <c r="U205">
        <f>HYPERLINK("https://klasma.github.io/Logging_0883/knärot/A 28495-2023 karta knärot.png", "A 28495-2023")</f>
        <v/>
      </c>
      <c r="V205">
        <f>HYPERLINK("https://klasma.github.io/Logging_0883/klagomål/A 28495-2023 FSC-klagomål.docx", "A 28495-2023")</f>
        <v/>
      </c>
      <c r="W205">
        <f>HYPERLINK("https://klasma.github.io/Logging_0883/klagomålsmail/A 28495-2023 FSC-klagomål mail.docx", "A 28495-2023")</f>
        <v/>
      </c>
      <c r="X205">
        <f>HYPERLINK("https://klasma.github.io/Logging_0883/tillsyn/A 28495-2023 tillsynsbegäran.docx", "A 28495-2023")</f>
        <v/>
      </c>
      <c r="Y205">
        <f>HYPERLINK("https://klasma.github.io/Logging_0883/tillsynsmail/A 28495-2023 tillsynsbegäran mail.docx", "A 28495-2023")</f>
        <v/>
      </c>
    </row>
    <row r="206" ht="15" customHeight="1">
      <c r="A206" t="inlineStr">
        <is>
          <t>A 26056-2022</t>
        </is>
      </c>
      <c r="B206" s="1" t="n">
        <v>44734</v>
      </c>
      <c r="C206" s="1" t="n">
        <v>46078</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Slåtterfibbla</t>
        </is>
      </c>
      <c r="S206">
        <f>HYPERLINK("https://klasma.github.io/Logging_0883/artfynd/A 26056-2022 artfynd.xlsx", "A 26056-2022")</f>
        <v/>
      </c>
      <c r="T206">
        <f>HYPERLINK("https://klasma.github.io/Logging_0883/kartor/A 26056-2022 karta.png", "A 26056-2022")</f>
        <v/>
      </c>
      <c r="V206">
        <f>HYPERLINK("https://klasma.github.io/Logging_0883/klagomål/A 26056-2022 FSC-klagomål.docx", "A 26056-2022")</f>
        <v/>
      </c>
      <c r="W206">
        <f>HYPERLINK("https://klasma.github.io/Logging_0883/klagomålsmail/A 26056-2022 FSC-klagomål mail.docx", "A 26056-2022")</f>
        <v/>
      </c>
      <c r="X206">
        <f>HYPERLINK("https://klasma.github.io/Logging_0883/tillsyn/A 26056-2022 tillsynsbegäran.docx", "A 26056-2022")</f>
        <v/>
      </c>
      <c r="Y206">
        <f>HYPERLINK("https://klasma.github.io/Logging_0883/tillsynsmail/A 26056-2022 tillsynsbegäran mail.docx", "A 26056-2022")</f>
        <v/>
      </c>
    </row>
    <row r="207" ht="15" customHeight="1">
      <c r="A207" t="inlineStr">
        <is>
          <t>A 21409-2025</t>
        </is>
      </c>
      <c r="B207" s="1" t="n">
        <v>45782</v>
      </c>
      <c r="C207" s="1" t="n">
        <v>46078</v>
      </c>
      <c r="D207" t="inlineStr">
        <is>
          <t>KALMAR LÄN</t>
        </is>
      </c>
      <c r="E207" t="inlineStr">
        <is>
          <t>VÄSTERVIK</t>
        </is>
      </c>
      <c r="G207" t="n">
        <v>2.5</v>
      </c>
      <c r="H207" t="n">
        <v>1</v>
      </c>
      <c r="I207" t="n">
        <v>0</v>
      </c>
      <c r="J207" t="n">
        <v>0</v>
      </c>
      <c r="K207" t="n">
        <v>0</v>
      </c>
      <c r="L207" t="n">
        <v>0</v>
      </c>
      <c r="M207" t="n">
        <v>0</v>
      </c>
      <c r="N207" t="n">
        <v>0</v>
      </c>
      <c r="O207" t="n">
        <v>0</v>
      </c>
      <c r="P207" t="n">
        <v>0</v>
      </c>
      <c r="Q207" t="n">
        <v>1</v>
      </c>
      <c r="R207" s="2" t="inlineStr">
        <is>
          <t>Grönvit nattviol</t>
        </is>
      </c>
      <c r="S207">
        <f>HYPERLINK("https://klasma.github.io/Logging_0883/artfynd/A 21409-2025 artfynd.xlsx", "A 21409-2025")</f>
        <v/>
      </c>
      <c r="T207">
        <f>HYPERLINK("https://klasma.github.io/Logging_0883/kartor/A 21409-2025 karta.png", "A 21409-2025")</f>
        <v/>
      </c>
      <c r="V207">
        <f>HYPERLINK("https://klasma.github.io/Logging_0883/klagomål/A 21409-2025 FSC-klagomål.docx", "A 21409-2025")</f>
        <v/>
      </c>
      <c r="W207">
        <f>HYPERLINK("https://klasma.github.io/Logging_0883/klagomålsmail/A 21409-2025 FSC-klagomål mail.docx", "A 21409-2025")</f>
        <v/>
      </c>
      <c r="X207">
        <f>HYPERLINK("https://klasma.github.io/Logging_0883/tillsyn/A 21409-2025 tillsynsbegäran.docx", "A 21409-2025")</f>
        <v/>
      </c>
      <c r="Y207">
        <f>HYPERLINK("https://klasma.github.io/Logging_0883/tillsynsmail/A 21409-2025 tillsynsbegäran mail.docx", "A 21409-2025")</f>
        <v/>
      </c>
    </row>
    <row r="208" ht="15" customHeight="1">
      <c r="A208" t="inlineStr">
        <is>
          <t>A 21653-2025</t>
        </is>
      </c>
      <c r="B208" s="1" t="n">
        <v>45783.45039351852</v>
      </c>
      <c r="C208" s="1" t="n">
        <v>46078</v>
      </c>
      <c r="D208" t="inlineStr">
        <is>
          <t>KALMAR LÄN</t>
        </is>
      </c>
      <c r="E208" t="inlineStr">
        <is>
          <t>VÄSTERVIK</t>
        </is>
      </c>
      <c r="F208" t="inlineStr">
        <is>
          <t>Sveaskog</t>
        </is>
      </c>
      <c r="G208" t="n">
        <v>2.8</v>
      </c>
      <c r="H208" t="n">
        <v>1</v>
      </c>
      <c r="I208" t="n">
        <v>0</v>
      </c>
      <c r="J208" t="n">
        <v>1</v>
      </c>
      <c r="K208" t="n">
        <v>0</v>
      </c>
      <c r="L208" t="n">
        <v>0</v>
      </c>
      <c r="M208" t="n">
        <v>0</v>
      </c>
      <c r="N208" t="n">
        <v>0</v>
      </c>
      <c r="O208" t="n">
        <v>1</v>
      </c>
      <c r="P208" t="n">
        <v>0</v>
      </c>
      <c r="Q208" t="n">
        <v>1</v>
      </c>
      <c r="R208" s="2" t="inlineStr">
        <is>
          <t>Entita</t>
        </is>
      </c>
      <c r="S208">
        <f>HYPERLINK("https://klasma.github.io/Logging_0883/artfynd/A 21653-2025 artfynd.xlsx", "A 21653-2025")</f>
        <v/>
      </c>
      <c r="T208">
        <f>HYPERLINK("https://klasma.github.io/Logging_0883/kartor/A 21653-2025 karta.png", "A 21653-2025")</f>
        <v/>
      </c>
      <c r="V208">
        <f>HYPERLINK("https://klasma.github.io/Logging_0883/klagomål/A 21653-2025 FSC-klagomål.docx", "A 21653-2025")</f>
        <v/>
      </c>
      <c r="W208">
        <f>HYPERLINK("https://klasma.github.io/Logging_0883/klagomålsmail/A 21653-2025 FSC-klagomål mail.docx", "A 21653-2025")</f>
        <v/>
      </c>
      <c r="X208">
        <f>HYPERLINK("https://klasma.github.io/Logging_0883/tillsyn/A 21653-2025 tillsynsbegäran.docx", "A 21653-2025")</f>
        <v/>
      </c>
      <c r="Y208">
        <f>HYPERLINK("https://klasma.github.io/Logging_0883/tillsynsmail/A 21653-2025 tillsynsbegäran mail.docx", "A 21653-2025")</f>
        <v/>
      </c>
      <c r="Z208">
        <f>HYPERLINK("https://klasma.github.io/Logging_0883/fåglar/A 21653-2025 prioriterade fågelarter.docx", "A 21653-2025")</f>
        <v/>
      </c>
    </row>
    <row r="209" ht="15" customHeight="1">
      <c r="A209" t="inlineStr">
        <is>
          <t>A 11729-2023</t>
        </is>
      </c>
      <c r="B209" s="1" t="n">
        <v>44994</v>
      </c>
      <c r="C209" s="1" t="n">
        <v>46078</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46078</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46078</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46078</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6025-2024</t>
        </is>
      </c>
      <c r="B213" s="1" t="n">
        <v>45336</v>
      </c>
      <c r="C213" s="1" t="n">
        <v>46078</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6657-2025</t>
        </is>
      </c>
      <c r="B214" s="1" t="n">
        <v>45700</v>
      </c>
      <c r="C214" s="1" t="n">
        <v>46078</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46078</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46078</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24884-2025</t>
        </is>
      </c>
      <c r="B217" s="1" t="n">
        <v>45799.50620370371</v>
      </c>
      <c r="C217" s="1" t="n">
        <v>46078</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11165-2024</t>
        </is>
      </c>
      <c r="B218" s="1" t="n">
        <v>45371</v>
      </c>
      <c r="C218" s="1" t="n">
        <v>46078</v>
      </c>
      <c r="D218" t="inlineStr">
        <is>
          <t>KALMAR LÄN</t>
        </is>
      </c>
      <c r="E218" t="inlineStr">
        <is>
          <t>VÄSTERVIK</t>
        </is>
      </c>
      <c r="G218" t="n">
        <v>3.7</v>
      </c>
      <c r="H218" t="n">
        <v>1</v>
      </c>
      <c r="I218" t="n">
        <v>0</v>
      </c>
      <c r="J218" t="n">
        <v>1</v>
      </c>
      <c r="K218" t="n">
        <v>0</v>
      </c>
      <c r="L218" t="n">
        <v>0</v>
      </c>
      <c r="M218" t="n">
        <v>0</v>
      </c>
      <c r="N218" t="n">
        <v>0</v>
      </c>
      <c r="O218" t="n">
        <v>1</v>
      </c>
      <c r="P218" t="n">
        <v>0</v>
      </c>
      <c r="Q218" t="n">
        <v>1</v>
      </c>
      <c r="R218" s="2" t="inlineStr">
        <is>
          <t>Spillkråka</t>
        </is>
      </c>
      <c r="S218">
        <f>HYPERLINK("https://klasma.github.io/Logging_0883/artfynd/A 11165-2024 artfynd.xlsx", "A 11165-2024")</f>
        <v/>
      </c>
      <c r="T218">
        <f>HYPERLINK("https://klasma.github.io/Logging_0883/kartor/A 11165-2024 karta.png", "A 11165-2024")</f>
        <v/>
      </c>
      <c r="V218">
        <f>HYPERLINK("https://klasma.github.io/Logging_0883/klagomål/A 11165-2024 FSC-klagomål.docx", "A 11165-2024")</f>
        <v/>
      </c>
      <c r="W218">
        <f>HYPERLINK("https://klasma.github.io/Logging_0883/klagomålsmail/A 11165-2024 FSC-klagomål mail.docx", "A 11165-2024")</f>
        <v/>
      </c>
      <c r="X218">
        <f>HYPERLINK("https://klasma.github.io/Logging_0883/tillsyn/A 11165-2024 tillsynsbegäran.docx", "A 11165-2024")</f>
        <v/>
      </c>
      <c r="Y218">
        <f>HYPERLINK("https://klasma.github.io/Logging_0883/tillsynsmail/A 11165-2024 tillsynsbegäran mail.docx", "A 11165-2024")</f>
        <v/>
      </c>
      <c r="Z218">
        <f>HYPERLINK("https://klasma.github.io/Logging_0883/fåglar/A 11165-2024 prioriterade fågelarter.docx", "A 11165-2024")</f>
        <v/>
      </c>
    </row>
    <row r="219" ht="15" customHeight="1">
      <c r="A219" t="inlineStr">
        <is>
          <t>A 26516-2025</t>
        </is>
      </c>
      <c r="B219" s="1" t="n">
        <v>45807.55402777778</v>
      </c>
      <c r="C219" s="1" t="n">
        <v>46078</v>
      </c>
      <c r="D219" t="inlineStr">
        <is>
          <t>KALMAR LÄN</t>
        </is>
      </c>
      <c r="E219" t="inlineStr">
        <is>
          <t>VÄSTERVIK</t>
        </is>
      </c>
      <c r="G219" t="n">
        <v>1.3</v>
      </c>
      <c r="H219" t="n">
        <v>1</v>
      </c>
      <c r="I219" t="n">
        <v>0</v>
      </c>
      <c r="J219" t="n">
        <v>1</v>
      </c>
      <c r="K219" t="n">
        <v>0</v>
      </c>
      <c r="L219" t="n">
        <v>0</v>
      </c>
      <c r="M219" t="n">
        <v>0</v>
      </c>
      <c r="N219" t="n">
        <v>0</v>
      </c>
      <c r="O219" t="n">
        <v>1</v>
      </c>
      <c r="P219" t="n">
        <v>0</v>
      </c>
      <c r="Q219" t="n">
        <v>1</v>
      </c>
      <c r="R219" s="2" t="inlineStr">
        <is>
          <t>Grönsångare</t>
        </is>
      </c>
      <c r="S219">
        <f>HYPERLINK("https://klasma.github.io/Logging_0883/artfynd/A 26516-2025 artfynd.xlsx", "A 26516-2025")</f>
        <v/>
      </c>
      <c r="T219">
        <f>HYPERLINK("https://klasma.github.io/Logging_0883/kartor/A 26516-2025 karta.png", "A 26516-2025")</f>
        <v/>
      </c>
      <c r="V219">
        <f>HYPERLINK("https://klasma.github.io/Logging_0883/klagomål/A 26516-2025 FSC-klagomål.docx", "A 26516-2025")</f>
        <v/>
      </c>
      <c r="W219">
        <f>HYPERLINK("https://klasma.github.io/Logging_0883/klagomålsmail/A 26516-2025 FSC-klagomål mail.docx", "A 26516-2025")</f>
        <v/>
      </c>
      <c r="X219">
        <f>HYPERLINK("https://klasma.github.io/Logging_0883/tillsyn/A 26516-2025 tillsynsbegäran.docx", "A 26516-2025")</f>
        <v/>
      </c>
      <c r="Y219">
        <f>HYPERLINK("https://klasma.github.io/Logging_0883/tillsynsmail/A 26516-2025 tillsynsbegäran mail.docx", "A 26516-2025")</f>
        <v/>
      </c>
      <c r="Z219">
        <f>HYPERLINK("https://klasma.github.io/Logging_0883/fåglar/A 26516-2025 prioriterade fågelarter.docx", "A 26516-2025")</f>
        <v/>
      </c>
    </row>
    <row r="220" ht="15" customHeight="1">
      <c r="A220" t="inlineStr">
        <is>
          <t>A 48897-2025</t>
        </is>
      </c>
      <c r="B220" s="1" t="n">
        <v>45937.47533564815</v>
      </c>
      <c r="C220" s="1" t="n">
        <v>46078</v>
      </c>
      <c r="D220" t="inlineStr">
        <is>
          <t>KALMAR LÄN</t>
        </is>
      </c>
      <c r="E220" t="inlineStr">
        <is>
          <t>VÄSTERVIK</t>
        </is>
      </c>
      <c r="F220" t="inlineStr">
        <is>
          <t>Sveaskog</t>
        </is>
      </c>
      <c r="G220" t="n">
        <v>4.9</v>
      </c>
      <c r="H220" t="n">
        <v>1</v>
      </c>
      <c r="I220" t="n">
        <v>0</v>
      </c>
      <c r="J220" t="n">
        <v>0</v>
      </c>
      <c r="K220" t="n">
        <v>0</v>
      </c>
      <c r="L220" t="n">
        <v>0</v>
      </c>
      <c r="M220" t="n">
        <v>0</v>
      </c>
      <c r="N220" t="n">
        <v>0</v>
      </c>
      <c r="O220" t="n">
        <v>0</v>
      </c>
      <c r="P220" t="n">
        <v>0</v>
      </c>
      <c r="Q220" t="n">
        <v>1</v>
      </c>
      <c r="R220" s="2" t="inlineStr">
        <is>
          <t>Blåsippa</t>
        </is>
      </c>
      <c r="S220">
        <f>HYPERLINK("https://klasma.github.io/Logging_0883/artfynd/A 48897-2025 artfynd.xlsx", "A 48897-2025")</f>
        <v/>
      </c>
      <c r="T220">
        <f>HYPERLINK("https://klasma.github.io/Logging_0883/kartor/A 48897-2025 karta.png", "A 48897-2025")</f>
        <v/>
      </c>
      <c r="V220">
        <f>HYPERLINK("https://klasma.github.io/Logging_0883/klagomål/A 48897-2025 FSC-klagomål.docx", "A 48897-2025")</f>
        <v/>
      </c>
      <c r="W220">
        <f>HYPERLINK("https://klasma.github.io/Logging_0883/klagomålsmail/A 48897-2025 FSC-klagomål mail.docx", "A 48897-2025")</f>
        <v/>
      </c>
      <c r="X220">
        <f>HYPERLINK("https://klasma.github.io/Logging_0883/tillsyn/A 48897-2025 tillsynsbegäran.docx", "A 48897-2025")</f>
        <v/>
      </c>
      <c r="Y220">
        <f>HYPERLINK("https://klasma.github.io/Logging_0883/tillsynsmail/A 48897-2025 tillsynsbegäran mail.docx", "A 48897-2025")</f>
        <v/>
      </c>
    </row>
    <row r="221" ht="15" customHeight="1">
      <c r="A221" t="inlineStr">
        <is>
          <t>A 55360-2024</t>
        </is>
      </c>
      <c r="B221" s="1" t="n">
        <v>45621.8252199074</v>
      </c>
      <c r="C221" s="1" t="n">
        <v>46078</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44618-2025</t>
        </is>
      </c>
      <c r="B222" s="1" t="n">
        <v>45917.46385416666</v>
      </c>
      <c r="C222" s="1" t="n">
        <v>46078</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46078</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1370-2024</t>
        </is>
      </c>
      <c r="B224" s="1" t="n">
        <v>45303</v>
      </c>
      <c r="C224" s="1" t="n">
        <v>46078</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1775-2025</t>
        </is>
      </c>
      <c r="B225" s="1" t="n">
        <v>45671.44059027778</v>
      </c>
      <c r="C225" s="1" t="n">
        <v>46078</v>
      </c>
      <c r="D225" t="inlineStr">
        <is>
          <t>KALMAR LÄN</t>
        </is>
      </c>
      <c r="E225" t="inlineStr">
        <is>
          <t>VÄSTERVIK</t>
        </is>
      </c>
      <c r="G225" t="n">
        <v>0.9</v>
      </c>
      <c r="H225" t="n">
        <v>1</v>
      </c>
      <c r="I225" t="n">
        <v>0</v>
      </c>
      <c r="J225" t="n">
        <v>0</v>
      </c>
      <c r="K225" t="n">
        <v>0</v>
      </c>
      <c r="L225" t="n">
        <v>0</v>
      </c>
      <c r="M225" t="n">
        <v>0</v>
      </c>
      <c r="N225" t="n">
        <v>0</v>
      </c>
      <c r="O225" t="n">
        <v>0</v>
      </c>
      <c r="P225" t="n">
        <v>0</v>
      </c>
      <c r="Q225" t="n">
        <v>1</v>
      </c>
      <c r="R225" s="2" t="inlineStr">
        <is>
          <t>Kungsfågel</t>
        </is>
      </c>
      <c r="S225">
        <f>HYPERLINK("https://klasma.github.io/Logging_0883/artfynd/A 1775-2025 artfynd.xlsx", "A 1775-2025")</f>
        <v/>
      </c>
      <c r="T225">
        <f>HYPERLINK("https://klasma.github.io/Logging_0883/kartor/A 1775-2025 karta.png", "A 1775-2025")</f>
        <v/>
      </c>
      <c r="V225">
        <f>HYPERLINK("https://klasma.github.io/Logging_0883/klagomål/A 1775-2025 FSC-klagomål.docx", "A 1775-2025")</f>
        <v/>
      </c>
      <c r="W225">
        <f>HYPERLINK("https://klasma.github.io/Logging_0883/klagomålsmail/A 1775-2025 FSC-klagomål mail.docx", "A 1775-2025")</f>
        <v/>
      </c>
      <c r="X225">
        <f>HYPERLINK("https://klasma.github.io/Logging_0883/tillsyn/A 1775-2025 tillsynsbegäran.docx", "A 1775-2025")</f>
        <v/>
      </c>
      <c r="Y225">
        <f>HYPERLINK("https://klasma.github.io/Logging_0883/tillsynsmail/A 1775-2025 tillsynsbegäran mail.docx", "A 1775-2025")</f>
        <v/>
      </c>
      <c r="Z225">
        <f>HYPERLINK("https://klasma.github.io/Logging_0883/fåglar/A 1775-2025 prioriterade fågelarter.docx", "A 1775-2025")</f>
        <v/>
      </c>
    </row>
    <row r="226" ht="15" customHeight="1">
      <c r="A226" t="inlineStr">
        <is>
          <t>A 51488-2024</t>
        </is>
      </c>
      <c r="B226" s="1" t="n">
        <v>45604</v>
      </c>
      <c r="C226" s="1" t="n">
        <v>46078</v>
      </c>
      <c r="D226" t="inlineStr">
        <is>
          <t>KALMAR LÄN</t>
        </is>
      </c>
      <c r="E226" t="inlineStr">
        <is>
          <t>VÄSTERVIK</t>
        </is>
      </c>
      <c r="F226" t="inlineStr">
        <is>
          <t>Övriga Aktiebolag</t>
        </is>
      </c>
      <c r="G226" t="n">
        <v>2.9</v>
      </c>
      <c r="H226" t="n">
        <v>1</v>
      </c>
      <c r="I226" t="n">
        <v>0</v>
      </c>
      <c r="J226" t="n">
        <v>1</v>
      </c>
      <c r="K226" t="n">
        <v>0</v>
      </c>
      <c r="L226" t="n">
        <v>0</v>
      </c>
      <c r="M226" t="n">
        <v>0</v>
      </c>
      <c r="N226" t="n">
        <v>0</v>
      </c>
      <c r="O226" t="n">
        <v>1</v>
      </c>
      <c r="P226" t="n">
        <v>0</v>
      </c>
      <c r="Q226" t="n">
        <v>1</v>
      </c>
      <c r="R226" s="2" t="inlineStr">
        <is>
          <t>Entita</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50172-2025</t>
        </is>
      </c>
      <c r="B227" s="1" t="n">
        <v>45943.60153935185</v>
      </c>
      <c r="C227" s="1" t="n">
        <v>46078</v>
      </c>
      <c r="D227" t="inlineStr">
        <is>
          <t>KALMAR LÄN</t>
        </is>
      </c>
      <c r="E227" t="inlineStr">
        <is>
          <t>VÄSTERVIK</t>
        </is>
      </c>
      <c r="G227" t="n">
        <v>2.2</v>
      </c>
      <c r="H227" t="n">
        <v>0</v>
      </c>
      <c r="I227" t="n">
        <v>1</v>
      </c>
      <c r="J227" t="n">
        <v>0</v>
      </c>
      <c r="K227" t="n">
        <v>0</v>
      </c>
      <c r="L227" t="n">
        <v>0</v>
      </c>
      <c r="M227" t="n">
        <v>0</v>
      </c>
      <c r="N227" t="n">
        <v>0</v>
      </c>
      <c r="O227" t="n">
        <v>0</v>
      </c>
      <c r="P227" t="n">
        <v>0</v>
      </c>
      <c r="Q227" t="n">
        <v>1</v>
      </c>
      <c r="R227" s="2" t="inlineStr">
        <is>
          <t>Dropptaggsvamp</t>
        </is>
      </c>
      <c r="S227">
        <f>HYPERLINK("https://klasma.github.io/Logging_0883/artfynd/A 50172-2025 artfynd.xlsx", "A 50172-2025")</f>
        <v/>
      </c>
      <c r="T227">
        <f>HYPERLINK("https://klasma.github.io/Logging_0883/kartor/A 50172-2025 karta.png", "A 50172-2025")</f>
        <v/>
      </c>
      <c r="V227">
        <f>HYPERLINK("https://klasma.github.io/Logging_0883/klagomål/A 50172-2025 FSC-klagomål.docx", "A 50172-2025")</f>
        <v/>
      </c>
      <c r="W227">
        <f>HYPERLINK("https://klasma.github.io/Logging_0883/klagomålsmail/A 50172-2025 FSC-klagomål mail.docx", "A 50172-2025")</f>
        <v/>
      </c>
      <c r="X227">
        <f>HYPERLINK("https://klasma.github.io/Logging_0883/tillsyn/A 50172-2025 tillsynsbegäran.docx", "A 50172-2025")</f>
        <v/>
      </c>
      <c r="Y227">
        <f>HYPERLINK("https://klasma.github.io/Logging_0883/tillsynsmail/A 50172-2025 tillsynsbegäran mail.docx", "A 50172-2025")</f>
        <v/>
      </c>
    </row>
    <row r="228" ht="15" customHeight="1">
      <c r="A228" t="inlineStr">
        <is>
          <t>A 30794-2025</t>
        </is>
      </c>
      <c r="B228" s="1" t="n">
        <v>45831.63834490741</v>
      </c>
      <c r="C228" s="1" t="n">
        <v>46078</v>
      </c>
      <c r="D228" t="inlineStr">
        <is>
          <t>KALMAR LÄN</t>
        </is>
      </c>
      <c r="E228" t="inlineStr">
        <is>
          <t>VÄSTERVIK</t>
        </is>
      </c>
      <c r="G228" t="n">
        <v>4.8</v>
      </c>
      <c r="H228" t="n">
        <v>0</v>
      </c>
      <c r="I228" t="n">
        <v>0</v>
      </c>
      <c r="J228" t="n">
        <v>1</v>
      </c>
      <c r="K228" t="n">
        <v>0</v>
      </c>
      <c r="L228" t="n">
        <v>0</v>
      </c>
      <c r="M228" t="n">
        <v>0</v>
      </c>
      <c r="N228" t="n">
        <v>0</v>
      </c>
      <c r="O228" t="n">
        <v>1</v>
      </c>
      <c r="P228" t="n">
        <v>0</v>
      </c>
      <c r="Q228" t="n">
        <v>1</v>
      </c>
      <c r="R228" s="2" t="inlineStr">
        <is>
          <t>Tallticka</t>
        </is>
      </c>
      <c r="S228">
        <f>HYPERLINK("https://klasma.github.io/Logging_0883/artfynd/A 30794-2025 artfynd.xlsx", "A 30794-2025")</f>
        <v/>
      </c>
      <c r="T228">
        <f>HYPERLINK("https://klasma.github.io/Logging_0883/kartor/A 30794-2025 karta.png", "A 30794-2025")</f>
        <v/>
      </c>
      <c r="V228">
        <f>HYPERLINK("https://klasma.github.io/Logging_0883/klagomål/A 30794-2025 FSC-klagomål.docx", "A 30794-2025")</f>
        <v/>
      </c>
      <c r="W228">
        <f>HYPERLINK("https://klasma.github.io/Logging_0883/klagomålsmail/A 30794-2025 FSC-klagomål mail.docx", "A 30794-2025")</f>
        <v/>
      </c>
      <c r="X228">
        <f>HYPERLINK("https://klasma.github.io/Logging_0883/tillsyn/A 30794-2025 tillsynsbegäran.docx", "A 30794-2025")</f>
        <v/>
      </c>
      <c r="Y228">
        <f>HYPERLINK("https://klasma.github.io/Logging_0883/tillsynsmail/A 30794-2025 tillsynsbegäran mail.docx", "A 30794-2025")</f>
        <v/>
      </c>
    </row>
    <row r="229" ht="15" customHeight="1">
      <c r="A229" t="inlineStr">
        <is>
          <t>A 3673-2025</t>
        </is>
      </c>
      <c r="B229" s="1" t="n">
        <v>45681.43706018518</v>
      </c>
      <c r="C229" s="1" t="n">
        <v>46078</v>
      </c>
      <c r="D229" t="inlineStr">
        <is>
          <t>KALMAR LÄN</t>
        </is>
      </c>
      <c r="E229" t="inlineStr">
        <is>
          <t>VÄSTERVIK</t>
        </is>
      </c>
      <c r="G229" t="n">
        <v>1.1</v>
      </c>
      <c r="H229" t="n">
        <v>0</v>
      </c>
      <c r="I229" t="n">
        <v>1</v>
      </c>
      <c r="J229" t="n">
        <v>0</v>
      </c>
      <c r="K229" t="n">
        <v>0</v>
      </c>
      <c r="L229" t="n">
        <v>0</v>
      </c>
      <c r="M229" t="n">
        <v>0</v>
      </c>
      <c r="N229" t="n">
        <v>0</v>
      </c>
      <c r="O229" t="n">
        <v>0</v>
      </c>
      <c r="P229" t="n">
        <v>0</v>
      </c>
      <c r="Q229" t="n">
        <v>1</v>
      </c>
      <c r="R229" s="2" t="inlineStr">
        <is>
          <t>Blodticka</t>
        </is>
      </c>
      <c r="S229">
        <f>HYPERLINK("https://klasma.github.io/Logging_0883/artfynd/A 3673-2025 artfynd.xlsx", "A 3673-2025")</f>
        <v/>
      </c>
      <c r="T229">
        <f>HYPERLINK("https://klasma.github.io/Logging_0883/kartor/A 3673-2025 karta.png", "A 3673-2025")</f>
        <v/>
      </c>
      <c r="V229">
        <f>HYPERLINK("https://klasma.github.io/Logging_0883/klagomål/A 3673-2025 FSC-klagomål.docx", "A 3673-2025")</f>
        <v/>
      </c>
      <c r="W229">
        <f>HYPERLINK("https://klasma.github.io/Logging_0883/klagomålsmail/A 3673-2025 FSC-klagomål mail.docx", "A 3673-2025")</f>
        <v/>
      </c>
      <c r="X229">
        <f>HYPERLINK("https://klasma.github.io/Logging_0883/tillsyn/A 3673-2025 tillsynsbegäran.docx", "A 3673-2025")</f>
        <v/>
      </c>
      <c r="Y229">
        <f>HYPERLINK("https://klasma.github.io/Logging_0883/tillsynsmail/A 3673-2025 tillsynsbegäran mail.docx", "A 3673-2025")</f>
        <v/>
      </c>
    </row>
    <row r="230" ht="15" customHeight="1">
      <c r="A230" t="inlineStr">
        <is>
          <t>A 9261-2025</t>
        </is>
      </c>
      <c r="B230" s="1" t="n">
        <v>45714.60472222222</v>
      </c>
      <c r="C230" s="1" t="n">
        <v>46078</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34166-2025</t>
        </is>
      </c>
      <c r="B231" s="1" t="n">
        <v>45845.5819675926</v>
      </c>
      <c r="C231" s="1" t="n">
        <v>46078</v>
      </c>
      <c r="D231" t="inlineStr">
        <is>
          <t>KALMAR LÄN</t>
        </is>
      </c>
      <c r="E231" t="inlineStr">
        <is>
          <t>VÄSTERVIK</t>
        </is>
      </c>
      <c r="G231" t="n">
        <v>3.5</v>
      </c>
      <c r="H231" t="n">
        <v>0</v>
      </c>
      <c r="I231" t="n">
        <v>0</v>
      </c>
      <c r="J231" t="n">
        <v>0</v>
      </c>
      <c r="K231" t="n">
        <v>0</v>
      </c>
      <c r="L231" t="n">
        <v>0</v>
      </c>
      <c r="M231" t="n">
        <v>1</v>
      </c>
      <c r="N231" t="n">
        <v>0</v>
      </c>
      <c r="O231" t="n">
        <v>1</v>
      </c>
      <c r="P231" t="n">
        <v>1</v>
      </c>
      <c r="Q231" t="n">
        <v>1</v>
      </c>
      <c r="R231" s="2" t="inlineStr">
        <is>
          <t>Skogsalm</t>
        </is>
      </c>
      <c r="S231">
        <f>HYPERLINK("https://klasma.github.io/Logging_0883/artfynd/A 34166-2025 artfynd.xlsx", "A 34166-2025")</f>
        <v/>
      </c>
      <c r="T231">
        <f>HYPERLINK("https://klasma.github.io/Logging_0883/kartor/A 34166-2025 karta.png", "A 34166-2025")</f>
        <v/>
      </c>
      <c r="V231">
        <f>HYPERLINK("https://klasma.github.io/Logging_0883/klagomål/A 34166-2025 FSC-klagomål.docx", "A 34166-2025")</f>
        <v/>
      </c>
      <c r="W231">
        <f>HYPERLINK("https://klasma.github.io/Logging_0883/klagomålsmail/A 34166-2025 FSC-klagomål mail.docx", "A 34166-2025")</f>
        <v/>
      </c>
      <c r="X231">
        <f>HYPERLINK("https://klasma.github.io/Logging_0883/tillsyn/A 34166-2025 tillsynsbegäran.docx", "A 34166-2025")</f>
        <v/>
      </c>
      <c r="Y231">
        <f>HYPERLINK("https://klasma.github.io/Logging_0883/tillsynsmail/A 34166-2025 tillsynsbegäran mail.docx", "A 34166-2025")</f>
        <v/>
      </c>
    </row>
    <row r="232" ht="15" customHeight="1">
      <c r="A232" t="inlineStr">
        <is>
          <t>A 33916-2025</t>
        </is>
      </c>
      <c r="B232" s="1" t="n">
        <v>45842.61306712963</v>
      </c>
      <c r="C232" s="1" t="n">
        <v>46078</v>
      </c>
      <c r="D232" t="inlineStr">
        <is>
          <t>KALMAR LÄN</t>
        </is>
      </c>
      <c r="E232" t="inlineStr">
        <is>
          <t>VÄSTERVIK</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HYPERLINK("https://klasma.github.io/Logging_0883/artfynd/A 33916-2025 artfynd.xlsx", "A 33916-2025")</f>
        <v/>
      </c>
      <c r="T232">
        <f>HYPERLINK("https://klasma.github.io/Logging_0883/kartor/A 33916-2025 karta.png", "A 33916-2025")</f>
        <v/>
      </c>
      <c r="V232">
        <f>HYPERLINK("https://klasma.github.io/Logging_0883/klagomål/A 33916-2025 FSC-klagomål.docx", "A 33916-2025")</f>
        <v/>
      </c>
      <c r="W232">
        <f>HYPERLINK("https://klasma.github.io/Logging_0883/klagomålsmail/A 33916-2025 FSC-klagomål mail.docx", "A 33916-2025")</f>
        <v/>
      </c>
      <c r="X232">
        <f>HYPERLINK("https://klasma.github.io/Logging_0883/tillsyn/A 33916-2025 tillsynsbegäran.docx", "A 33916-2025")</f>
        <v/>
      </c>
      <c r="Y232">
        <f>HYPERLINK("https://klasma.github.io/Logging_0883/tillsynsmail/A 33916-2025 tillsynsbegäran mail.docx", "A 33916-2025")</f>
        <v/>
      </c>
      <c r="Z232">
        <f>HYPERLINK("https://klasma.github.io/Logging_0883/fåglar/A 33916-2025 prioriterade fågelarter.docx", "A 33916-2025")</f>
        <v/>
      </c>
    </row>
    <row r="233" ht="15" customHeight="1">
      <c r="A233" t="inlineStr">
        <is>
          <t>A 34212-2025</t>
        </is>
      </c>
      <c r="B233" s="1" t="n">
        <v>45845.64383101852</v>
      </c>
      <c r="C233" s="1" t="n">
        <v>46078</v>
      </c>
      <c r="D233" t="inlineStr">
        <is>
          <t>KALMAR LÄN</t>
        </is>
      </c>
      <c r="E233" t="inlineStr">
        <is>
          <t>VÄSTERVIK</t>
        </is>
      </c>
      <c r="G233" t="n">
        <v>6.4</v>
      </c>
      <c r="H233" t="n">
        <v>0</v>
      </c>
      <c r="I233" t="n">
        <v>1</v>
      </c>
      <c r="J233" t="n">
        <v>0</v>
      </c>
      <c r="K233" t="n">
        <v>0</v>
      </c>
      <c r="L233" t="n">
        <v>0</v>
      </c>
      <c r="M233" t="n">
        <v>0</v>
      </c>
      <c r="N233" t="n">
        <v>0</v>
      </c>
      <c r="O233" t="n">
        <v>0</v>
      </c>
      <c r="P233" t="n">
        <v>0</v>
      </c>
      <c r="Q233" t="n">
        <v>1</v>
      </c>
      <c r="R233" s="2" t="inlineStr">
        <is>
          <t>Blåmossa</t>
        </is>
      </c>
      <c r="S233">
        <f>HYPERLINK("https://klasma.github.io/Logging_0883/artfynd/A 34212-2025 artfynd.xlsx", "A 34212-2025")</f>
        <v/>
      </c>
      <c r="T233">
        <f>HYPERLINK("https://klasma.github.io/Logging_0883/kartor/A 34212-2025 karta.png", "A 34212-2025")</f>
        <v/>
      </c>
      <c r="V233">
        <f>HYPERLINK("https://klasma.github.io/Logging_0883/klagomål/A 34212-2025 FSC-klagomål.docx", "A 34212-2025")</f>
        <v/>
      </c>
      <c r="W233">
        <f>HYPERLINK("https://klasma.github.io/Logging_0883/klagomålsmail/A 34212-2025 FSC-klagomål mail.docx", "A 34212-2025")</f>
        <v/>
      </c>
      <c r="X233">
        <f>HYPERLINK("https://klasma.github.io/Logging_0883/tillsyn/A 34212-2025 tillsynsbegäran.docx", "A 34212-2025")</f>
        <v/>
      </c>
      <c r="Y233">
        <f>HYPERLINK("https://klasma.github.io/Logging_0883/tillsynsmail/A 34212-2025 tillsynsbegäran mail.docx", "A 34212-2025")</f>
        <v/>
      </c>
    </row>
    <row r="234" ht="15" customHeight="1">
      <c r="A234" t="inlineStr">
        <is>
          <t>A 34168-2025</t>
        </is>
      </c>
      <c r="B234" s="1" t="n">
        <v>45845.58349537037</v>
      </c>
      <c r="C234" s="1" t="n">
        <v>46078</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11195-2024</t>
        </is>
      </c>
      <c r="B235" s="1" t="n">
        <v>45371</v>
      </c>
      <c r="C235" s="1" t="n">
        <v>46078</v>
      </c>
      <c r="D235" t="inlineStr">
        <is>
          <t>KALMAR LÄN</t>
        </is>
      </c>
      <c r="E235" t="inlineStr">
        <is>
          <t>VÄSTERVIK</t>
        </is>
      </c>
      <c r="G235" t="n">
        <v>1.9</v>
      </c>
      <c r="H235" t="n">
        <v>1</v>
      </c>
      <c r="I235" t="n">
        <v>0</v>
      </c>
      <c r="J235" t="n">
        <v>0</v>
      </c>
      <c r="K235" t="n">
        <v>1</v>
      </c>
      <c r="L235" t="n">
        <v>0</v>
      </c>
      <c r="M235" t="n">
        <v>0</v>
      </c>
      <c r="N235" t="n">
        <v>0</v>
      </c>
      <c r="O235" t="n">
        <v>1</v>
      </c>
      <c r="P235" t="n">
        <v>1</v>
      </c>
      <c r="Q235" t="n">
        <v>1</v>
      </c>
      <c r="R235" s="2" t="inlineStr">
        <is>
          <t>Knärot</t>
        </is>
      </c>
      <c r="S235">
        <f>HYPERLINK("https://klasma.github.io/Logging_0883/artfynd/A 11195-2024 artfynd.xlsx", "A 11195-2024")</f>
        <v/>
      </c>
      <c r="T235">
        <f>HYPERLINK("https://klasma.github.io/Logging_0883/kartor/A 11195-2024 karta.png", "A 11195-2024")</f>
        <v/>
      </c>
      <c r="U235">
        <f>HYPERLINK("https://klasma.github.io/Logging_0883/knärot/A 11195-2024 karta knärot.png", "A 11195-2024")</f>
        <v/>
      </c>
      <c r="V235">
        <f>HYPERLINK("https://klasma.github.io/Logging_0883/klagomål/A 11195-2024 FSC-klagomål.docx", "A 11195-2024")</f>
        <v/>
      </c>
      <c r="W235">
        <f>HYPERLINK("https://klasma.github.io/Logging_0883/klagomålsmail/A 11195-2024 FSC-klagomål mail.docx", "A 11195-2024")</f>
        <v/>
      </c>
      <c r="X235">
        <f>HYPERLINK("https://klasma.github.io/Logging_0883/tillsyn/A 11195-2024 tillsynsbegäran.docx", "A 11195-2024")</f>
        <v/>
      </c>
      <c r="Y235">
        <f>HYPERLINK("https://klasma.github.io/Logging_0883/tillsynsmail/A 11195-2024 tillsynsbegäran mail.docx", "A 11195-2024")</f>
        <v/>
      </c>
    </row>
    <row r="236" ht="15" customHeight="1">
      <c r="A236" t="inlineStr">
        <is>
          <t>A 1176-2024</t>
        </is>
      </c>
      <c r="B236" s="1" t="n">
        <v>45302</v>
      </c>
      <c r="C236" s="1" t="n">
        <v>46078</v>
      </c>
      <c r="D236" t="inlineStr">
        <is>
          <t>KALMAR LÄN</t>
        </is>
      </c>
      <c r="E236" t="inlineStr">
        <is>
          <t>VÄSTERVIK</t>
        </is>
      </c>
      <c r="G236" t="n">
        <v>2.5</v>
      </c>
      <c r="H236" t="n">
        <v>0</v>
      </c>
      <c r="I236" t="n">
        <v>0</v>
      </c>
      <c r="J236" t="n">
        <v>1</v>
      </c>
      <c r="K236" t="n">
        <v>0</v>
      </c>
      <c r="L236" t="n">
        <v>0</v>
      </c>
      <c r="M236" t="n">
        <v>0</v>
      </c>
      <c r="N236" t="n">
        <v>0</v>
      </c>
      <c r="O236" t="n">
        <v>1</v>
      </c>
      <c r="P236" t="n">
        <v>0</v>
      </c>
      <c r="Q236" t="n">
        <v>1</v>
      </c>
      <c r="R236" s="2" t="inlineStr">
        <is>
          <t>Tallticka</t>
        </is>
      </c>
      <c r="S236">
        <f>HYPERLINK("https://klasma.github.io/Logging_0883/artfynd/A 1176-2024 artfynd.xlsx", "A 1176-2024")</f>
        <v/>
      </c>
      <c r="T236">
        <f>HYPERLINK("https://klasma.github.io/Logging_0883/kartor/A 1176-2024 karta.png", "A 1176-2024")</f>
        <v/>
      </c>
      <c r="V236">
        <f>HYPERLINK("https://klasma.github.io/Logging_0883/klagomål/A 1176-2024 FSC-klagomål.docx", "A 1176-2024")</f>
        <v/>
      </c>
      <c r="W236">
        <f>HYPERLINK("https://klasma.github.io/Logging_0883/klagomålsmail/A 1176-2024 FSC-klagomål mail.docx", "A 1176-2024")</f>
        <v/>
      </c>
      <c r="X236">
        <f>HYPERLINK("https://klasma.github.io/Logging_0883/tillsyn/A 1176-2024 tillsynsbegäran.docx", "A 1176-2024")</f>
        <v/>
      </c>
      <c r="Y236">
        <f>HYPERLINK("https://klasma.github.io/Logging_0883/tillsynsmail/A 1176-2024 tillsynsbegäran mail.docx", "A 1176-2024")</f>
        <v/>
      </c>
    </row>
    <row r="237" ht="15" customHeight="1">
      <c r="A237" t="inlineStr">
        <is>
          <t>A 52194-2025</t>
        </is>
      </c>
      <c r="B237" s="1" t="n">
        <v>45953.39189814815</v>
      </c>
      <c r="C237" s="1" t="n">
        <v>46078</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1024-2023</t>
        </is>
      </c>
      <c r="B238" s="1" t="n">
        <v>44935</v>
      </c>
      <c r="C238" s="1" t="n">
        <v>46078</v>
      </c>
      <c r="D238" t="inlineStr">
        <is>
          <t>KALMAR LÄN</t>
        </is>
      </c>
      <c r="E238" t="inlineStr">
        <is>
          <t>VÄSTERVIK</t>
        </is>
      </c>
      <c r="F238" t="inlineStr">
        <is>
          <t>Holmen skog AB</t>
        </is>
      </c>
      <c r="G238" t="n">
        <v>1.9</v>
      </c>
      <c r="H238" t="n">
        <v>0</v>
      </c>
      <c r="I238" t="n">
        <v>0</v>
      </c>
      <c r="J238" t="n">
        <v>1</v>
      </c>
      <c r="K238" t="n">
        <v>0</v>
      </c>
      <c r="L238" t="n">
        <v>0</v>
      </c>
      <c r="M238" t="n">
        <v>0</v>
      </c>
      <c r="N238" t="n">
        <v>0</v>
      </c>
      <c r="O238" t="n">
        <v>1</v>
      </c>
      <c r="P238" t="n">
        <v>0</v>
      </c>
      <c r="Q238" t="n">
        <v>1</v>
      </c>
      <c r="R238" s="2" t="inlineStr">
        <is>
          <t>Ekticka</t>
        </is>
      </c>
      <c r="S238">
        <f>HYPERLINK("https://klasma.github.io/Logging_0883/artfynd/A 1024-2023 artfynd.xlsx", "A 1024-2023")</f>
        <v/>
      </c>
      <c r="T238">
        <f>HYPERLINK("https://klasma.github.io/Logging_0883/kartor/A 1024-2023 karta.png", "A 1024-2023")</f>
        <v/>
      </c>
      <c r="V238">
        <f>HYPERLINK("https://klasma.github.io/Logging_0883/klagomål/A 1024-2023 FSC-klagomål.docx", "A 1024-2023")</f>
        <v/>
      </c>
      <c r="W238">
        <f>HYPERLINK("https://klasma.github.io/Logging_0883/klagomålsmail/A 1024-2023 FSC-klagomål mail.docx", "A 1024-2023")</f>
        <v/>
      </c>
      <c r="X238">
        <f>HYPERLINK("https://klasma.github.io/Logging_0883/tillsyn/A 1024-2023 tillsynsbegäran.docx", "A 1024-2023")</f>
        <v/>
      </c>
      <c r="Y238">
        <f>HYPERLINK("https://klasma.github.io/Logging_0883/tillsynsmail/A 1024-2023 tillsynsbegäran mail.docx", "A 1024-2023")</f>
        <v/>
      </c>
    </row>
    <row r="239" ht="15" customHeight="1">
      <c r="A239" t="inlineStr">
        <is>
          <t>A 10768-2025</t>
        </is>
      </c>
      <c r="B239" s="1" t="n">
        <v>45722.46649305556</v>
      </c>
      <c r="C239" s="1" t="n">
        <v>46078</v>
      </c>
      <c r="D239" t="inlineStr">
        <is>
          <t>KALMAR LÄN</t>
        </is>
      </c>
      <c r="E239" t="inlineStr">
        <is>
          <t>VÄSTERVIK</t>
        </is>
      </c>
      <c r="G239" t="n">
        <v>0.9</v>
      </c>
      <c r="H239" t="n">
        <v>1</v>
      </c>
      <c r="I239" t="n">
        <v>0</v>
      </c>
      <c r="J239" t="n">
        <v>1</v>
      </c>
      <c r="K239" t="n">
        <v>0</v>
      </c>
      <c r="L239" t="n">
        <v>0</v>
      </c>
      <c r="M239" t="n">
        <v>0</v>
      </c>
      <c r="N239" t="n">
        <v>0</v>
      </c>
      <c r="O239" t="n">
        <v>1</v>
      </c>
      <c r="P239" t="n">
        <v>0</v>
      </c>
      <c r="Q239" t="n">
        <v>1</v>
      </c>
      <c r="R239" s="2" t="inlineStr">
        <is>
          <t>Talltita</t>
        </is>
      </c>
      <c r="S239">
        <f>HYPERLINK("https://klasma.github.io/Logging_0883/artfynd/A 10768-2025 artfynd.xlsx", "A 10768-2025")</f>
        <v/>
      </c>
      <c r="T239">
        <f>HYPERLINK("https://klasma.github.io/Logging_0883/kartor/A 10768-2025 karta.png", "A 10768-2025")</f>
        <v/>
      </c>
      <c r="V239">
        <f>HYPERLINK("https://klasma.github.io/Logging_0883/klagomål/A 10768-2025 FSC-klagomål.docx", "A 10768-2025")</f>
        <v/>
      </c>
      <c r="W239">
        <f>HYPERLINK("https://klasma.github.io/Logging_0883/klagomålsmail/A 10768-2025 FSC-klagomål mail.docx", "A 10768-2025")</f>
        <v/>
      </c>
      <c r="X239">
        <f>HYPERLINK("https://klasma.github.io/Logging_0883/tillsyn/A 10768-2025 tillsynsbegäran.docx", "A 10768-2025")</f>
        <v/>
      </c>
      <c r="Y239">
        <f>HYPERLINK("https://klasma.github.io/Logging_0883/tillsynsmail/A 10768-2025 tillsynsbegäran mail.docx", "A 10768-2025")</f>
        <v/>
      </c>
      <c r="Z239">
        <f>HYPERLINK("https://klasma.github.io/Logging_0883/fåglar/A 10768-2025 prioriterade fågelarter.docx", "A 10768-2025")</f>
        <v/>
      </c>
    </row>
    <row r="240" ht="15" customHeight="1">
      <c r="A240" t="inlineStr">
        <is>
          <t>A 12292-2025</t>
        </is>
      </c>
      <c r="B240" s="1" t="n">
        <v>45729.68322916667</v>
      </c>
      <c r="C240" s="1" t="n">
        <v>46078</v>
      </c>
      <c r="D240" t="inlineStr">
        <is>
          <t>KALMAR LÄN</t>
        </is>
      </c>
      <c r="E240" t="inlineStr">
        <is>
          <t>VÄSTERVIK</t>
        </is>
      </c>
      <c r="G240" t="n">
        <v>1.7</v>
      </c>
      <c r="H240" t="n">
        <v>1</v>
      </c>
      <c r="I240" t="n">
        <v>0</v>
      </c>
      <c r="J240" t="n">
        <v>0</v>
      </c>
      <c r="K240" t="n">
        <v>1</v>
      </c>
      <c r="L240" t="n">
        <v>0</v>
      </c>
      <c r="M240" t="n">
        <v>0</v>
      </c>
      <c r="N240" t="n">
        <v>0</v>
      </c>
      <c r="O240" t="n">
        <v>1</v>
      </c>
      <c r="P240" t="n">
        <v>1</v>
      </c>
      <c r="Q240" t="n">
        <v>1</v>
      </c>
      <c r="R240" s="2" t="inlineStr">
        <is>
          <t>Knärot</t>
        </is>
      </c>
      <c r="S240">
        <f>HYPERLINK("https://klasma.github.io/Logging_0883/artfynd/A 12292-2025 artfynd.xlsx", "A 12292-2025")</f>
        <v/>
      </c>
      <c r="T240">
        <f>HYPERLINK("https://klasma.github.io/Logging_0883/kartor/A 12292-2025 karta.png", "A 12292-2025")</f>
        <v/>
      </c>
      <c r="U240">
        <f>HYPERLINK("https://klasma.github.io/Logging_0883/knärot/A 12292-2025 karta knärot.png", "A 12292-2025")</f>
        <v/>
      </c>
      <c r="V240">
        <f>HYPERLINK("https://klasma.github.io/Logging_0883/klagomål/A 12292-2025 FSC-klagomål.docx", "A 12292-2025")</f>
        <v/>
      </c>
      <c r="W240">
        <f>HYPERLINK("https://klasma.github.io/Logging_0883/klagomålsmail/A 12292-2025 FSC-klagomål mail.docx", "A 12292-2025")</f>
        <v/>
      </c>
      <c r="X240">
        <f>HYPERLINK("https://klasma.github.io/Logging_0883/tillsyn/A 12292-2025 tillsynsbegäran.docx", "A 12292-2025")</f>
        <v/>
      </c>
      <c r="Y240">
        <f>HYPERLINK("https://klasma.github.io/Logging_0883/tillsynsmail/A 12292-2025 tillsynsbegäran mail.docx", "A 12292-2025")</f>
        <v/>
      </c>
    </row>
    <row r="241" ht="15" customHeight="1">
      <c r="A241" t="inlineStr">
        <is>
          <t>A 36595-2025</t>
        </is>
      </c>
      <c r="B241" s="1" t="n">
        <v>45870.513125</v>
      </c>
      <c r="C241" s="1" t="n">
        <v>46078</v>
      </c>
      <c r="D241" t="inlineStr">
        <is>
          <t>KALMAR LÄN</t>
        </is>
      </c>
      <c r="E241" t="inlineStr">
        <is>
          <t>VÄSTERVIK</t>
        </is>
      </c>
      <c r="G241" t="n">
        <v>1.5</v>
      </c>
      <c r="H241" t="n">
        <v>1</v>
      </c>
      <c r="I241" t="n">
        <v>0</v>
      </c>
      <c r="J241" t="n">
        <v>1</v>
      </c>
      <c r="K241" t="n">
        <v>0</v>
      </c>
      <c r="L241" t="n">
        <v>0</v>
      </c>
      <c r="M241" t="n">
        <v>0</v>
      </c>
      <c r="N241" t="n">
        <v>0</v>
      </c>
      <c r="O241" t="n">
        <v>1</v>
      </c>
      <c r="P241" t="n">
        <v>0</v>
      </c>
      <c r="Q241" t="n">
        <v>1</v>
      </c>
      <c r="R241" s="2" t="inlineStr">
        <is>
          <t>Talltita</t>
        </is>
      </c>
      <c r="S241">
        <f>HYPERLINK("https://klasma.github.io/Logging_0883/artfynd/A 36595-2025 artfynd.xlsx", "A 36595-2025")</f>
        <v/>
      </c>
      <c r="T241">
        <f>HYPERLINK("https://klasma.github.io/Logging_0883/kartor/A 36595-2025 karta.png", "A 36595-2025")</f>
        <v/>
      </c>
      <c r="V241">
        <f>HYPERLINK("https://klasma.github.io/Logging_0883/klagomål/A 36595-2025 FSC-klagomål.docx", "A 36595-2025")</f>
        <v/>
      </c>
      <c r="W241">
        <f>HYPERLINK("https://klasma.github.io/Logging_0883/klagomålsmail/A 36595-2025 FSC-klagomål mail.docx", "A 36595-2025")</f>
        <v/>
      </c>
      <c r="X241">
        <f>HYPERLINK("https://klasma.github.io/Logging_0883/tillsyn/A 36595-2025 tillsynsbegäran.docx", "A 36595-2025")</f>
        <v/>
      </c>
      <c r="Y241">
        <f>HYPERLINK("https://klasma.github.io/Logging_0883/tillsynsmail/A 36595-2025 tillsynsbegäran mail.docx", "A 36595-2025")</f>
        <v/>
      </c>
      <c r="Z241">
        <f>HYPERLINK("https://klasma.github.io/Logging_0883/fåglar/A 36595-2025 prioriterade fågelarter.docx", "A 36595-2025")</f>
        <v/>
      </c>
    </row>
    <row r="242" ht="15" customHeight="1">
      <c r="A242" t="inlineStr">
        <is>
          <t>A 9571-2025</t>
        </is>
      </c>
      <c r="B242" s="1" t="n">
        <v>45715.61996527778</v>
      </c>
      <c r="C242" s="1" t="n">
        <v>46078</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9571-2025 artfynd.xlsx", "A 9571-2025")</f>
        <v/>
      </c>
      <c r="T242">
        <f>HYPERLINK("https://klasma.github.io/Logging_0883/kartor/A 9571-2025 karta.png", "A 9571-2025")</f>
        <v/>
      </c>
      <c r="V242">
        <f>HYPERLINK("https://klasma.github.io/Logging_0883/klagomål/A 9571-2025 FSC-klagomål.docx", "A 9571-2025")</f>
        <v/>
      </c>
      <c r="W242">
        <f>HYPERLINK("https://klasma.github.io/Logging_0883/klagomålsmail/A 9571-2025 FSC-klagomål mail.docx", "A 9571-2025")</f>
        <v/>
      </c>
      <c r="X242">
        <f>HYPERLINK("https://klasma.github.io/Logging_0883/tillsyn/A 9571-2025 tillsynsbegäran.docx", "A 9571-2025")</f>
        <v/>
      </c>
      <c r="Y242">
        <f>HYPERLINK("https://klasma.github.io/Logging_0883/tillsynsmail/A 9571-2025 tillsynsbegäran mail.docx", "A 9571-2025")</f>
        <v/>
      </c>
    </row>
    <row r="243" ht="15" customHeight="1">
      <c r="A243" t="inlineStr">
        <is>
          <t>A 55616-2024</t>
        </is>
      </c>
      <c r="B243" s="1" t="n">
        <v>45622.5916087963</v>
      </c>
      <c r="C243" s="1" t="n">
        <v>46078</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53860-2025</t>
        </is>
      </c>
      <c r="B244" s="1" t="n">
        <v>45961.37815972222</v>
      </c>
      <c r="C244" s="1" t="n">
        <v>46078</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53843-2025</t>
        </is>
      </c>
      <c r="B245" s="1" t="n">
        <v>45961.36483796296</v>
      </c>
      <c r="C245" s="1" t="n">
        <v>46078</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53875-2025</t>
        </is>
      </c>
      <c r="B246" s="1" t="n">
        <v>45961.3937962963</v>
      </c>
      <c r="C246" s="1" t="n">
        <v>46078</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53875-2025 artfynd.xlsx", "A 53875-2025")</f>
        <v/>
      </c>
      <c r="T246">
        <f>HYPERLINK("https://klasma.github.io/Logging_0883/kartor/A 53875-2025 karta.png", "A 53875-2025")</f>
        <v/>
      </c>
      <c r="V246">
        <f>HYPERLINK("https://klasma.github.io/Logging_0883/klagomål/A 53875-2025 FSC-klagomål.docx", "A 53875-2025")</f>
        <v/>
      </c>
      <c r="W246">
        <f>HYPERLINK("https://klasma.github.io/Logging_0883/klagomålsmail/A 53875-2025 FSC-klagomål mail.docx", "A 53875-2025")</f>
        <v/>
      </c>
      <c r="X246">
        <f>HYPERLINK("https://klasma.github.io/Logging_0883/tillsyn/A 53875-2025 tillsynsbegäran.docx", "A 53875-2025")</f>
        <v/>
      </c>
      <c r="Y246">
        <f>HYPERLINK("https://klasma.github.io/Logging_0883/tillsynsmail/A 53875-2025 tillsynsbegäran mail.docx", "A 53875-2025")</f>
        <v/>
      </c>
    </row>
    <row r="247" ht="15" customHeight="1">
      <c r="A247" t="inlineStr">
        <is>
          <t>A 53877-2025</t>
        </is>
      </c>
      <c r="B247" s="1" t="n">
        <v>45961.39565972222</v>
      </c>
      <c r="C247" s="1" t="n">
        <v>46078</v>
      </c>
      <c r="D247" t="inlineStr">
        <is>
          <t>KALMAR LÄN</t>
        </is>
      </c>
      <c r="E247" t="inlineStr">
        <is>
          <t>VÄSTERVIK</t>
        </is>
      </c>
      <c r="F247" t="inlineStr">
        <is>
          <t>Sveaskog</t>
        </is>
      </c>
      <c r="G247" t="n">
        <v>2.2</v>
      </c>
      <c r="H247" t="n">
        <v>0</v>
      </c>
      <c r="I247" t="n">
        <v>0</v>
      </c>
      <c r="J247" t="n">
        <v>1</v>
      </c>
      <c r="K247" t="n">
        <v>0</v>
      </c>
      <c r="L247" t="n">
        <v>0</v>
      </c>
      <c r="M247" t="n">
        <v>0</v>
      </c>
      <c r="N247" t="n">
        <v>0</v>
      </c>
      <c r="O247" t="n">
        <v>1</v>
      </c>
      <c r="P247" t="n">
        <v>0</v>
      </c>
      <c r="Q247" t="n">
        <v>1</v>
      </c>
      <c r="R247" s="2" t="inlineStr">
        <is>
          <t>Pilblad</t>
        </is>
      </c>
      <c r="S247">
        <f>HYPERLINK("https://klasma.github.io/Logging_0883/artfynd/A 53877-2025 artfynd.xlsx", "A 53877-2025")</f>
        <v/>
      </c>
      <c r="T247">
        <f>HYPERLINK("https://klasma.github.io/Logging_0883/kartor/A 53877-2025 karta.png", "A 53877-2025")</f>
        <v/>
      </c>
      <c r="V247">
        <f>HYPERLINK("https://klasma.github.io/Logging_0883/klagomål/A 53877-2025 FSC-klagomål.docx", "A 53877-2025")</f>
        <v/>
      </c>
      <c r="W247">
        <f>HYPERLINK("https://klasma.github.io/Logging_0883/klagomålsmail/A 53877-2025 FSC-klagomål mail.docx", "A 53877-2025")</f>
        <v/>
      </c>
      <c r="X247">
        <f>HYPERLINK("https://klasma.github.io/Logging_0883/tillsyn/A 53877-2025 tillsynsbegäran.docx", "A 53877-2025")</f>
        <v/>
      </c>
      <c r="Y247">
        <f>HYPERLINK("https://klasma.github.io/Logging_0883/tillsynsmail/A 53877-2025 tillsynsbegäran mail.docx", "A 53877-2025")</f>
        <v/>
      </c>
    </row>
    <row r="248" ht="15" customHeight="1">
      <c r="A248" t="inlineStr">
        <is>
          <t>A 54859-2025</t>
        </is>
      </c>
      <c r="B248" s="1" t="n">
        <v>45966.75758101852</v>
      </c>
      <c r="C248" s="1" t="n">
        <v>46078</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54859-2025 artfynd.xlsx", "A 54859-2025")</f>
        <v/>
      </c>
      <c r="T248">
        <f>HYPERLINK("https://klasma.github.io/Logging_0883/kartor/A 54859-2025 karta.png", "A 54859-2025")</f>
        <v/>
      </c>
      <c r="V248">
        <f>HYPERLINK("https://klasma.github.io/Logging_0883/klagomål/A 54859-2025 FSC-klagomål.docx", "A 54859-2025")</f>
        <v/>
      </c>
      <c r="W248">
        <f>HYPERLINK("https://klasma.github.io/Logging_0883/klagomålsmail/A 54859-2025 FSC-klagomål mail.docx", "A 54859-2025")</f>
        <v/>
      </c>
      <c r="X248">
        <f>HYPERLINK("https://klasma.github.io/Logging_0883/tillsyn/A 54859-2025 tillsynsbegäran.docx", "A 54859-2025")</f>
        <v/>
      </c>
      <c r="Y248">
        <f>HYPERLINK("https://klasma.github.io/Logging_0883/tillsynsmail/A 54859-2025 tillsynsbegäran mail.docx", "A 54859-2025")</f>
        <v/>
      </c>
    </row>
    <row r="249" ht="15" customHeight="1">
      <c r="A249" t="inlineStr">
        <is>
          <t>A 59368-2023</t>
        </is>
      </c>
      <c r="B249" s="1" t="n">
        <v>45253</v>
      </c>
      <c r="C249" s="1" t="n">
        <v>46078</v>
      </c>
      <c r="D249" t="inlineStr">
        <is>
          <t>KALMAR LÄN</t>
        </is>
      </c>
      <c r="E249" t="inlineStr">
        <is>
          <t>VÄSTERVIK</t>
        </is>
      </c>
      <c r="G249" t="n">
        <v>2.4</v>
      </c>
      <c r="H249" t="n">
        <v>1</v>
      </c>
      <c r="I249" t="n">
        <v>0</v>
      </c>
      <c r="J249" t="n">
        <v>0</v>
      </c>
      <c r="K249" t="n">
        <v>1</v>
      </c>
      <c r="L249" t="n">
        <v>0</v>
      </c>
      <c r="M249" t="n">
        <v>0</v>
      </c>
      <c r="N249" t="n">
        <v>0</v>
      </c>
      <c r="O249" t="n">
        <v>1</v>
      </c>
      <c r="P249" t="n">
        <v>1</v>
      </c>
      <c r="Q249" t="n">
        <v>1</v>
      </c>
      <c r="R249" s="2" t="inlineStr">
        <is>
          <t>Knärot</t>
        </is>
      </c>
      <c r="S249">
        <f>HYPERLINK("https://klasma.github.io/Logging_0883/artfynd/A 59368-2023 artfynd.xlsx", "A 59368-2023")</f>
        <v/>
      </c>
      <c r="T249">
        <f>HYPERLINK("https://klasma.github.io/Logging_0883/kartor/A 59368-2023 karta.png", "A 59368-2023")</f>
        <v/>
      </c>
      <c r="U249">
        <f>HYPERLINK("https://klasma.github.io/Logging_0883/knärot/A 59368-2023 karta knärot.png", "A 59368-2023")</f>
        <v/>
      </c>
      <c r="V249">
        <f>HYPERLINK("https://klasma.github.io/Logging_0883/klagomål/A 59368-2023 FSC-klagomål.docx", "A 59368-2023")</f>
        <v/>
      </c>
      <c r="W249">
        <f>HYPERLINK("https://klasma.github.io/Logging_0883/klagomålsmail/A 59368-2023 FSC-klagomål mail.docx", "A 59368-2023")</f>
        <v/>
      </c>
      <c r="X249">
        <f>HYPERLINK("https://klasma.github.io/Logging_0883/tillsyn/A 59368-2023 tillsynsbegäran.docx", "A 59368-2023")</f>
        <v/>
      </c>
      <c r="Y249">
        <f>HYPERLINK("https://klasma.github.io/Logging_0883/tillsynsmail/A 59368-2023 tillsynsbegäran mail.docx", "A 59368-2023")</f>
        <v/>
      </c>
    </row>
    <row r="250" ht="15" customHeight="1">
      <c r="A250" t="inlineStr">
        <is>
          <t>A 57451-2025</t>
        </is>
      </c>
      <c r="B250" s="1" t="n">
        <v>45980.50101851852</v>
      </c>
      <c r="C250" s="1" t="n">
        <v>46078</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975-2023</t>
        </is>
      </c>
      <c r="B251" s="1" t="n">
        <v>44935</v>
      </c>
      <c r="C251" s="1" t="n">
        <v>46078</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Läderbagge</t>
        </is>
      </c>
      <c r="S251">
        <f>HYPERLINK("https://klasma.github.io/Logging_0883/artfynd/A 975-2023 artfynd.xlsx", "A 975-2023")</f>
        <v/>
      </c>
      <c r="T251">
        <f>HYPERLINK("https://klasma.github.io/Logging_0883/kartor/A 975-2023 karta.png", "A 975-2023")</f>
        <v/>
      </c>
      <c r="V251">
        <f>HYPERLINK("https://klasma.github.io/Logging_0883/klagomål/A 975-2023 FSC-klagomål.docx", "A 975-2023")</f>
        <v/>
      </c>
      <c r="W251">
        <f>HYPERLINK("https://klasma.github.io/Logging_0883/klagomålsmail/A 975-2023 FSC-klagomål mail.docx", "A 975-2023")</f>
        <v/>
      </c>
      <c r="X251">
        <f>HYPERLINK("https://klasma.github.io/Logging_0883/tillsyn/A 975-2023 tillsynsbegäran.docx", "A 975-2023")</f>
        <v/>
      </c>
      <c r="Y251">
        <f>HYPERLINK("https://klasma.github.io/Logging_0883/tillsynsmail/A 975-2023 tillsynsbegäran mail.docx", "A 975-2023")</f>
        <v/>
      </c>
    </row>
    <row r="252" ht="15" customHeight="1">
      <c r="A252" t="inlineStr">
        <is>
          <t>A 54272-2023</t>
        </is>
      </c>
      <c r="B252" s="1" t="n">
        <v>45232</v>
      </c>
      <c r="C252" s="1" t="n">
        <v>46078</v>
      </c>
      <c r="D252" t="inlineStr">
        <is>
          <t>KALMAR LÄN</t>
        </is>
      </c>
      <c r="E252" t="inlineStr">
        <is>
          <t>VÄSTERVIK</t>
        </is>
      </c>
      <c r="G252" t="n">
        <v>1</v>
      </c>
      <c r="H252" t="n">
        <v>0</v>
      </c>
      <c r="I252" t="n">
        <v>1</v>
      </c>
      <c r="J252" t="n">
        <v>0</v>
      </c>
      <c r="K252" t="n">
        <v>0</v>
      </c>
      <c r="L252" t="n">
        <v>0</v>
      </c>
      <c r="M252" t="n">
        <v>0</v>
      </c>
      <c r="N252" t="n">
        <v>0</v>
      </c>
      <c r="O252" t="n">
        <v>0</v>
      </c>
      <c r="P252" t="n">
        <v>0</v>
      </c>
      <c r="Q252" t="n">
        <v>1</v>
      </c>
      <c r="R252" s="2" t="inlineStr">
        <is>
          <t>Aprikosfingersvamp</t>
        </is>
      </c>
      <c r="S252">
        <f>HYPERLINK("https://klasma.github.io/Logging_0883/artfynd/A 54272-2023 artfynd.xlsx", "A 54272-2023")</f>
        <v/>
      </c>
      <c r="T252">
        <f>HYPERLINK("https://klasma.github.io/Logging_0883/kartor/A 54272-2023 karta.png", "A 54272-2023")</f>
        <v/>
      </c>
      <c r="V252">
        <f>HYPERLINK("https://klasma.github.io/Logging_0883/klagomål/A 54272-2023 FSC-klagomål.docx", "A 54272-2023")</f>
        <v/>
      </c>
      <c r="W252">
        <f>HYPERLINK("https://klasma.github.io/Logging_0883/klagomålsmail/A 54272-2023 FSC-klagomål mail.docx", "A 54272-2023")</f>
        <v/>
      </c>
      <c r="X252">
        <f>HYPERLINK("https://klasma.github.io/Logging_0883/tillsyn/A 54272-2023 tillsynsbegäran.docx", "A 54272-2023")</f>
        <v/>
      </c>
      <c r="Y252">
        <f>HYPERLINK("https://klasma.github.io/Logging_0883/tillsynsmail/A 54272-2023 tillsynsbegäran mail.docx", "A 54272-2023")</f>
        <v/>
      </c>
    </row>
    <row r="253" ht="15" customHeight="1">
      <c r="A253" t="inlineStr">
        <is>
          <t>A 58172-2025</t>
        </is>
      </c>
      <c r="B253" s="1" t="n">
        <v>45982</v>
      </c>
      <c r="C253" s="1" t="n">
        <v>46078</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59241-2025</t>
        </is>
      </c>
      <c r="B254" s="1" t="n">
        <v>45988.63915509259</v>
      </c>
      <c r="C254" s="1" t="n">
        <v>46078</v>
      </c>
      <c r="D254" t="inlineStr">
        <is>
          <t>KALMAR LÄN</t>
        </is>
      </c>
      <c r="E254" t="inlineStr">
        <is>
          <t>VÄSTERVIK</t>
        </is>
      </c>
      <c r="F254" t="inlineStr">
        <is>
          <t>Holmen skog AB</t>
        </is>
      </c>
      <c r="G254" t="n">
        <v>1.7</v>
      </c>
      <c r="H254" t="n">
        <v>1</v>
      </c>
      <c r="I254" t="n">
        <v>0</v>
      </c>
      <c r="J254" t="n">
        <v>1</v>
      </c>
      <c r="K254" t="n">
        <v>0</v>
      </c>
      <c r="L254" t="n">
        <v>0</v>
      </c>
      <c r="M254" t="n">
        <v>0</v>
      </c>
      <c r="N254" t="n">
        <v>0</v>
      </c>
      <c r="O254" t="n">
        <v>1</v>
      </c>
      <c r="P254" t="n">
        <v>0</v>
      </c>
      <c r="Q254" t="n">
        <v>1</v>
      </c>
      <c r="R254" s="2" t="inlineStr">
        <is>
          <t>Spillkråka</t>
        </is>
      </c>
      <c r="S254">
        <f>HYPERLINK("https://klasma.github.io/Logging_0883/artfynd/A 59241-2025 artfynd.xlsx", "A 59241-2025")</f>
        <v/>
      </c>
      <c r="T254">
        <f>HYPERLINK("https://klasma.github.io/Logging_0883/kartor/A 59241-2025 karta.png", "A 59241-2025")</f>
        <v/>
      </c>
      <c r="V254">
        <f>HYPERLINK("https://klasma.github.io/Logging_0883/klagomål/A 59241-2025 FSC-klagomål.docx", "A 59241-2025")</f>
        <v/>
      </c>
      <c r="W254">
        <f>HYPERLINK("https://klasma.github.io/Logging_0883/klagomålsmail/A 59241-2025 FSC-klagomål mail.docx", "A 59241-2025")</f>
        <v/>
      </c>
      <c r="X254">
        <f>HYPERLINK("https://klasma.github.io/Logging_0883/tillsyn/A 59241-2025 tillsynsbegäran.docx", "A 59241-2025")</f>
        <v/>
      </c>
      <c r="Y254">
        <f>HYPERLINK("https://klasma.github.io/Logging_0883/tillsynsmail/A 59241-2025 tillsynsbegäran mail.docx", "A 59241-2025")</f>
        <v/>
      </c>
      <c r="Z254">
        <f>HYPERLINK("https://klasma.github.io/Logging_0883/fåglar/A 59241-2025 prioriterade fågelarter.docx", "A 59241-2025")</f>
        <v/>
      </c>
    </row>
    <row r="255" ht="15" customHeight="1">
      <c r="A255" t="inlineStr">
        <is>
          <t>A 35028-2024</t>
        </is>
      </c>
      <c r="B255" s="1" t="n">
        <v>45527.60524305556</v>
      </c>
      <c r="C255" s="1" t="n">
        <v>46078</v>
      </c>
      <c r="D255" t="inlineStr">
        <is>
          <t>KALMAR LÄN</t>
        </is>
      </c>
      <c r="E255" t="inlineStr">
        <is>
          <t>VÄSTERVIK</t>
        </is>
      </c>
      <c r="G255" t="n">
        <v>1.3</v>
      </c>
      <c r="H255" t="n">
        <v>0</v>
      </c>
      <c r="I255" t="n">
        <v>1</v>
      </c>
      <c r="J255" t="n">
        <v>0</v>
      </c>
      <c r="K255" t="n">
        <v>0</v>
      </c>
      <c r="L255" t="n">
        <v>0</v>
      </c>
      <c r="M255" t="n">
        <v>0</v>
      </c>
      <c r="N255" t="n">
        <v>0</v>
      </c>
      <c r="O255" t="n">
        <v>0</v>
      </c>
      <c r="P255" t="n">
        <v>0</v>
      </c>
      <c r="Q255" t="n">
        <v>1</v>
      </c>
      <c r="R255" s="2" t="inlineStr">
        <is>
          <t>Blomkålssvamp</t>
        </is>
      </c>
      <c r="S255">
        <f>HYPERLINK("https://klasma.github.io/Logging_0883/artfynd/A 35028-2024 artfynd.xlsx", "A 35028-2024")</f>
        <v/>
      </c>
      <c r="T255">
        <f>HYPERLINK("https://klasma.github.io/Logging_0883/kartor/A 35028-2024 karta.png", "A 35028-2024")</f>
        <v/>
      </c>
      <c r="V255">
        <f>HYPERLINK("https://klasma.github.io/Logging_0883/klagomål/A 35028-2024 FSC-klagomål.docx", "A 35028-2024")</f>
        <v/>
      </c>
      <c r="W255">
        <f>HYPERLINK("https://klasma.github.io/Logging_0883/klagomålsmail/A 35028-2024 FSC-klagomål mail.docx", "A 35028-2024")</f>
        <v/>
      </c>
      <c r="X255">
        <f>HYPERLINK("https://klasma.github.io/Logging_0883/tillsyn/A 35028-2024 tillsynsbegäran.docx", "A 35028-2024")</f>
        <v/>
      </c>
      <c r="Y255">
        <f>HYPERLINK("https://klasma.github.io/Logging_0883/tillsynsmail/A 35028-2024 tillsynsbegäran mail.docx", "A 35028-2024")</f>
        <v/>
      </c>
    </row>
    <row r="256" ht="15" customHeight="1">
      <c r="A256" t="inlineStr">
        <is>
          <t>A 16695-2025</t>
        </is>
      </c>
      <c r="B256" s="1" t="n">
        <v>45754.46579861111</v>
      </c>
      <c r="C256" s="1" t="n">
        <v>46078</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c r="Z256">
        <f>HYPERLINK("https://klasma.github.io/Logging_0883/fåglar/A 16695-2025 prioriterade fågelarter.docx", "A 16695-2025")</f>
        <v/>
      </c>
    </row>
    <row r="257" ht="15" customHeight="1">
      <c r="A257" t="inlineStr">
        <is>
          <t>A 16697-2025</t>
        </is>
      </c>
      <c r="B257" s="1" t="n">
        <v>45754.46709490741</v>
      </c>
      <c r="C257" s="1" t="n">
        <v>46078</v>
      </c>
      <c r="D257" t="inlineStr">
        <is>
          <t>KALMAR LÄN</t>
        </is>
      </c>
      <c r="E257" t="inlineStr">
        <is>
          <t>VÄSTERVIK</t>
        </is>
      </c>
      <c r="F257" t="inlineStr">
        <is>
          <t>Sveaskog</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HYPERLINK("https://klasma.github.io/Logging_0883/artfynd/A 16697-2025 artfynd.xlsx", "A 16697-2025")</f>
        <v/>
      </c>
      <c r="T257">
        <f>HYPERLINK("https://klasma.github.io/Logging_0883/kartor/A 16697-2025 karta.png", "A 16697-2025")</f>
        <v/>
      </c>
      <c r="V257">
        <f>HYPERLINK("https://klasma.github.io/Logging_0883/klagomål/A 16697-2025 FSC-klagomål.docx", "A 16697-2025")</f>
        <v/>
      </c>
      <c r="W257">
        <f>HYPERLINK("https://klasma.github.io/Logging_0883/klagomålsmail/A 16697-2025 FSC-klagomål mail.docx", "A 16697-2025")</f>
        <v/>
      </c>
      <c r="X257">
        <f>HYPERLINK("https://klasma.github.io/Logging_0883/tillsyn/A 16697-2025 tillsynsbegäran.docx", "A 16697-2025")</f>
        <v/>
      </c>
      <c r="Y257">
        <f>HYPERLINK("https://klasma.github.io/Logging_0883/tillsynsmail/A 16697-2025 tillsynsbegäran mail.docx", "A 16697-2025")</f>
        <v/>
      </c>
      <c r="Z257">
        <f>HYPERLINK("https://klasma.github.io/Logging_0883/fåglar/A 16697-2025 prioriterade fågelarter.docx", "A 16697-2025")</f>
        <v/>
      </c>
    </row>
    <row r="258" ht="15" customHeight="1">
      <c r="A258" t="inlineStr">
        <is>
          <t>A 12662-2022</t>
        </is>
      </c>
      <c r="B258" s="1" t="n">
        <v>44641</v>
      </c>
      <c r="C258" s="1" t="n">
        <v>46078</v>
      </c>
      <c r="D258" t="inlineStr">
        <is>
          <t>KALMAR LÄN</t>
        </is>
      </c>
      <c r="E258" t="inlineStr">
        <is>
          <t>VÄSTERVIK</t>
        </is>
      </c>
      <c r="G258" t="n">
        <v>2.1</v>
      </c>
      <c r="H258" t="n">
        <v>0</v>
      </c>
      <c r="I258" t="n">
        <v>1</v>
      </c>
      <c r="J258" t="n">
        <v>0</v>
      </c>
      <c r="K258" t="n">
        <v>0</v>
      </c>
      <c r="L258" t="n">
        <v>0</v>
      </c>
      <c r="M258" t="n">
        <v>0</v>
      </c>
      <c r="N258" t="n">
        <v>0</v>
      </c>
      <c r="O258" t="n">
        <v>0</v>
      </c>
      <c r="P258" t="n">
        <v>0</v>
      </c>
      <c r="Q258" t="n">
        <v>1</v>
      </c>
      <c r="R258" s="2" t="inlineStr">
        <is>
          <t>Blåmossa</t>
        </is>
      </c>
      <c r="S258">
        <f>HYPERLINK("https://klasma.github.io/Logging_0883/artfynd/A 12662-2022 artfynd.xlsx", "A 12662-2022")</f>
        <v/>
      </c>
      <c r="T258">
        <f>HYPERLINK("https://klasma.github.io/Logging_0883/kartor/A 12662-2022 karta.png", "A 12662-2022")</f>
        <v/>
      </c>
      <c r="V258">
        <f>HYPERLINK("https://klasma.github.io/Logging_0883/klagomål/A 12662-2022 FSC-klagomål.docx", "A 12662-2022")</f>
        <v/>
      </c>
      <c r="W258">
        <f>HYPERLINK("https://klasma.github.io/Logging_0883/klagomålsmail/A 12662-2022 FSC-klagomål mail.docx", "A 12662-2022")</f>
        <v/>
      </c>
      <c r="X258">
        <f>HYPERLINK("https://klasma.github.io/Logging_0883/tillsyn/A 12662-2022 tillsynsbegäran.docx", "A 12662-2022")</f>
        <v/>
      </c>
      <c r="Y258">
        <f>HYPERLINK("https://klasma.github.io/Logging_0883/tillsynsmail/A 12662-2022 tillsynsbegäran mail.docx", "A 12662-2022")</f>
        <v/>
      </c>
    </row>
    <row r="259" ht="15" customHeight="1">
      <c r="A259" t="inlineStr">
        <is>
          <t>A 46559-2022</t>
        </is>
      </c>
      <c r="B259" s="1" t="n">
        <v>44848</v>
      </c>
      <c r="C259" s="1" t="n">
        <v>46078</v>
      </c>
      <c r="D259" t="inlineStr">
        <is>
          <t>KALMAR LÄN</t>
        </is>
      </c>
      <c r="E259" t="inlineStr">
        <is>
          <t>VÄSTERVIK</t>
        </is>
      </c>
      <c r="F259" t="inlineStr">
        <is>
          <t>Sveaskog</t>
        </is>
      </c>
      <c r="G259" t="n">
        <v>2.2</v>
      </c>
      <c r="H259" t="n">
        <v>1</v>
      </c>
      <c r="I259" t="n">
        <v>0</v>
      </c>
      <c r="J259" t="n">
        <v>0</v>
      </c>
      <c r="K259" t="n">
        <v>0</v>
      </c>
      <c r="L259" t="n">
        <v>0</v>
      </c>
      <c r="M259" t="n">
        <v>0</v>
      </c>
      <c r="N259" t="n">
        <v>0</v>
      </c>
      <c r="O259" t="n">
        <v>0</v>
      </c>
      <c r="P259" t="n">
        <v>0</v>
      </c>
      <c r="Q259" t="n">
        <v>1</v>
      </c>
      <c r="R259" s="2" t="inlineStr">
        <is>
          <t>Blåsippa</t>
        </is>
      </c>
      <c r="S259">
        <f>HYPERLINK("https://klasma.github.io/Logging_0883/artfynd/A 46559-2022 artfynd.xlsx", "A 46559-2022")</f>
        <v/>
      </c>
      <c r="T259">
        <f>HYPERLINK("https://klasma.github.io/Logging_0883/kartor/A 46559-2022 karta.png", "A 46559-2022")</f>
        <v/>
      </c>
      <c r="V259">
        <f>HYPERLINK("https://klasma.github.io/Logging_0883/klagomål/A 46559-2022 FSC-klagomål.docx", "A 46559-2022")</f>
        <v/>
      </c>
      <c r="W259">
        <f>HYPERLINK("https://klasma.github.io/Logging_0883/klagomålsmail/A 46559-2022 FSC-klagomål mail.docx", "A 46559-2022")</f>
        <v/>
      </c>
      <c r="X259">
        <f>HYPERLINK("https://klasma.github.io/Logging_0883/tillsyn/A 46559-2022 tillsynsbegäran.docx", "A 46559-2022")</f>
        <v/>
      </c>
      <c r="Y259">
        <f>HYPERLINK("https://klasma.github.io/Logging_0883/tillsynsmail/A 46559-2022 tillsynsbegäran mail.docx", "A 46559-2022")</f>
        <v/>
      </c>
    </row>
    <row r="260" ht="15" customHeight="1">
      <c r="A260" t="inlineStr">
        <is>
          <t>A 9265-2025</t>
        </is>
      </c>
      <c r="B260" s="1" t="n">
        <v>45714.61153935185</v>
      </c>
      <c r="C260" s="1" t="n">
        <v>46078</v>
      </c>
      <c r="D260" t="inlineStr">
        <is>
          <t>KALMAR LÄN</t>
        </is>
      </c>
      <c r="E260" t="inlineStr">
        <is>
          <t>VÄSTERVIK</t>
        </is>
      </c>
      <c r="F260" t="inlineStr">
        <is>
          <t>Sveaskog</t>
        </is>
      </c>
      <c r="G260" t="n">
        <v>2.2</v>
      </c>
      <c r="H260" t="n">
        <v>1</v>
      </c>
      <c r="I260" t="n">
        <v>0</v>
      </c>
      <c r="J260" t="n">
        <v>1</v>
      </c>
      <c r="K260" t="n">
        <v>0</v>
      </c>
      <c r="L260" t="n">
        <v>0</v>
      </c>
      <c r="M260" t="n">
        <v>0</v>
      </c>
      <c r="N260" t="n">
        <v>0</v>
      </c>
      <c r="O260" t="n">
        <v>1</v>
      </c>
      <c r="P260" t="n">
        <v>0</v>
      </c>
      <c r="Q260" t="n">
        <v>1</v>
      </c>
      <c r="R260" s="2" t="inlineStr">
        <is>
          <t>Havsörn</t>
        </is>
      </c>
      <c r="S260">
        <f>HYPERLINK("https://klasma.github.io/Logging_0883/artfynd/A 9265-2025 artfynd.xlsx", "A 9265-2025")</f>
        <v/>
      </c>
      <c r="T260">
        <f>HYPERLINK("https://klasma.github.io/Logging_0883/kartor/A 9265-2025 karta.png", "A 9265-2025")</f>
        <v/>
      </c>
      <c r="V260">
        <f>HYPERLINK("https://klasma.github.io/Logging_0883/klagomål/A 9265-2025 FSC-klagomål.docx", "A 9265-2025")</f>
        <v/>
      </c>
      <c r="W260">
        <f>HYPERLINK("https://klasma.github.io/Logging_0883/klagomålsmail/A 9265-2025 FSC-klagomål mail.docx", "A 9265-2025")</f>
        <v/>
      </c>
      <c r="X260">
        <f>HYPERLINK("https://klasma.github.io/Logging_0883/tillsyn/A 9265-2025 tillsynsbegäran.docx", "A 9265-2025")</f>
        <v/>
      </c>
      <c r="Y260">
        <f>HYPERLINK("https://klasma.github.io/Logging_0883/tillsynsmail/A 9265-2025 tillsynsbegäran mail.docx", "A 9265-2025")</f>
        <v/>
      </c>
      <c r="Z260">
        <f>HYPERLINK("https://klasma.github.io/Logging_0883/fåglar/A 9265-2025 prioriterade fågelarter.docx", "A 9265-2025")</f>
        <v/>
      </c>
    </row>
    <row r="261" ht="15" customHeight="1">
      <c r="A261" t="inlineStr">
        <is>
          <t>A 3624-2026</t>
        </is>
      </c>
      <c r="B261" s="1" t="n">
        <v>46043</v>
      </c>
      <c r="C261" s="1" t="n">
        <v>46078</v>
      </c>
      <c r="D261" t="inlineStr">
        <is>
          <t>KALMAR LÄN</t>
        </is>
      </c>
      <c r="E261" t="inlineStr">
        <is>
          <t>VÄSTERVIK</t>
        </is>
      </c>
      <c r="G261" t="n">
        <v>2.2</v>
      </c>
      <c r="H261" t="n">
        <v>1</v>
      </c>
      <c r="I261" t="n">
        <v>1</v>
      </c>
      <c r="J261" t="n">
        <v>0</v>
      </c>
      <c r="K261" t="n">
        <v>0</v>
      </c>
      <c r="L261" t="n">
        <v>0</v>
      </c>
      <c r="M261" t="n">
        <v>0</v>
      </c>
      <c r="N261" t="n">
        <v>0</v>
      </c>
      <c r="O261" t="n">
        <v>0</v>
      </c>
      <c r="P261" t="n">
        <v>0</v>
      </c>
      <c r="Q261" t="n">
        <v>1</v>
      </c>
      <c r="R261" s="2" t="inlineStr">
        <is>
          <t>Purpurknipprot</t>
        </is>
      </c>
      <c r="S261">
        <f>HYPERLINK("https://klasma.github.io/Logging_0883/artfynd/A 3624-2026 artfynd.xlsx", "A 3624-2026")</f>
        <v/>
      </c>
      <c r="T261">
        <f>HYPERLINK("https://klasma.github.io/Logging_0883/kartor/A 3624-2026 karta.png", "A 3624-2026")</f>
        <v/>
      </c>
      <c r="V261">
        <f>HYPERLINK("https://klasma.github.io/Logging_0883/klagomål/A 3624-2026 FSC-klagomål.docx", "A 3624-2026")</f>
        <v/>
      </c>
      <c r="W261">
        <f>HYPERLINK("https://klasma.github.io/Logging_0883/klagomålsmail/A 3624-2026 FSC-klagomål mail.docx", "A 3624-2026")</f>
        <v/>
      </c>
      <c r="X261">
        <f>HYPERLINK("https://klasma.github.io/Logging_0883/tillsyn/A 3624-2026 tillsynsbegäran.docx", "A 3624-2026")</f>
        <v/>
      </c>
      <c r="Y261">
        <f>HYPERLINK("https://klasma.github.io/Logging_0883/tillsynsmail/A 3624-2026 tillsynsbegäran mail.docx", "A 3624-2026")</f>
        <v/>
      </c>
    </row>
    <row r="262" ht="15" customHeight="1">
      <c r="A262" t="inlineStr">
        <is>
          <t>A 17952-2025</t>
        </is>
      </c>
      <c r="B262" s="1" t="n">
        <v>45760.85842592592</v>
      </c>
      <c r="C262" s="1" t="n">
        <v>46078</v>
      </c>
      <c r="D262" t="inlineStr">
        <is>
          <t>KALMAR LÄN</t>
        </is>
      </c>
      <c r="E262" t="inlineStr">
        <is>
          <t>VÄSTERVIK</t>
        </is>
      </c>
      <c r="G262" t="n">
        <v>3.3</v>
      </c>
      <c r="H262" t="n">
        <v>1</v>
      </c>
      <c r="I262" t="n">
        <v>0</v>
      </c>
      <c r="J262" t="n">
        <v>0</v>
      </c>
      <c r="K262" t="n">
        <v>0</v>
      </c>
      <c r="L262" t="n">
        <v>0</v>
      </c>
      <c r="M262" t="n">
        <v>0</v>
      </c>
      <c r="N262" t="n">
        <v>0</v>
      </c>
      <c r="O262" t="n">
        <v>0</v>
      </c>
      <c r="P262" t="n">
        <v>0</v>
      </c>
      <c r="Q262" t="n">
        <v>1</v>
      </c>
      <c r="R262" s="2" t="inlineStr">
        <is>
          <t>Revlummer</t>
        </is>
      </c>
      <c r="S262">
        <f>HYPERLINK("https://klasma.github.io/Logging_0883/artfynd/A 17952-2025 artfynd.xlsx", "A 17952-2025")</f>
        <v/>
      </c>
      <c r="T262">
        <f>HYPERLINK("https://klasma.github.io/Logging_0883/kartor/A 17952-2025 karta.png", "A 17952-2025")</f>
        <v/>
      </c>
      <c r="V262">
        <f>HYPERLINK("https://klasma.github.io/Logging_0883/klagomål/A 17952-2025 FSC-klagomål.docx", "A 17952-2025")</f>
        <v/>
      </c>
      <c r="W262">
        <f>HYPERLINK("https://klasma.github.io/Logging_0883/klagomålsmail/A 17952-2025 FSC-klagomål mail.docx", "A 17952-2025")</f>
        <v/>
      </c>
      <c r="X262">
        <f>HYPERLINK("https://klasma.github.io/Logging_0883/tillsyn/A 17952-2025 tillsynsbegäran.docx", "A 17952-2025")</f>
        <v/>
      </c>
      <c r="Y262">
        <f>HYPERLINK("https://klasma.github.io/Logging_0883/tillsynsmail/A 17952-2025 tillsynsbegäran mail.docx", "A 17952-2025")</f>
        <v/>
      </c>
    </row>
    <row r="263" ht="15" customHeight="1">
      <c r="A263" t="inlineStr">
        <is>
          <t>A 4120-2026</t>
        </is>
      </c>
      <c r="B263" s="1" t="n">
        <v>46044.6109375</v>
      </c>
      <c r="C263" s="1" t="n">
        <v>46078</v>
      </c>
      <c r="D263" t="inlineStr">
        <is>
          <t>KALMAR LÄN</t>
        </is>
      </c>
      <c r="E263" t="inlineStr">
        <is>
          <t>VÄSTERVIK</t>
        </is>
      </c>
      <c r="G263" t="n">
        <v>4</v>
      </c>
      <c r="H263" t="n">
        <v>1</v>
      </c>
      <c r="I263" t="n">
        <v>0</v>
      </c>
      <c r="J263" t="n">
        <v>0</v>
      </c>
      <c r="K263" t="n">
        <v>0</v>
      </c>
      <c r="L263" t="n">
        <v>0</v>
      </c>
      <c r="M263" t="n">
        <v>0</v>
      </c>
      <c r="N263" t="n">
        <v>0</v>
      </c>
      <c r="O263" t="n">
        <v>0</v>
      </c>
      <c r="P263" t="n">
        <v>0</v>
      </c>
      <c r="Q263" t="n">
        <v>1</v>
      </c>
      <c r="R263" s="2" t="inlineStr">
        <is>
          <t>Tjäder</t>
        </is>
      </c>
      <c r="S263">
        <f>HYPERLINK("https://klasma.github.io/Logging_0883/artfynd/A 4120-2026 artfynd.xlsx", "A 4120-2026")</f>
        <v/>
      </c>
      <c r="T263">
        <f>HYPERLINK("https://klasma.github.io/Logging_0883/kartor/A 4120-2026 karta.png", "A 4120-2026")</f>
        <v/>
      </c>
      <c r="V263">
        <f>HYPERLINK("https://klasma.github.io/Logging_0883/klagomål/A 4120-2026 FSC-klagomål.docx", "A 4120-2026")</f>
        <v/>
      </c>
      <c r="W263">
        <f>HYPERLINK("https://klasma.github.io/Logging_0883/klagomålsmail/A 4120-2026 FSC-klagomål mail.docx", "A 4120-2026")</f>
        <v/>
      </c>
      <c r="X263">
        <f>HYPERLINK("https://klasma.github.io/Logging_0883/tillsyn/A 4120-2026 tillsynsbegäran.docx", "A 4120-2026")</f>
        <v/>
      </c>
      <c r="Y263">
        <f>HYPERLINK("https://klasma.github.io/Logging_0883/tillsynsmail/A 4120-2026 tillsynsbegäran mail.docx", "A 4120-2026")</f>
        <v/>
      </c>
      <c r="Z263">
        <f>HYPERLINK("https://klasma.github.io/Logging_0883/fåglar/A 4120-2026 prioriterade fågelarter.docx", "A 4120-2026")</f>
        <v/>
      </c>
    </row>
    <row r="264" ht="15" customHeight="1">
      <c r="A264" t="inlineStr">
        <is>
          <t>A 32653-2023</t>
        </is>
      </c>
      <c r="B264" s="1" t="n">
        <v>45121</v>
      </c>
      <c r="C264" s="1" t="n">
        <v>46078</v>
      </c>
      <c r="D264" t="inlineStr">
        <is>
          <t>KALMAR LÄN</t>
        </is>
      </c>
      <c r="E264" t="inlineStr">
        <is>
          <t>VÄSTERVIK</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HYPERLINK("https://klasma.github.io/Logging_0883/artfynd/A 32653-2023 artfynd.xlsx", "A 32653-2023")</f>
        <v/>
      </c>
      <c r="T264">
        <f>HYPERLINK("https://klasma.github.io/Logging_0883/kartor/A 32653-2023 karta.png", "A 32653-2023")</f>
        <v/>
      </c>
      <c r="U264">
        <f>HYPERLINK("https://klasma.github.io/Logging_0883/knärot/A 32653-2023 karta knärot.png", "A 32653-2023")</f>
        <v/>
      </c>
      <c r="V264">
        <f>HYPERLINK("https://klasma.github.io/Logging_0883/klagomål/A 32653-2023 FSC-klagomål.docx", "A 32653-2023")</f>
        <v/>
      </c>
      <c r="W264">
        <f>HYPERLINK("https://klasma.github.io/Logging_0883/klagomålsmail/A 32653-2023 FSC-klagomål mail.docx", "A 32653-2023")</f>
        <v/>
      </c>
      <c r="X264">
        <f>HYPERLINK("https://klasma.github.io/Logging_0883/tillsyn/A 32653-2023 tillsynsbegäran.docx", "A 32653-2023")</f>
        <v/>
      </c>
      <c r="Y264">
        <f>HYPERLINK("https://klasma.github.io/Logging_0883/tillsynsmail/A 32653-2023 tillsynsbegäran mail.docx", "A 32653-2023")</f>
        <v/>
      </c>
    </row>
    <row r="265" ht="15" customHeight="1">
      <c r="A265" t="inlineStr">
        <is>
          <t>A 6634-2025</t>
        </is>
      </c>
      <c r="B265" s="1" t="n">
        <v>45700.38141203704</v>
      </c>
      <c r="C265" s="1" t="n">
        <v>46078</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14082-2025</t>
        </is>
      </c>
      <c r="B266" s="1" t="n">
        <v>45740.43934027778</v>
      </c>
      <c r="C266" s="1" t="n">
        <v>46078</v>
      </c>
      <c r="D266" t="inlineStr">
        <is>
          <t>KALMAR LÄN</t>
        </is>
      </c>
      <c r="E266" t="inlineStr">
        <is>
          <t>VÄSTERVIK</t>
        </is>
      </c>
      <c r="F266" t="inlineStr">
        <is>
          <t>Sveaskog</t>
        </is>
      </c>
      <c r="G266" t="n">
        <v>1.2</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HYPERLINK("https://klasma.github.io/Logging_0883/artfynd/A 14082-2025 artfynd.xlsx", "A 14082-2025")</f>
        <v/>
      </c>
      <c r="T266">
        <f>HYPERLINK("https://klasma.github.io/Logging_0883/kartor/A 14082-2025 karta.png", "A 14082-2025")</f>
        <v/>
      </c>
      <c r="V266">
        <f>HYPERLINK("https://klasma.github.io/Logging_0883/klagomål/A 14082-2025 FSC-klagomål.docx", "A 14082-2025")</f>
        <v/>
      </c>
      <c r="W266">
        <f>HYPERLINK("https://klasma.github.io/Logging_0883/klagomålsmail/A 14082-2025 FSC-klagomål mail.docx", "A 14082-2025")</f>
        <v/>
      </c>
      <c r="X266">
        <f>HYPERLINK("https://klasma.github.io/Logging_0883/tillsyn/A 14082-2025 tillsynsbegäran.docx", "A 14082-2025")</f>
        <v/>
      </c>
      <c r="Y266">
        <f>HYPERLINK("https://klasma.github.io/Logging_0883/tillsynsmail/A 14082-2025 tillsynsbegäran mail.docx", "A 14082-2025")</f>
        <v/>
      </c>
    </row>
    <row r="267" ht="15" customHeight="1">
      <c r="A267" t="inlineStr">
        <is>
          <t>A 59178-2022</t>
        </is>
      </c>
      <c r="B267" s="1" t="n">
        <v>44904</v>
      </c>
      <c r="C267" s="1" t="n">
        <v>46078</v>
      </c>
      <c r="D267" t="inlineStr">
        <is>
          <t>KALMAR LÄN</t>
        </is>
      </c>
      <c r="E267" t="inlineStr">
        <is>
          <t>VÄSTERVIK</t>
        </is>
      </c>
      <c r="G267" t="n">
        <v>3.3</v>
      </c>
      <c r="H267" t="n">
        <v>0</v>
      </c>
      <c r="I267" t="n">
        <v>0</v>
      </c>
      <c r="J267" t="n">
        <v>1</v>
      </c>
      <c r="K267" t="n">
        <v>0</v>
      </c>
      <c r="L267" t="n">
        <v>0</v>
      </c>
      <c r="M267" t="n">
        <v>0</v>
      </c>
      <c r="N267" t="n">
        <v>0</v>
      </c>
      <c r="O267" t="n">
        <v>1</v>
      </c>
      <c r="P267" t="n">
        <v>0</v>
      </c>
      <c r="Q267" t="n">
        <v>1</v>
      </c>
      <c r="R267" s="2" t="inlineStr">
        <is>
          <t>Tallticka</t>
        </is>
      </c>
      <c r="S267">
        <f>HYPERLINK("https://klasma.github.io/Logging_0883/artfynd/A 59178-2022 artfynd.xlsx", "A 59178-2022")</f>
        <v/>
      </c>
      <c r="T267">
        <f>HYPERLINK("https://klasma.github.io/Logging_0883/kartor/A 59178-2022 karta.png", "A 59178-2022")</f>
        <v/>
      </c>
      <c r="V267">
        <f>HYPERLINK("https://klasma.github.io/Logging_0883/klagomål/A 59178-2022 FSC-klagomål.docx", "A 59178-2022")</f>
        <v/>
      </c>
      <c r="W267">
        <f>HYPERLINK("https://klasma.github.io/Logging_0883/klagomålsmail/A 59178-2022 FSC-klagomål mail.docx", "A 59178-2022")</f>
        <v/>
      </c>
      <c r="X267">
        <f>HYPERLINK("https://klasma.github.io/Logging_0883/tillsyn/A 59178-2022 tillsynsbegäran.docx", "A 59178-2022")</f>
        <v/>
      </c>
      <c r="Y267">
        <f>HYPERLINK("https://klasma.github.io/Logging_0883/tillsynsmail/A 59178-2022 tillsynsbegäran mail.docx", "A 59178-2022")</f>
        <v/>
      </c>
    </row>
    <row r="268" ht="15" customHeight="1">
      <c r="A268" t="inlineStr">
        <is>
          <t>A 24048-2021</t>
        </is>
      </c>
      <c r="B268" s="1" t="n">
        <v>44336</v>
      </c>
      <c r="C268" s="1" t="n">
        <v>46078</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62888-2025</t>
        </is>
      </c>
      <c r="B269" s="1" t="n">
        <v>46009.3238425926</v>
      </c>
      <c r="C269" s="1" t="n">
        <v>46078</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19900-2022</t>
        </is>
      </c>
      <c r="B270" s="1" t="n">
        <v>44697</v>
      </c>
      <c r="C270" s="1" t="n">
        <v>46078</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6195-2026</t>
        </is>
      </c>
      <c r="B271" s="1" t="n">
        <v>46055.39365740741</v>
      </c>
      <c r="C271" s="1" t="n">
        <v>46078</v>
      </c>
      <c r="D271" t="inlineStr">
        <is>
          <t>KALMAR LÄN</t>
        </is>
      </c>
      <c r="E271" t="inlineStr">
        <is>
          <t>VÄSTERVIK</t>
        </is>
      </c>
      <c r="G271" t="n">
        <v>1.4</v>
      </c>
      <c r="H271" t="n">
        <v>1</v>
      </c>
      <c r="I271" t="n">
        <v>1</v>
      </c>
      <c r="J271" t="n">
        <v>0</v>
      </c>
      <c r="K271" t="n">
        <v>0</v>
      </c>
      <c r="L271" t="n">
        <v>0</v>
      </c>
      <c r="M271" t="n">
        <v>0</v>
      </c>
      <c r="N271" t="n">
        <v>0</v>
      </c>
      <c r="O271" t="n">
        <v>0</v>
      </c>
      <c r="P271" t="n">
        <v>0</v>
      </c>
      <c r="Q271" t="n">
        <v>1</v>
      </c>
      <c r="R271" s="2" t="inlineStr">
        <is>
          <t>Korallrot</t>
        </is>
      </c>
      <c r="S271">
        <f>HYPERLINK("https://klasma.github.io/Logging_0883/artfynd/A 6195-2026 artfynd.xlsx", "A 6195-2026")</f>
        <v/>
      </c>
      <c r="T271">
        <f>HYPERLINK("https://klasma.github.io/Logging_0883/kartor/A 6195-2026 karta.png", "A 6195-2026")</f>
        <v/>
      </c>
      <c r="V271">
        <f>HYPERLINK("https://klasma.github.io/Logging_0883/klagomål/A 6195-2026 FSC-klagomål.docx", "A 6195-2026")</f>
        <v/>
      </c>
      <c r="W271">
        <f>HYPERLINK("https://klasma.github.io/Logging_0883/klagomålsmail/A 6195-2026 FSC-klagomål mail.docx", "A 6195-2026")</f>
        <v/>
      </c>
      <c r="X271">
        <f>HYPERLINK("https://klasma.github.io/Logging_0883/tillsyn/A 6195-2026 tillsynsbegäran.docx", "A 6195-2026")</f>
        <v/>
      </c>
      <c r="Y271">
        <f>HYPERLINK("https://klasma.github.io/Logging_0883/tillsynsmail/A 6195-2026 tillsynsbegäran mail.docx", "A 6195-2026")</f>
        <v/>
      </c>
    </row>
    <row r="272" ht="15" customHeight="1">
      <c r="A272" t="inlineStr">
        <is>
          <t>A 61319-2021</t>
        </is>
      </c>
      <c r="B272" s="1" t="n">
        <v>44498</v>
      </c>
      <c r="C272" s="1" t="n">
        <v>46078</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Ekoxe</t>
        </is>
      </c>
      <c r="S272">
        <f>HYPERLINK("https://klasma.github.io/Logging_0883/artfynd/A 61319-2021 artfynd.xlsx", "A 61319-2021")</f>
        <v/>
      </c>
      <c r="T272">
        <f>HYPERLINK("https://klasma.github.io/Logging_0883/kartor/A 61319-2021 karta.png", "A 61319-2021")</f>
        <v/>
      </c>
      <c r="V272">
        <f>HYPERLINK("https://klasma.github.io/Logging_0883/klagomål/A 61319-2021 FSC-klagomål.docx", "A 61319-2021")</f>
        <v/>
      </c>
      <c r="W272">
        <f>HYPERLINK("https://klasma.github.io/Logging_0883/klagomålsmail/A 61319-2021 FSC-klagomål mail.docx", "A 61319-2021")</f>
        <v/>
      </c>
      <c r="X272">
        <f>HYPERLINK("https://klasma.github.io/Logging_0883/tillsyn/A 61319-2021 tillsynsbegäran.docx", "A 61319-2021")</f>
        <v/>
      </c>
      <c r="Y272">
        <f>HYPERLINK("https://klasma.github.io/Logging_0883/tillsynsmail/A 61319-2021 tillsynsbegäran mail.docx", "A 61319-2021")</f>
        <v/>
      </c>
    </row>
    <row r="273" ht="15" customHeight="1">
      <c r="A273" t="inlineStr">
        <is>
          <t>A 61806-2023</t>
        </is>
      </c>
      <c r="B273" s="1" t="n">
        <v>45266.27928240741</v>
      </c>
      <c r="C273" s="1" t="n">
        <v>46078</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Veckticka</t>
        </is>
      </c>
      <c r="S273">
        <f>HYPERLINK("https://klasma.github.io/Logging_0883/artfynd/A 61806-2023 artfynd.xlsx", "A 61806-2023")</f>
        <v/>
      </c>
      <c r="T273">
        <f>HYPERLINK("https://klasma.github.io/Logging_0883/kartor/A 61806-2023 karta.png", "A 61806-2023")</f>
        <v/>
      </c>
      <c r="V273">
        <f>HYPERLINK("https://klasma.github.io/Logging_0883/klagomål/A 61806-2023 FSC-klagomål.docx", "A 61806-2023")</f>
        <v/>
      </c>
      <c r="W273">
        <f>HYPERLINK("https://klasma.github.io/Logging_0883/klagomålsmail/A 61806-2023 FSC-klagomål mail.docx", "A 61806-2023")</f>
        <v/>
      </c>
      <c r="X273">
        <f>HYPERLINK("https://klasma.github.io/Logging_0883/tillsyn/A 61806-2023 tillsynsbegäran.docx", "A 61806-2023")</f>
        <v/>
      </c>
      <c r="Y273">
        <f>HYPERLINK("https://klasma.github.io/Logging_0883/tillsynsmail/A 61806-2023 tillsynsbegäran mail.docx", "A 61806-2023")</f>
        <v/>
      </c>
    </row>
    <row r="274" ht="15" customHeight="1">
      <c r="A274" t="inlineStr">
        <is>
          <t>A 27708-2024</t>
        </is>
      </c>
      <c r="B274" s="1" t="n">
        <v>45475</v>
      </c>
      <c r="C274" s="1" t="n">
        <v>46078</v>
      </c>
      <c r="D274" t="inlineStr">
        <is>
          <t>KALMAR LÄN</t>
        </is>
      </c>
      <c r="E274" t="inlineStr">
        <is>
          <t>VÄSTERVIK</t>
        </is>
      </c>
      <c r="F274" t="inlineStr">
        <is>
          <t>Holmen skog AB</t>
        </is>
      </c>
      <c r="G274" t="n">
        <v>1.7</v>
      </c>
      <c r="H274" t="n">
        <v>1</v>
      </c>
      <c r="I274" t="n">
        <v>0</v>
      </c>
      <c r="J274" t="n">
        <v>1</v>
      </c>
      <c r="K274" t="n">
        <v>0</v>
      </c>
      <c r="L274" t="n">
        <v>0</v>
      </c>
      <c r="M274" t="n">
        <v>0</v>
      </c>
      <c r="N274" t="n">
        <v>0</v>
      </c>
      <c r="O274" t="n">
        <v>1</v>
      </c>
      <c r="P274" t="n">
        <v>0</v>
      </c>
      <c r="Q274" t="n">
        <v>1</v>
      </c>
      <c r="R274" s="2" t="inlineStr">
        <is>
          <t>Spillkråka</t>
        </is>
      </c>
      <c r="S274">
        <f>HYPERLINK("https://klasma.github.io/Logging_0883/artfynd/A 27708-2024 artfynd.xlsx", "A 27708-2024")</f>
        <v/>
      </c>
      <c r="T274">
        <f>HYPERLINK("https://klasma.github.io/Logging_0883/kartor/A 27708-2024 karta.png", "A 27708-2024")</f>
        <v/>
      </c>
      <c r="V274">
        <f>HYPERLINK("https://klasma.github.io/Logging_0883/klagomål/A 27708-2024 FSC-klagomål.docx", "A 27708-2024")</f>
        <v/>
      </c>
      <c r="W274">
        <f>HYPERLINK("https://klasma.github.io/Logging_0883/klagomålsmail/A 27708-2024 FSC-klagomål mail.docx", "A 27708-2024")</f>
        <v/>
      </c>
      <c r="X274">
        <f>HYPERLINK("https://klasma.github.io/Logging_0883/tillsyn/A 27708-2024 tillsynsbegäran.docx", "A 27708-2024")</f>
        <v/>
      </c>
      <c r="Y274">
        <f>HYPERLINK("https://klasma.github.io/Logging_0883/tillsynsmail/A 27708-2024 tillsynsbegäran mail.docx", "A 27708-2024")</f>
        <v/>
      </c>
      <c r="Z274">
        <f>HYPERLINK("https://klasma.github.io/Logging_0883/fåglar/A 27708-2024 prioriterade fågelarter.docx", "A 27708-2024")</f>
        <v/>
      </c>
    </row>
    <row r="275" ht="15" customHeight="1">
      <c r="A275" t="inlineStr">
        <is>
          <t>A 14103-2025</t>
        </is>
      </c>
      <c r="B275" s="1" t="n">
        <v>45740.45232638889</v>
      </c>
      <c r="C275" s="1" t="n">
        <v>46078</v>
      </c>
      <c r="D275" t="inlineStr">
        <is>
          <t>KALMAR LÄN</t>
        </is>
      </c>
      <c r="E275" t="inlineStr">
        <is>
          <t>VÄSTERVIK</t>
        </is>
      </c>
      <c r="F275" t="inlineStr">
        <is>
          <t>Sveaskog</t>
        </is>
      </c>
      <c r="G275" t="n">
        <v>0.8</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14103-2025 artfynd.xlsx", "A 14103-2025")</f>
        <v/>
      </c>
      <c r="T275">
        <f>HYPERLINK("https://klasma.github.io/Logging_0883/kartor/A 14103-2025 karta.png", "A 14103-2025")</f>
        <v/>
      </c>
      <c r="V275">
        <f>HYPERLINK("https://klasma.github.io/Logging_0883/klagomål/A 14103-2025 FSC-klagomål.docx", "A 14103-2025")</f>
        <v/>
      </c>
      <c r="W275">
        <f>HYPERLINK("https://klasma.github.io/Logging_0883/klagomålsmail/A 14103-2025 FSC-klagomål mail.docx", "A 14103-2025")</f>
        <v/>
      </c>
      <c r="X275">
        <f>HYPERLINK("https://klasma.github.io/Logging_0883/tillsyn/A 14103-2025 tillsynsbegäran.docx", "A 14103-2025")</f>
        <v/>
      </c>
      <c r="Y275">
        <f>HYPERLINK("https://klasma.github.io/Logging_0883/tillsynsmail/A 14103-2025 tillsynsbegäran mail.docx", "A 14103-2025")</f>
        <v/>
      </c>
    </row>
    <row r="276" ht="15" customHeight="1">
      <c r="A276" t="inlineStr">
        <is>
          <t>A 59198-2025</t>
        </is>
      </c>
      <c r="B276" s="1" t="n">
        <v>45988</v>
      </c>
      <c r="C276" s="1" t="n">
        <v>46078</v>
      </c>
      <c r="D276" t="inlineStr">
        <is>
          <t>KALMAR LÄN</t>
        </is>
      </c>
      <c r="E276" t="inlineStr">
        <is>
          <t>VÄSTERVIK</t>
        </is>
      </c>
      <c r="F276" t="inlineStr">
        <is>
          <t>Holmen skog AB</t>
        </is>
      </c>
      <c r="G276" t="n">
        <v>0.8</v>
      </c>
      <c r="H276" t="n">
        <v>1</v>
      </c>
      <c r="I276" t="n">
        <v>0</v>
      </c>
      <c r="J276" t="n">
        <v>0</v>
      </c>
      <c r="K276" t="n">
        <v>1</v>
      </c>
      <c r="L276" t="n">
        <v>0</v>
      </c>
      <c r="M276" t="n">
        <v>0</v>
      </c>
      <c r="N276" t="n">
        <v>0</v>
      </c>
      <c r="O276" t="n">
        <v>1</v>
      </c>
      <c r="P276" t="n">
        <v>1</v>
      </c>
      <c r="Q276" t="n">
        <v>1</v>
      </c>
      <c r="R276" s="2" t="inlineStr">
        <is>
          <t>Knärot</t>
        </is>
      </c>
      <c r="S276">
        <f>HYPERLINK("https://klasma.github.io/Logging_0883/artfynd/A 59198-2025 artfynd.xlsx", "A 59198-2025")</f>
        <v/>
      </c>
      <c r="T276">
        <f>HYPERLINK("https://klasma.github.io/Logging_0883/kartor/A 59198-2025 karta.png", "A 59198-2025")</f>
        <v/>
      </c>
      <c r="U276">
        <f>HYPERLINK("https://klasma.github.io/Logging_0883/knärot/A 59198-2025 karta knärot.png", "A 59198-2025")</f>
        <v/>
      </c>
      <c r="V276">
        <f>HYPERLINK("https://klasma.github.io/Logging_0883/klagomål/A 59198-2025 FSC-klagomål.docx", "A 59198-2025")</f>
        <v/>
      </c>
      <c r="W276">
        <f>HYPERLINK("https://klasma.github.io/Logging_0883/klagomålsmail/A 59198-2025 FSC-klagomål mail.docx", "A 59198-2025")</f>
        <v/>
      </c>
      <c r="X276">
        <f>HYPERLINK("https://klasma.github.io/Logging_0883/tillsyn/A 59198-2025 tillsynsbegäran.docx", "A 59198-2025")</f>
        <v/>
      </c>
      <c r="Y276">
        <f>HYPERLINK("https://klasma.github.io/Logging_0883/tillsynsmail/A 59198-2025 tillsynsbegäran mail.docx", "A 59198-2025")</f>
        <v/>
      </c>
    </row>
    <row r="277" ht="15" customHeight="1">
      <c r="A277" t="inlineStr">
        <is>
          <t>A 53075-2024</t>
        </is>
      </c>
      <c r="B277" s="1" t="n">
        <v>45611</v>
      </c>
      <c r="C277" s="1" t="n">
        <v>46078</v>
      </c>
      <c r="D277" t="inlineStr">
        <is>
          <t>KALMAR LÄN</t>
        </is>
      </c>
      <c r="E277" t="inlineStr">
        <is>
          <t>VÄSTERVIK</t>
        </is>
      </c>
      <c r="F277" t="inlineStr">
        <is>
          <t>Holmen skog AB</t>
        </is>
      </c>
      <c r="G277" t="n">
        <v>8.5</v>
      </c>
      <c r="H277" t="n">
        <v>1</v>
      </c>
      <c r="I277" t="n">
        <v>0</v>
      </c>
      <c r="J277" t="n">
        <v>1</v>
      </c>
      <c r="K277" t="n">
        <v>0</v>
      </c>
      <c r="L277" t="n">
        <v>0</v>
      </c>
      <c r="M277" t="n">
        <v>0</v>
      </c>
      <c r="N277" t="n">
        <v>0</v>
      </c>
      <c r="O277" t="n">
        <v>1</v>
      </c>
      <c r="P277" t="n">
        <v>0</v>
      </c>
      <c r="Q277" t="n">
        <v>1</v>
      </c>
      <c r="R277" s="2" t="inlineStr">
        <is>
          <t>Talltita</t>
        </is>
      </c>
      <c r="S277">
        <f>HYPERLINK("https://klasma.github.io/Logging_0883/artfynd/A 53075-2024 artfynd.xlsx", "A 53075-2024")</f>
        <v/>
      </c>
      <c r="T277">
        <f>HYPERLINK("https://klasma.github.io/Logging_0883/kartor/A 53075-2024 karta.png", "A 53075-2024")</f>
        <v/>
      </c>
      <c r="V277">
        <f>HYPERLINK("https://klasma.github.io/Logging_0883/klagomål/A 53075-2024 FSC-klagomål.docx", "A 53075-2024")</f>
        <v/>
      </c>
      <c r="W277">
        <f>HYPERLINK("https://klasma.github.io/Logging_0883/klagomålsmail/A 53075-2024 FSC-klagomål mail.docx", "A 53075-2024")</f>
        <v/>
      </c>
      <c r="X277">
        <f>HYPERLINK("https://klasma.github.io/Logging_0883/tillsyn/A 53075-2024 tillsynsbegäran.docx", "A 53075-2024")</f>
        <v/>
      </c>
      <c r="Y277">
        <f>HYPERLINK("https://klasma.github.io/Logging_0883/tillsynsmail/A 53075-2024 tillsynsbegäran mail.docx", "A 53075-2024")</f>
        <v/>
      </c>
      <c r="Z277">
        <f>HYPERLINK("https://klasma.github.io/Logging_0883/fåglar/A 53075-2024 prioriterade fågelarter.docx", "A 53075-2024")</f>
        <v/>
      </c>
    </row>
    <row r="278" ht="15" customHeight="1">
      <c r="A278" t="inlineStr">
        <is>
          <t>A 33815-2023</t>
        </is>
      </c>
      <c r="B278" s="1" t="n">
        <v>45133.59306712963</v>
      </c>
      <c r="C278" s="1" t="n">
        <v>46078</v>
      </c>
      <c r="D278" t="inlineStr">
        <is>
          <t>KALMAR LÄN</t>
        </is>
      </c>
      <c r="E278" t="inlineStr">
        <is>
          <t>VÄSTERVIK</t>
        </is>
      </c>
      <c r="G278" t="n">
        <v>3.4</v>
      </c>
      <c r="H278" t="n">
        <v>0</v>
      </c>
      <c r="I278" t="n">
        <v>1</v>
      </c>
      <c r="J278" t="n">
        <v>0</v>
      </c>
      <c r="K278" t="n">
        <v>0</v>
      </c>
      <c r="L278" t="n">
        <v>0</v>
      </c>
      <c r="M278" t="n">
        <v>0</v>
      </c>
      <c r="N278" t="n">
        <v>0</v>
      </c>
      <c r="O278" t="n">
        <v>0</v>
      </c>
      <c r="P278" t="n">
        <v>0</v>
      </c>
      <c r="Q278" t="n">
        <v>1</v>
      </c>
      <c r="R278" s="2" t="inlineStr">
        <is>
          <t>Grönpyrola</t>
        </is>
      </c>
      <c r="S278">
        <f>HYPERLINK("https://klasma.github.io/Logging_0883/artfynd/A 33815-2023 artfynd.xlsx", "A 33815-2023")</f>
        <v/>
      </c>
      <c r="T278">
        <f>HYPERLINK("https://klasma.github.io/Logging_0883/kartor/A 33815-2023 karta.png", "A 33815-2023")</f>
        <v/>
      </c>
      <c r="V278">
        <f>HYPERLINK("https://klasma.github.io/Logging_0883/klagomål/A 33815-2023 FSC-klagomål.docx", "A 33815-2023")</f>
        <v/>
      </c>
      <c r="W278">
        <f>HYPERLINK("https://klasma.github.io/Logging_0883/klagomålsmail/A 33815-2023 FSC-klagomål mail.docx", "A 33815-2023")</f>
        <v/>
      </c>
      <c r="X278">
        <f>HYPERLINK("https://klasma.github.io/Logging_0883/tillsyn/A 33815-2023 tillsynsbegäran.docx", "A 33815-2023")</f>
        <v/>
      </c>
      <c r="Y278">
        <f>HYPERLINK("https://klasma.github.io/Logging_0883/tillsynsmail/A 33815-2023 tillsynsbegäran mail.docx", "A 33815-2023")</f>
        <v/>
      </c>
    </row>
    <row r="279" ht="15" customHeight="1">
      <c r="A279" t="inlineStr">
        <is>
          <t>A 33816-2023</t>
        </is>
      </c>
      <c r="B279" s="1" t="n">
        <v>45133.59490740741</v>
      </c>
      <c r="C279" s="1" t="n">
        <v>46078</v>
      </c>
      <c r="D279" t="inlineStr">
        <is>
          <t>KALMAR LÄN</t>
        </is>
      </c>
      <c r="E279" t="inlineStr">
        <is>
          <t>VÄSTERVIK</t>
        </is>
      </c>
      <c r="G279" t="n">
        <v>4.9</v>
      </c>
      <c r="H279" t="n">
        <v>0</v>
      </c>
      <c r="I279" t="n">
        <v>0</v>
      </c>
      <c r="J279" t="n">
        <v>1</v>
      </c>
      <c r="K279" t="n">
        <v>0</v>
      </c>
      <c r="L279" t="n">
        <v>0</v>
      </c>
      <c r="M279" t="n">
        <v>0</v>
      </c>
      <c r="N279" t="n">
        <v>0</v>
      </c>
      <c r="O279" t="n">
        <v>1</v>
      </c>
      <c r="P279" t="n">
        <v>0</v>
      </c>
      <c r="Q279" t="n">
        <v>1</v>
      </c>
      <c r="R279" s="2" t="inlineStr">
        <is>
          <t>Tallticka</t>
        </is>
      </c>
      <c r="S279">
        <f>HYPERLINK("https://klasma.github.io/Logging_0883/artfynd/A 33816-2023 artfynd.xlsx", "A 33816-2023")</f>
        <v/>
      </c>
      <c r="T279">
        <f>HYPERLINK("https://klasma.github.io/Logging_0883/kartor/A 33816-2023 karta.png", "A 33816-2023")</f>
        <v/>
      </c>
      <c r="V279">
        <f>HYPERLINK("https://klasma.github.io/Logging_0883/klagomål/A 33816-2023 FSC-klagomål.docx", "A 33816-2023")</f>
        <v/>
      </c>
      <c r="W279">
        <f>HYPERLINK("https://klasma.github.io/Logging_0883/klagomålsmail/A 33816-2023 FSC-klagomål mail.docx", "A 33816-2023")</f>
        <v/>
      </c>
      <c r="X279">
        <f>HYPERLINK("https://klasma.github.io/Logging_0883/tillsyn/A 33816-2023 tillsynsbegäran.docx", "A 33816-2023")</f>
        <v/>
      </c>
      <c r="Y279">
        <f>HYPERLINK("https://klasma.github.io/Logging_0883/tillsynsmail/A 33816-2023 tillsynsbegäran mail.docx", "A 33816-2023")</f>
        <v/>
      </c>
    </row>
    <row r="280" ht="15" customHeight="1">
      <c r="A280" t="inlineStr">
        <is>
          <t>A 20233-2021</t>
        </is>
      </c>
      <c r="B280" s="1" t="n">
        <v>44314</v>
      </c>
      <c r="C280" s="1" t="n">
        <v>46078</v>
      </c>
      <c r="D280" t="inlineStr">
        <is>
          <t>KALMAR LÄN</t>
        </is>
      </c>
      <c r="E280" t="inlineStr">
        <is>
          <t>VÄSTERVIK</t>
        </is>
      </c>
      <c r="F280" t="inlineStr">
        <is>
          <t>Holmen skog AB</t>
        </is>
      </c>
      <c r="G280" t="n">
        <v>11.8</v>
      </c>
      <c r="H280" t="n">
        <v>0</v>
      </c>
      <c r="I280" t="n">
        <v>0</v>
      </c>
      <c r="J280" t="n">
        <v>1</v>
      </c>
      <c r="K280" t="n">
        <v>0</v>
      </c>
      <c r="L280" t="n">
        <v>0</v>
      </c>
      <c r="M280" t="n">
        <v>0</v>
      </c>
      <c r="N280" t="n">
        <v>0</v>
      </c>
      <c r="O280" t="n">
        <v>1</v>
      </c>
      <c r="P280" t="n">
        <v>0</v>
      </c>
      <c r="Q280" t="n">
        <v>1</v>
      </c>
      <c r="R280" s="2" t="inlineStr">
        <is>
          <t>Skogsklocka</t>
        </is>
      </c>
      <c r="S280">
        <f>HYPERLINK("https://klasma.github.io/Logging_0883/artfynd/A 20233-2021 artfynd.xlsx", "A 20233-2021")</f>
        <v/>
      </c>
      <c r="T280">
        <f>HYPERLINK("https://klasma.github.io/Logging_0883/kartor/A 20233-2021 karta.png", "A 20233-2021")</f>
        <v/>
      </c>
      <c r="V280">
        <f>HYPERLINK("https://klasma.github.io/Logging_0883/klagomål/A 20233-2021 FSC-klagomål.docx", "A 20233-2021")</f>
        <v/>
      </c>
      <c r="W280">
        <f>HYPERLINK("https://klasma.github.io/Logging_0883/klagomålsmail/A 20233-2021 FSC-klagomål mail.docx", "A 20233-2021")</f>
        <v/>
      </c>
      <c r="X280">
        <f>HYPERLINK("https://klasma.github.io/Logging_0883/tillsyn/A 20233-2021 tillsynsbegäran.docx", "A 20233-2021")</f>
        <v/>
      </c>
      <c r="Y280">
        <f>HYPERLINK("https://klasma.github.io/Logging_0883/tillsynsmail/A 20233-2021 tillsynsbegäran mail.docx", "A 20233-2021")</f>
        <v/>
      </c>
    </row>
    <row r="281" ht="15" customHeight="1">
      <c r="A281" t="inlineStr">
        <is>
          <t>A 25447-2021</t>
        </is>
      </c>
      <c r="B281" s="1" t="n">
        <v>44342</v>
      </c>
      <c r="C281" s="1" t="n">
        <v>46078</v>
      </c>
      <c r="D281" t="inlineStr">
        <is>
          <t>KALMAR LÄN</t>
        </is>
      </c>
      <c r="E281" t="inlineStr">
        <is>
          <t>VÄSTERVIK</t>
        </is>
      </c>
      <c r="F281" t="inlineStr">
        <is>
          <t>Holmen skog AB</t>
        </is>
      </c>
      <c r="G281" t="n">
        <v>9</v>
      </c>
      <c r="H281" t="n">
        <v>1</v>
      </c>
      <c r="I281" t="n">
        <v>0</v>
      </c>
      <c r="J281" t="n">
        <v>0</v>
      </c>
      <c r="K281" t="n">
        <v>1</v>
      </c>
      <c r="L281" t="n">
        <v>0</v>
      </c>
      <c r="M281" t="n">
        <v>0</v>
      </c>
      <c r="N281" t="n">
        <v>0</v>
      </c>
      <c r="O281" t="n">
        <v>1</v>
      </c>
      <c r="P281" t="n">
        <v>1</v>
      </c>
      <c r="Q281" t="n">
        <v>1</v>
      </c>
      <c r="R281" s="2" t="inlineStr">
        <is>
          <t>Knärot</t>
        </is>
      </c>
      <c r="S281">
        <f>HYPERLINK("https://klasma.github.io/Logging_0883/artfynd/A 25447-2021 artfynd.xlsx", "A 25447-2021")</f>
        <v/>
      </c>
      <c r="T281">
        <f>HYPERLINK("https://klasma.github.io/Logging_0883/kartor/A 25447-2021 karta.png", "A 25447-2021")</f>
        <v/>
      </c>
      <c r="U281">
        <f>HYPERLINK("https://klasma.github.io/Logging_0883/knärot/A 25447-2021 karta knärot.png", "A 25447-2021")</f>
        <v/>
      </c>
      <c r="V281">
        <f>HYPERLINK("https://klasma.github.io/Logging_0883/klagomål/A 25447-2021 FSC-klagomål.docx", "A 25447-2021")</f>
        <v/>
      </c>
      <c r="W281">
        <f>HYPERLINK("https://klasma.github.io/Logging_0883/klagomålsmail/A 25447-2021 FSC-klagomål mail.docx", "A 25447-2021")</f>
        <v/>
      </c>
      <c r="X281">
        <f>HYPERLINK("https://klasma.github.io/Logging_0883/tillsyn/A 25447-2021 tillsynsbegäran.docx", "A 25447-2021")</f>
        <v/>
      </c>
      <c r="Y281">
        <f>HYPERLINK("https://klasma.github.io/Logging_0883/tillsynsmail/A 25447-2021 tillsynsbegäran mail.docx", "A 25447-2021")</f>
        <v/>
      </c>
    </row>
    <row r="282" ht="15" customHeight="1">
      <c r="A282" t="inlineStr">
        <is>
          <t>A 9952-2026</t>
        </is>
      </c>
      <c r="B282" s="1" t="n">
        <v>46073.47287037037</v>
      </c>
      <c r="C282" s="1" t="n">
        <v>46078</v>
      </c>
      <c r="D282" t="inlineStr">
        <is>
          <t>KALMAR LÄN</t>
        </is>
      </c>
      <c r="E282" t="inlineStr">
        <is>
          <t>VÄSTERVIK</t>
        </is>
      </c>
      <c r="G282" t="n">
        <v>3.4</v>
      </c>
      <c r="H282" t="n">
        <v>0</v>
      </c>
      <c r="I282" t="n">
        <v>0</v>
      </c>
      <c r="J282" t="n">
        <v>1</v>
      </c>
      <c r="K282" t="n">
        <v>0</v>
      </c>
      <c r="L282" t="n">
        <v>0</v>
      </c>
      <c r="M282" t="n">
        <v>0</v>
      </c>
      <c r="N282" t="n">
        <v>0</v>
      </c>
      <c r="O282" t="n">
        <v>1</v>
      </c>
      <c r="P282" t="n">
        <v>0</v>
      </c>
      <c r="Q282" t="n">
        <v>1</v>
      </c>
      <c r="R282" s="2" t="inlineStr">
        <is>
          <t>Krusfrö</t>
        </is>
      </c>
      <c r="S282">
        <f>HYPERLINK("https://klasma.github.io/Logging_0883/artfynd/A 9952-2026 artfynd.xlsx", "A 9952-2026")</f>
        <v/>
      </c>
      <c r="T282">
        <f>HYPERLINK("https://klasma.github.io/Logging_0883/kartor/A 9952-2026 karta.png", "A 9952-2026")</f>
        <v/>
      </c>
      <c r="V282">
        <f>HYPERLINK("https://klasma.github.io/Logging_0883/klagomål/A 9952-2026 FSC-klagomål.docx", "A 9952-2026")</f>
        <v/>
      </c>
      <c r="W282">
        <f>HYPERLINK("https://klasma.github.io/Logging_0883/klagomålsmail/A 9952-2026 FSC-klagomål mail.docx", "A 9952-2026")</f>
        <v/>
      </c>
      <c r="X282">
        <f>HYPERLINK("https://klasma.github.io/Logging_0883/tillsyn/A 9952-2026 tillsynsbegäran.docx", "A 9952-2026")</f>
        <v/>
      </c>
      <c r="Y282">
        <f>HYPERLINK("https://klasma.github.io/Logging_0883/tillsynsmail/A 9952-2026 tillsynsbegäran mail.docx", "A 9952-2026")</f>
        <v/>
      </c>
    </row>
    <row r="283" ht="15" customHeight="1">
      <c r="A283" t="inlineStr">
        <is>
          <t>A 25594-2021</t>
        </is>
      </c>
      <c r="B283" s="1" t="n">
        <v>44343</v>
      </c>
      <c r="C283" s="1" t="n">
        <v>46078</v>
      </c>
      <c r="D283" t="inlineStr">
        <is>
          <t>KALMAR LÄN</t>
        </is>
      </c>
      <c r="E283" t="inlineStr">
        <is>
          <t>VÄSTERVIK</t>
        </is>
      </c>
      <c r="F283" t="inlineStr">
        <is>
          <t>Holmen skog AB</t>
        </is>
      </c>
      <c r="G283" t="n">
        <v>3.2</v>
      </c>
      <c r="H283" t="n">
        <v>1</v>
      </c>
      <c r="I283" t="n">
        <v>0</v>
      </c>
      <c r="J283" t="n">
        <v>0</v>
      </c>
      <c r="K283" t="n">
        <v>1</v>
      </c>
      <c r="L283" t="n">
        <v>0</v>
      </c>
      <c r="M283" t="n">
        <v>0</v>
      </c>
      <c r="N283" t="n">
        <v>0</v>
      </c>
      <c r="O283" t="n">
        <v>1</v>
      </c>
      <c r="P283" t="n">
        <v>1</v>
      </c>
      <c r="Q283" t="n">
        <v>1</v>
      </c>
      <c r="R283" s="2" t="inlineStr">
        <is>
          <t>Knärot</t>
        </is>
      </c>
      <c r="S283">
        <f>HYPERLINK("https://klasma.github.io/Logging_0883/artfynd/A 25594-2021 artfynd.xlsx", "A 25594-2021")</f>
        <v/>
      </c>
      <c r="T283">
        <f>HYPERLINK("https://klasma.github.io/Logging_0883/kartor/A 25594-2021 karta.png", "A 25594-2021")</f>
        <v/>
      </c>
      <c r="U283">
        <f>HYPERLINK("https://klasma.github.io/Logging_0883/knärot/A 25594-2021 karta knärot.png", "A 25594-2021")</f>
        <v/>
      </c>
      <c r="V283">
        <f>HYPERLINK("https://klasma.github.io/Logging_0883/klagomål/A 25594-2021 FSC-klagomål.docx", "A 25594-2021")</f>
        <v/>
      </c>
      <c r="W283">
        <f>HYPERLINK("https://klasma.github.io/Logging_0883/klagomålsmail/A 25594-2021 FSC-klagomål mail.docx", "A 25594-2021")</f>
        <v/>
      </c>
      <c r="X283">
        <f>HYPERLINK("https://klasma.github.io/Logging_0883/tillsyn/A 25594-2021 tillsynsbegäran.docx", "A 25594-2021")</f>
        <v/>
      </c>
      <c r="Y283">
        <f>HYPERLINK("https://klasma.github.io/Logging_0883/tillsynsmail/A 25594-2021 tillsynsbegäran mail.docx", "A 25594-2021")</f>
        <v/>
      </c>
    </row>
    <row r="284" ht="15" customHeight="1">
      <c r="A284" t="inlineStr">
        <is>
          <t>A 1041-2026</t>
        </is>
      </c>
      <c r="B284" s="1" t="n">
        <v>46030.62386574074</v>
      </c>
      <c r="C284" s="1" t="n">
        <v>46078</v>
      </c>
      <c r="D284" t="inlineStr">
        <is>
          <t>KALMAR LÄN</t>
        </is>
      </c>
      <c r="E284" t="inlineStr">
        <is>
          <t>VÄSTERVIK</t>
        </is>
      </c>
      <c r="G284" t="n">
        <v>1.2</v>
      </c>
      <c r="H284" t="n">
        <v>0</v>
      </c>
      <c r="I284" t="n">
        <v>1</v>
      </c>
      <c r="J284" t="n">
        <v>0</v>
      </c>
      <c r="K284" t="n">
        <v>0</v>
      </c>
      <c r="L284" t="n">
        <v>0</v>
      </c>
      <c r="M284" t="n">
        <v>0</v>
      </c>
      <c r="N284" t="n">
        <v>0</v>
      </c>
      <c r="O284" t="n">
        <v>0</v>
      </c>
      <c r="P284" t="n">
        <v>0</v>
      </c>
      <c r="Q284" t="n">
        <v>1</v>
      </c>
      <c r="R284" s="2" t="inlineStr">
        <is>
          <t>Ögonpyrola</t>
        </is>
      </c>
      <c r="S284">
        <f>HYPERLINK("https://klasma.github.io/Logging_0883/artfynd/A 1041-2026 artfynd.xlsx", "A 1041-2026")</f>
        <v/>
      </c>
      <c r="T284">
        <f>HYPERLINK("https://klasma.github.io/Logging_0883/kartor/A 1041-2026 karta.png", "A 1041-2026")</f>
        <v/>
      </c>
      <c r="V284">
        <f>HYPERLINK("https://klasma.github.io/Logging_0883/klagomål/A 1041-2026 FSC-klagomål.docx", "A 1041-2026")</f>
        <v/>
      </c>
      <c r="W284">
        <f>HYPERLINK("https://klasma.github.io/Logging_0883/klagomålsmail/A 1041-2026 FSC-klagomål mail.docx", "A 1041-2026")</f>
        <v/>
      </c>
      <c r="X284">
        <f>HYPERLINK("https://klasma.github.io/Logging_0883/tillsyn/A 1041-2026 tillsynsbegäran.docx", "A 1041-2026")</f>
        <v/>
      </c>
      <c r="Y284">
        <f>HYPERLINK("https://klasma.github.io/Logging_0883/tillsynsmail/A 1041-2026 tillsynsbegäran mail.docx", "A 1041-2026")</f>
        <v/>
      </c>
    </row>
    <row r="285" ht="15" customHeight="1">
      <c r="A285" t="inlineStr">
        <is>
          <t>A 58221-2025</t>
        </is>
      </c>
      <c r="B285" s="1" t="n">
        <v>45985.36417824074</v>
      </c>
      <c r="C285" s="1" t="n">
        <v>46078</v>
      </c>
      <c r="D285" t="inlineStr">
        <is>
          <t>KALMAR LÄN</t>
        </is>
      </c>
      <c r="E285" t="inlineStr">
        <is>
          <t>VÄSTERVIK</t>
        </is>
      </c>
      <c r="G285" t="n">
        <v>1.5</v>
      </c>
      <c r="H285" t="n">
        <v>0</v>
      </c>
      <c r="I285" t="n">
        <v>0</v>
      </c>
      <c r="J285" t="n">
        <v>1</v>
      </c>
      <c r="K285" t="n">
        <v>0</v>
      </c>
      <c r="L285" t="n">
        <v>0</v>
      </c>
      <c r="M285" t="n">
        <v>0</v>
      </c>
      <c r="N285" t="n">
        <v>0</v>
      </c>
      <c r="O285" t="n">
        <v>1</v>
      </c>
      <c r="P285" t="n">
        <v>0</v>
      </c>
      <c r="Q285" t="n">
        <v>1</v>
      </c>
      <c r="R285" s="2" t="inlineStr">
        <is>
          <t>Tallticka</t>
        </is>
      </c>
      <c r="S285">
        <f>HYPERLINK("https://klasma.github.io/Logging_0883/artfynd/A 58221-2025 artfynd.xlsx", "A 58221-2025")</f>
        <v/>
      </c>
      <c r="T285">
        <f>HYPERLINK("https://klasma.github.io/Logging_0883/kartor/A 58221-2025 karta.png", "A 58221-2025")</f>
        <v/>
      </c>
      <c r="V285">
        <f>HYPERLINK("https://klasma.github.io/Logging_0883/klagomål/A 58221-2025 FSC-klagomål.docx", "A 58221-2025")</f>
        <v/>
      </c>
      <c r="W285">
        <f>HYPERLINK("https://klasma.github.io/Logging_0883/klagomålsmail/A 58221-2025 FSC-klagomål mail.docx", "A 58221-2025")</f>
        <v/>
      </c>
      <c r="X285">
        <f>HYPERLINK("https://klasma.github.io/Logging_0883/tillsyn/A 58221-2025 tillsynsbegäran.docx", "A 58221-2025")</f>
        <v/>
      </c>
      <c r="Y285">
        <f>HYPERLINK("https://klasma.github.io/Logging_0883/tillsynsmail/A 58221-2025 tillsynsbegäran mail.docx", "A 58221-2025")</f>
        <v/>
      </c>
    </row>
    <row r="286" ht="15" customHeight="1">
      <c r="A286" t="inlineStr">
        <is>
          <t>A 46722-2023</t>
        </is>
      </c>
      <c r="B286" s="1" t="n">
        <v>45194</v>
      </c>
      <c r="C286" s="1" t="n">
        <v>46078</v>
      </c>
      <c r="D286" t="inlineStr">
        <is>
          <t>KALMAR LÄN</t>
        </is>
      </c>
      <c r="E286" t="inlineStr">
        <is>
          <t>VÄSTERVIK</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HYPERLINK("https://klasma.github.io/Logging_0883/artfynd/A 46722-2023 artfynd.xlsx", "A 46722-2023")</f>
        <v/>
      </c>
      <c r="T286">
        <f>HYPERLINK("https://klasma.github.io/Logging_0883/kartor/A 46722-2023 karta.png", "A 46722-2023")</f>
        <v/>
      </c>
      <c r="U286">
        <f>HYPERLINK("https://klasma.github.io/Logging_0883/knärot/A 46722-2023 karta knärot.png", "A 46722-2023")</f>
        <v/>
      </c>
      <c r="V286">
        <f>HYPERLINK("https://klasma.github.io/Logging_0883/klagomål/A 46722-2023 FSC-klagomål.docx", "A 46722-2023")</f>
        <v/>
      </c>
      <c r="W286">
        <f>HYPERLINK("https://klasma.github.io/Logging_0883/klagomålsmail/A 46722-2023 FSC-klagomål mail.docx", "A 46722-2023")</f>
        <v/>
      </c>
      <c r="X286">
        <f>HYPERLINK("https://klasma.github.io/Logging_0883/tillsyn/A 46722-2023 tillsynsbegäran.docx", "A 46722-2023")</f>
        <v/>
      </c>
      <c r="Y286">
        <f>HYPERLINK("https://klasma.github.io/Logging_0883/tillsynsmail/A 46722-2023 tillsynsbegäran mail.docx", "A 46722-2023")</f>
        <v/>
      </c>
    </row>
    <row r="287" ht="15" customHeight="1">
      <c r="A287" t="inlineStr">
        <is>
          <t>A 51514-2024</t>
        </is>
      </c>
      <c r="B287" s="1" t="n">
        <v>45604.5640625</v>
      </c>
      <c r="C287" s="1" t="n">
        <v>46078</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14131-2025</t>
        </is>
      </c>
      <c r="B288" s="1" t="n">
        <v>45740.47480324074</v>
      </c>
      <c r="C288" s="1" t="n">
        <v>46078</v>
      </c>
      <c r="D288" t="inlineStr">
        <is>
          <t>KALMAR LÄN</t>
        </is>
      </c>
      <c r="E288" t="inlineStr">
        <is>
          <t>VÄSTERVIK</t>
        </is>
      </c>
      <c r="F288" t="inlineStr">
        <is>
          <t>Sveaskog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HYPERLINK("https://klasma.github.io/Logging_0883/artfynd/A 14131-2025 artfynd.xlsx", "A 14131-2025")</f>
        <v/>
      </c>
      <c r="T288">
        <f>HYPERLINK("https://klasma.github.io/Logging_0883/kartor/A 14131-2025 karta.png", "A 14131-2025")</f>
        <v/>
      </c>
      <c r="V288">
        <f>HYPERLINK("https://klasma.github.io/Logging_0883/klagomål/A 14131-2025 FSC-klagomål.docx", "A 14131-2025")</f>
        <v/>
      </c>
      <c r="W288">
        <f>HYPERLINK("https://klasma.github.io/Logging_0883/klagomålsmail/A 14131-2025 FSC-klagomål mail.docx", "A 14131-2025")</f>
        <v/>
      </c>
      <c r="X288">
        <f>HYPERLINK("https://klasma.github.io/Logging_0883/tillsyn/A 14131-2025 tillsynsbegäran.docx", "A 14131-2025")</f>
        <v/>
      </c>
      <c r="Y288">
        <f>HYPERLINK("https://klasma.github.io/Logging_0883/tillsynsmail/A 14131-2025 tillsynsbegäran mail.docx", "A 14131-2025")</f>
        <v/>
      </c>
    </row>
    <row r="289" ht="15" customHeight="1">
      <c r="A289" t="inlineStr">
        <is>
          <t>A 3600-2025</t>
        </is>
      </c>
      <c r="B289" s="1" t="n">
        <v>45681.34420138889</v>
      </c>
      <c r="C289" s="1" t="n">
        <v>46078</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56439-2024</t>
        </is>
      </c>
      <c r="B290" s="1" t="n">
        <v>45625.4175</v>
      </c>
      <c r="C290" s="1" t="n">
        <v>46078</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11609-2022</t>
        </is>
      </c>
      <c r="B291" s="1" t="n">
        <v>44631</v>
      </c>
      <c r="C291" s="1" t="n">
        <v>46078</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47112-2023</t>
        </is>
      </c>
      <c r="B292" s="1" t="n">
        <v>45201</v>
      </c>
      <c r="C292" s="1" t="n">
        <v>46078</v>
      </c>
      <c r="D292" t="inlineStr">
        <is>
          <t>KALMAR LÄN</t>
        </is>
      </c>
      <c r="E292" t="inlineStr">
        <is>
          <t>VÄSTERVIK</t>
        </is>
      </c>
      <c r="G292" t="n">
        <v>1</v>
      </c>
      <c r="H292" t="n">
        <v>0</v>
      </c>
      <c r="I292" t="n">
        <v>0</v>
      </c>
      <c r="J292" t="n">
        <v>1</v>
      </c>
      <c r="K292" t="n">
        <v>0</v>
      </c>
      <c r="L292" t="n">
        <v>0</v>
      </c>
      <c r="M292" t="n">
        <v>0</v>
      </c>
      <c r="N292" t="n">
        <v>0</v>
      </c>
      <c r="O292" t="n">
        <v>1</v>
      </c>
      <c r="P292" t="n">
        <v>0</v>
      </c>
      <c r="Q292" t="n">
        <v>1</v>
      </c>
      <c r="R292" s="2" t="inlineStr">
        <is>
          <t>Tallticka</t>
        </is>
      </c>
      <c r="S292">
        <f>HYPERLINK("https://klasma.github.io/Logging_0883/artfynd/A 47112-2023 artfynd.xlsx", "A 47112-2023")</f>
        <v/>
      </c>
      <c r="T292">
        <f>HYPERLINK("https://klasma.github.io/Logging_0883/kartor/A 47112-2023 karta.png", "A 47112-2023")</f>
        <v/>
      </c>
      <c r="V292">
        <f>HYPERLINK("https://klasma.github.io/Logging_0883/klagomål/A 47112-2023 FSC-klagomål.docx", "A 47112-2023")</f>
        <v/>
      </c>
      <c r="W292">
        <f>HYPERLINK("https://klasma.github.io/Logging_0883/klagomålsmail/A 47112-2023 FSC-klagomål mail.docx", "A 47112-2023")</f>
        <v/>
      </c>
      <c r="X292">
        <f>HYPERLINK("https://klasma.github.io/Logging_0883/tillsyn/A 47112-2023 tillsynsbegäran.docx", "A 47112-2023")</f>
        <v/>
      </c>
      <c r="Y292">
        <f>HYPERLINK("https://klasma.github.io/Logging_0883/tillsynsmail/A 47112-2023 tillsynsbegäran mail.docx", "A 47112-2023")</f>
        <v/>
      </c>
    </row>
    <row r="293" ht="15" customHeight="1">
      <c r="A293" t="inlineStr">
        <is>
          <t>A 46556-2022</t>
        </is>
      </c>
      <c r="B293" s="1" t="n">
        <v>44848</v>
      </c>
      <c r="C293" s="1" t="n">
        <v>46078</v>
      </c>
      <c r="D293" t="inlineStr">
        <is>
          <t>KALMAR LÄN</t>
        </is>
      </c>
      <c r="E293" t="inlineStr">
        <is>
          <t>VÄSTERVIK</t>
        </is>
      </c>
      <c r="F293" t="inlineStr">
        <is>
          <t>Sveaskog</t>
        </is>
      </c>
      <c r="G293" t="n">
        <v>1.5</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46556-2022 artfynd.xlsx", "A 46556-2022")</f>
        <v/>
      </c>
      <c r="T293">
        <f>HYPERLINK("https://klasma.github.io/Logging_0883/kartor/A 46556-2022 karta.png", "A 46556-2022")</f>
        <v/>
      </c>
      <c r="V293">
        <f>HYPERLINK("https://klasma.github.io/Logging_0883/klagomål/A 46556-2022 FSC-klagomål.docx", "A 46556-2022")</f>
        <v/>
      </c>
      <c r="W293">
        <f>HYPERLINK("https://klasma.github.io/Logging_0883/klagomålsmail/A 46556-2022 FSC-klagomål mail.docx", "A 46556-2022")</f>
        <v/>
      </c>
      <c r="X293">
        <f>HYPERLINK("https://klasma.github.io/Logging_0883/tillsyn/A 46556-2022 tillsynsbegäran.docx", "A 46556-2022")</f>
        <v/>
      </c>
      <c r="Y293">
        <f>HYPERLINK("https://klasma.github.io/Logging_0883/tillsynsmail/A 46556-2022 tillsynsbegäran mail.docx", "A 46556-2022")</f>
        <v/>
      </c>
    </row>
    <row r="294" ht="15" customHeight="1">
      <c r="A294" t="inlineStr">
        <is>
          <t>A 31315-2021</t>
        </is>
      </c>
      <c r="B294" s="1" t="n">
        <v>44368</v>
      </c>
      <c r="C294" s="1" t="n">
        <v>46078</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43788-2023</t>
        </is>
      </c>
      <c r="B295" s="1" t="n">
        <v>45187.53707175926</v>
      </c>
      <c r="C295" s="1" t="n">
        <v>46078</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34563-2023</t>
        </is>
      </c>
      <c r="B296" s="1" t="n">
        <v>45140.52086805556</v>
      </c>
      <c r="C296" s="1" t="n">
        <v>46078</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34563-2023 artfynd.xlsx", "A 34563-2023")</f>
        <v/>
      </c>
      <c r="T296">
        <f>HYPERLINK("https://klasma.github.io/Logging_0883/kartor/A 34563-2023 karta.png", "A 34563-2023")</f>
        <v/>
      </c>
      <c r="U296">
        <f>HYPERLINK("https://klasma.github.io/Logging_0883/knärot/A 34563-2023 karta knärot.png", "A 34563-2023")</f>
        <v/>
      </c>
      <c r="V296">
        <f>HYPERLINK("https://klasma.github.io/Logging_0883/klagomål/A 34563-2023 FSC-klagomål.docx", "A 34563-2023")</f>
        <v/>
      </c>
      <c r="W296">
        <f>HYPERLINK("https://klasma.github.io/Logging_0883/klagomålsmail/A 34563-2023 FSC-klagomål mail.docx", "A 34563-2023")</f>
        <v/>
      </c>
      <c r="X296">
        <f>HYPERLINK("https://klasma.github.io/Logging_0883/tillsyn/A 34563-2023 tillsynsbegäran.docx", "A 34563-2023")</f>
        <v/>
      </c>
      <c r="Y296">
        <f>HYPERLINK("https://klasma.github.io/Logging_0883/tillsynsmail/A 34563-2023 tillsynsbegäran mail.docx", "A 34563-2023")</f>
        <v/>
      </c>
    </row>
    <row r="297" ht="15" customHeight="1">
      <c r="A297" t="inlineStr">
        <is>
          <t>A 51024-2022</t>
        </is>
      </c>
      <c r="B297" s="1" t="n">
        <v>44867</v>
      </c>
      <c r="C297" s="1" t="n">
        <v>46078</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25436-2023</t>
        </is>
      </c>
      <c r="B298" s="1" t="n">
        <v>45089</v>
      </c>
      <c r="C298" s="1" t="n">
        <v>46078</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16697-2021</t>
        </is>
      </c>
      <c r="B299" s="1" t="n">
        <v>44294</v>
      </c>
      <c r="C299" s="1" t="n">
        <v>46078</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46078</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46078</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46078</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46078</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37748-2021</t>
        </is>
      </c>
      <c r="B304" s="1" t="n">
        <v>44400.63459490741</v>
      </c>
      <c r="C304" s="1" t="n">
        <v>46078</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46078</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46078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46078</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46078</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46078</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46078</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46078</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46078</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46078</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16728-2021</t>
        </is>
      </c>
      <c r="B314" s="1" t="n">
        <v>44294.68079861111</v>
      </c>
      <c r="C314" s="1" t="n">
        <v>46078</v>
      </c>
      <c r="D314" t="inlineStr">
        <is>
          <t>KALMAR LÄN</t>
        </is>
      </c>
      <c r="E314" t="inlineStr">
        <is>
          <t>VÄSTERVIK</t>
        </is>
      </c>
      <c r="G314" t="n">
        <v>3.1</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46078</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46078</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46078</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46078</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46078</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46078</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46078</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46078</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46078</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46078</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46078</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46078</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46078</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48021-2021</t>
        </is>
      </c>
      <c r="B328" s="1" t="n">
        <v>44449</v>
      </c>
      <c r="C328" s="1" t="n">
        <v>46078</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43805-2021</t>
        </is>
      </c>
      <c r="B329" s="1" t="n">
        <v>44433</v>
      </c>
      <c r="C329" s="1" t="n">
        <v>46078</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43810-2021</t>
        </is>
      </c>
      <c r="B330" s="1" t="n">
        <v>44433</v>
      </c>
      <c r="C330" s="1" t="n">
        <v>46078</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46078</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46078</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46078</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46078</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46781-2022</t>
        </is>
      </c>
      <c r="B335" s="1" t="n">
        <v>44851.49836805555</v>
      </c>
      <c r="C335" s="1" t="n">
        <v>46078</v>
      </c>
      <c r="D335" t="inlineStr">
        <is>
          <t>KALMAR LÄN</t>
        </is>
      </c>
      <c r="E335" t="inlineStr">
        <is>
          <t>VÄSTERVIK</t>
        </is>
      </c>
      <c r="G335" t="n">
        <v>13.2</v>
      </c>
      <c r="H335" t="n">
        <v>0</v>
      </c>
      <c r="I335" t="n">
        <v>0</v>
      </c>
      <c r="J335" t="n">
        <v>0</v>
      </c>
      <c r="K335" t="n">
        <v>0</v>
      </c>
      <c r="L335" t="n">
        <v>0</v>
      </c>
      <c r="M335" t="n">
        <v>0</v>
      </c>
      <c r="N335" t="n">
        <v>0</v>
      </c>
      <c r="O335" t="n">
        <v>0</v>
      </c>
      <c r="P335" t="n">
        <v>0</v>
      </c>
      <c r="Q335" t="n">
        <v>0</v>
      </c>
      <c r="R335" s="2" t="inlineStr"/>
    </row>
    <row r="336" ht="15" customHeight="1">
      <c r="A336" t="inlineStr">
        <is>
          <t>A 38613-2021</t>
        </is>
      </c>
      <c r="B336" s="1" t="n">
        <v>44409</v>
      </c>
      <c r="C336" s="1" t="n">
        <v>46078</v>
      </c>
      <c r="D336" t="inlineStr">
        <is>
          <t>KALMAR LÄN</t>
        </is>
      </c>
      <c r="E336" t="inlineStr">
        <is>
          <t>VÄSTERVIK</t>
        </is>
      </c>
      <c r="G336" t="n">
        <v>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46078</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23997-2021</t>
        </is>
      </c>
      <c r="B338" s="1" t="n">
        <v>44335</v>
      </c>
      <c r="C338" s="1" t="n">
        <v>46078</v>
      </c>
      <c r="D338" t="inlineStr">
        <is>
          <t>KALMAR LÄN</t>
        </is>
      </c>
      <c r="E338" t="inlineStr">
        <is>
          <t>VÄSTERVIK</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53108-2022</t>
        </is>
      </c>
      <c r="B339" s="1" t="n">
        <v>44876.43712962963</v>
      </c>
      <c r="C339" s="1" t="n">
        <v>46078</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23628-2021</t>
        </is>
      </c>
      <c r="B340" s="1" t="n">
        <v>44334</v>
      </c>
      <c r="C340" s="1" t="n">
        <v>46078</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46078</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33206-2022</t>
        </is>
      </c>
      <c r="B342" s="1" t="n">
        <v>44785</v>
      </c>
      <c r="C342" s="1" t="n">
        <v>46078</v>
      </c>
      <c r="D342" t="inlineStr">
        <is>
          <t>KALMAR LÄN</t>
        </is>
      </c>
      <c r="E342" t="inlineStr">
        <is>
          <t>VÄSTERVIK</t>
        </is>
      </c>
      <c r="G342" t="n">
        <v>1.8</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46078</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62930-2021</t>
        </is>
      </c>
      <c r="B344" s="1" t="n">
        <v>44504</v>
      </c>
      <c r="C344" s="1" t="n">
        <v>46078</v>
      </c>
      <c r="D344" t="inlineStr">
        <is>
          <t>KALMAR LÄN</t>
        </is>
      </c>
      <c r="E344" t="inlineStr">
        <is>
          <t>VÄSTERVIK</t>
        </is>
      </c>
      <c r="G344" t="n">
        <v>1.3</v>
      </c>
      <c r="H344" t="n">
        <v>0</v>
      </c>
      <c r="I344" t="n">
        <v>0</v>
      </c>
      <c r="J344" t="n">
        <v>0</v>
      </c>
      <c r="K344" t="n">
        <v>0</v>
      </c>
      <c r="L344" t="n">
        <v>0</v>
      </c>
      <c r="M344" t="n">
        <v>0</v>
      </c>
      <c r="N344" t="n">
        <v>0</v>
      </c>
      <c r="O344" t="n">
        <v>0</v>
      </c>
      <c r="P344" t="n">
        <v>0</v>
      </c>
      <c r="Q344" t="n">
        <v>0</v>
      </c>
      <c r="R344" s="2" t="inlineStr"/>
    </row>
    <row r="345" ht="15" customHeight="1">
      <c r="A345" t="inlineStr">
        <is>
          <t>A 15598-2021</t>
        </is>
      </c>
      <c r="B345" s="1" t="n">
        <v>44285.67078703704</v>
      </c>
      <c r="C345" s="1" t="n">
        <v>46078</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32583-2021</t>
        </is>
      </c>
      <c r="B346" s="1" t="n">
        <v>44375</v>
      </c>
      <c r="C346" s="1" t="n">
        <v>46078</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46078</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46078</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46078</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46078</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46078</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46078</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46078</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46078</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46078</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46078</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46078</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46078</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46078</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46078</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46078</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46078</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46078</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46078</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46078</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46078</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46078</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46078</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46078</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46078</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46078</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46078</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46078</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46078</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46078</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46078</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46078</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46078</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46078</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46078</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46078</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46078</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46078</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46078</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46078</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46078</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46078</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46078</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46078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46078</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46078</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46078</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46078</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46078</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46078</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46078</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46078</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46078</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46078</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46078</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46078</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46078</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46078</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46078</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46078</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46078</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24584-2024</t>
        </is>
      </c>
      <c r="B407" s="1" t="n">
        <v>45460</v>
      </c>
      <c r="C407" s="1" t="n">
        <v>46078</v>
      </c>
      <c r="D407" t="inlineStr">
        <is>
          <t>KALMAR LÄN</t>
        </is>
      </c>
      <c r="E407" t="inlineStr">
        <is>
          <t>VÄSTERVIK</t>
        </is>
      </c>
      <c r="G407" t="n">
        <v>1.5</v>
      </c>
      <c r="H407" t="n">
        <v>0</v>
      </c>
      <c r="I407" t="n">
        <v>0</v>
      </c>
      <c r="J407" t="n">
        <v>0</v>
      </c>
      <c r="K407" t="n">
        <v>0</v>
      </c>
      <c r="L407" t="n">
        <v>0</v>
      </c>
      <c r="M407" t="n">
        <v>0</v>
      </c>
      <c r="N407" t="n">
        <v>0</v>
      </c>
      <c r="O407" t="n">
        <v>0</v>
      </c>
      <c r="P407" t="n">
        <v>0</v>
      </c>
      <c r="Q407" t="n">
        <v>0</v>
      </c>
      <c r="R407" s="2" t="inlineStr"/>
    </row>
    <row r="408" ht="15" customHeight="1">
      <c r="A408" t="inlineStr">
        <is>
          <t>A 35456-2024</t>
        </is>
      </c>
      <c r="B408" s="1" t="n">
        <v>45531</v>
      </c>
      <c r="C408" s="1" t="n">
        <v>46078</v>
      </c>
      <c r="D408" t="inlineStr">
        <is>
          <t>KALMAR LÄN</t>
        </is>
      </c>
      <c r="E408" t="inlineStr">
        <is>
          <t>VÄSTERVIK</t>
        </is>
      </c>
      <c r="G408" t="n">
        <v>5.8</v>
      </c>
      <c r="H408" t="n">
        <v>0</v>
      </c>
      <c r="I408" t="n">
        <v>0</v>
      </c>
      <c r="J408" t="n">
        <v>0</v>
      </c>
      <c r="K408" t="n">
        <v>0</v>
      </c>
      <c r="L408" t="n">
        <v>0</v>
      </c>
      <c r="M408" t="n">
        <v>0</v>
      </c>
      <c r="N408" t="n">
        <v>0</v>
      </c>
      <c r="O408" t="n">
        <v>0</v>
      </c>
      <c r="P408" t="n">
        <v>0</v>
      </c>
      <c r="Q408" t="n">
        <v>0</v>
      </c>
      <c r="R408" s="2" t="inlineStr"/>
    </row>
    <row r="409" ht="15" customHeight="1">
      <c r="A409" t="inlineStr">
        <is>
          <t>A 41342-2023</t>
        </is>
      </c>
      <c r="B409" s="1" t="n">
        <v>45174.72416666667</v>
      </c>
      <c r="C409" s="1" t="n">
        <v>46078</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5450-2022</t>
        </is>
      </c>
      <c r="B410" s="1" t="n">
        <v>44595</v>
      </c>
      <c r="C410" s="1" t="n">
        <v>46078</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46078</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35662-2023</t>
        </is>
      </c>
      <c r="B412" s="1" t="n">
        <v>45147</v>
      </c>
      <c r="C412" s="1" t="n">
        <v>46078</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46121-2023</t>
        </is>
      </c>
      <c r="B413" s="1" t="n">
        <v>45196.55392361111</v>
      </c>
      <c r="C413" s="1" t="n">
        <v>46078</v>
      </c>
      <c r="D413" t="inlineStr">
        <is>
          <t>KALMAR LÄN</t>
        </is>
      </c>
      <c r="E413" t="inlineStr">
        <is>
          <t>VÄSTERVIK</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60453-2024</t>
        </is>
      </c>
      <c r="B414" s="1" t="n">
        <v>45643.60487268519</v>
      </c>
      <c r="C414" s="1" t="n">
        <v>46078</v>
      </c>
      <c r="D414" t="inlineStr">
        <is>
          <t>KALMAR LÄN</t>
        </is>
      </c>
      <c r="E414" t="inlineStr">
        <is>
          <t>VÄSTERVIK</t>
        </is>
      </c>
      <c r="G414" t="n">
        <v>7.1</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46078</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46078</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34420-2024</t>
        </is>
      </c>
      <c r="B417" s="1" t="n">
        <v>45525.49710648148</v>
      </c>
      <c r="C417" s="1" t="n">
        <v>46078</v>
      </c>
      <c r="D417" t="inlineStr">
        <is>
          <t>KALMAR LÄN</t>
        </is>
      </c>
      <c r="E417" t="inlineStr">
        <is>
          <t>VÄSTERVIK</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14385-2023</t>
        </is>
      </c>
      <c r="B418" s="1" t="n">
        <v>45012</v>
      </c>
      <c r="C418" s="1" t="n">
        <v>46078</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16834-2023</t>
        </is>
      </c>
      <c r="B419" s="1" t="n">
        <v>45033</v>
      </c>
      <c r="C419" s="1" t="n">
        <v>46078</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46078</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63890-2023</t>
        </is>
      </c>
      <c r="B421" s="1" t="n">
        <v>45278</v>
      </c>
      <c r="C421" s="1" t="n">
        <v>46078</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43828-2021</t>
        </is>
      </c>
      <c r="B422" s="1" t="n">
        <v>44433</v>
      </c>
      <c r="C422" s="1" t="n">
        <v>46078</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17650-2023</t>
        </is>
      </c>
      <c r="B423" s="1" t="n">
        <v>45036.70215277778</v>
      </c>
      <c r="C423" s="1" t="n">
        <v>46078</v>
      </c>
      <c r="D423" t="inlineStr">
        <is>
          <t>KALMAR LÄN</t>
        </is>
      </c>
      <c r="E423" t="inlineStr">
        <is>
          <t>VÄSTERVIK</t>
        </is>
      </c>
      <c r="G423" t="n">
        <v>0.3</v>
      </c>
      <c r="H423" t="n">
        <v>0</v>
      </c>
      <c r="I423" t="n">
        <v>0</v>
      </c>
      <c r="J423" t="n">
        <v>0</v>
      </c>
      <c r="K423" t="n">
        <v>0</v>
      </c>
      <c r="L423" t="n">
        <v>0</v>
      </c>
      <c r="M423" t="n">
        <v>0</v>
      </c>
      <c r="N423" t="n">
        <v>0</v>
      </c>
      <c r="O423" t="n">
        <v>0</v>
      </c>
      <c r="P423" t="n">
        <v>0</v>
      </c>
      <c r="Q423" t="n">
        <v>0</v>
      </c>
      <c r="R423" s="2" t="inlineStr"/>
    </row>
    <row r="424" ht="15" customHeight="1">
      <c r="A424" t="inlineStr">
        <is>
          <t>A 60634-2023</t>
        </is>
      </c>
      <c r="B424" s="1" t="n">
        <v>45260.40186342593</v>
      </c>
      <c r="C424" s="1" t="n">
        <v>46078</v>
      </c>
      <c r="D424" t="inlineStr">
        <is>
          <t>KALMAR LÄN</t>
        </is>
      </c>
      <c r="E424" t="inlineStr">
        <is>
          <t>VÄSTERVIK</t>
        </is>
      </c>
      <c r="G424" t="n">
        <v>2</v>
      </c>
      <c r="H424" t="n">
        <v>0</v>
      </c>
      <c r="I424" t="n">
        <v>0</v>
      </c>
      <c r="J424" t="n">
        <v>0</v>
      </c>
      <c r="K424" t="n">
        <v>0</v>
      </c>
      <c r="L424" t="n">
        <v>0</v>
      </c>
      <c r="M424" t="n">
        <v>0</v>
      </c>
      <c r="N424" t="n">
        <v>0</v>
      </c>
      <c r="O424" t="n">
        <v>0</v>
      </c>
      <c r="P424" t="n">
        <v>0</v>
      </c>
      <c r="Q424" t="n">
        <v>0</v>
      </c>
      <c r="R424" s="2" t="inlineStr"/>
    </row>
    <row r="425" ht="15" customHeight="1">
      <c r="A425" t="inlineStr">
        <is>
          <t>A 22891-2025</t>
        </is>
      </c>
      <c r="B425" s="1" t="n">
        <v>45790.39267361111</v>
      </c>
      <c r="C425" s="1" t="n">
        <v>46078</v>
      </c>
      <c r="D425" t="inlineStr">
        <is>
          <t>KALMAR LÄN</t>
        </is>
      </c>
      <c r="E425" t="inlineStr">
        <is>
          <t>VÄSTERVIK</t>
        </is>
      </c>
      <c r="G425" t="n">
        <v>1.4</v>
      </c>
      <c r="H425" t="n">
        <v>0</v>
      </c>
      <c r="I425" t="n">
        <v>0</v>
      </c>
      <c r="J425" t="n">
        <v>0</v>
      </c>
      <c r="K425" t="n">
        <v>0</v>
      </c>
      <c r="L425" t="n">
        <v>0</v>
      </c>
      <c r="M425" t="n">
        <v>0</v>
      </c>
      <c r="N425" t="n">
        <v>0</v>
      </c>
      <c r="O425" t="n">
        <v>0</v>
      </c>
      <c r="P425" t="n">
        <v>0</v>
      </c>
      <c r="Q425" t="n">
        <v>0</v>
      </c>
      <c r="R425" s="2" t="inlineStr"/>
    </row>
    <row r="426" ht="15" customHeight="1">
      <c r="A426" t="inlineStr">
        <is>
          <t>A 59210-2022</t>
        </is>
      </c>
      <c r="B426" s="1" t="n">
        <v>44904.51767361111</v>
      </c>
      <c r="C426" s="1" t="n">
        <v>46078</v>
      </c>
      <c r="D426" t="inlineStr">
        <is>
          <t>KALMAR LÄN</t>
        </is>
      </c>
      <c r="E426" t="inlineStr">
        <is>
          <t>VÄSTERVIK</t>
        </is>
      </c>
      <c r="G426" t="n">
        <v>21.2</v>
      </c>
      <c r="H426" t="n">
        <v>0</v>
      </c>
      <c r="I426" t="n">
        <v>0</v>
      </c>
      <c r="J426" t="n">
        <v>0</v>
      </c>
      <c r="K426" t="n">
        <v>0</v>
      </c>
      <c r="L426" t="n">
        <v>0</v>
      </c>
      <c r="M426" t="n">
        <v>0</v>
      </c>
      <c r="N426" t="n">
        <v>0</v>
      </c>
      <c r="O426" t="n">
        <v>0</v>
      </c>
      <c r="P426" t="n">
        <v>0</v>
      </c>
      <c r="Q426" t="n">
        <v>0</v>
      </c>
      <c r="R426" s="2" t="inlineStr"/>
    </row>
    <row r="427" ht="15" customHeight="1">
      <c r="A427" t="inlineStr">
        <is>
          <t>A 59220-2022</t>
        </is>
      </c>
      <c r="B427" s="1" t="n">
        <v>44904.53423611111</v>
      </c>
      <c r="C427" s="1" t="n">
        <v>46078</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49452-2023</t>
        </is>
      </c>
      <c r="B428" s="1" t="n">
        <v>45211.49424768519</v>
      </c>
      <c r="C428" s="1" t="n">
        <v>46078</v>
      </c>
      <c r="D428" t="inlineStr">
        <is>
          <t>KALMAR LÄN</t>
        </is>
      </c>
      <c r="E428" t="inlineStr">
        <is>
          <t>VÄSTERVIK</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49507-2023</t>
        </is>
      </c>
      <c r="B429" s="1" t="n">
        <v>45211.5790625</v>
      </c>
      <c r="C429" s="1" t="n">
        <v>46078</v>
      </c>
      <c r="D429" t="inlineStr">
        <is>
          <t>KALMAR LÄN</t>
        </is>
      </c>
      <c r="E429" t="inlineStr">
        <is>
          <t>VÄSTERVIK</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69753-2021</t>
        </is>
      </c>
      <c r="B430" s="1" t="n">
        <v>44532.56175925926</v>
      </c>
      <c r="C430" s="1" t="n">
        <v>46078</v>
      </c>
      <c r="D430" t="inlineStr">
        <is>
          <t>KALMAR LÄN</t>
        </is>
      </c>
      <c r="E430" t="inlineStr">
        <is>
          <t>VÄSTERVIK</t>
        </is>
      </c>
      <c r="G430" t="n">
        <v>3.2</v>
      </c>
      <c r="H430" t="n">
        <v>0</v>
      </c>
      <c r="I430" t="n">
        <v>0</v>
      </c>
      <c r="J430" t="n">
        <v>0</v>
      </c>
      <c r="K430" t="n">
        <v>0</v>
      </c>
      <c r="L430" t="n">
        <v>0</v>
      </c>
      <c r="M430" t="n">
        <v>0</v>
      </c>
      <c r="N430" t="n">
        <v>0</v>
      </c>
      <c r="O430" t="n">
        <v>0</v>
      </c>
      <c r="P430" t="n">
        <v>0</v>
      </c>
      <c r="Q430" t="n">
        <v>0</v>
      </c>
      <c r="R430" s="2" t="inlineStr"/>
    </row>
    <row r="431" ht="15" customHeight="1">
      <c r="A431" t="inlineStr">
        <is>
          <t>A 31592-2021</t>
        </is>
      </c>
      <c r="B431" s="1" t="n">
        <v>44369.56576388889</v>
      </c>
      <c r="C431" s="1" t="n">
        <v>46078</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45450-2023</t>
        </is>
      </c>
      <c r="B432" s="1" t="n">
        <v>45194</v>
      </c>
      <c r="C432" s="1" t="n">
        <v>46078</v>
      </c>
      <c r="D432" t="inlineStr">
        <is>
          <t>KALMAR LÄN</t>
        </is>
      </c>
      <c r="E432" t="inlineStr">
        <is>
          <t>VÄSTERVIK</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45474-2023</t>
        </is>
      </c>
      <c r="B433" s="1" t="n">
        <v>45194</v>
      </c>
      <c r="C433" s="1" t="n">
        <v>46078</v>
      </c>
      <c r="D433" t="inlineStr">
        <is>
          <t>KALMAR LÄN</t>
        </is>
      </c>
      <c r="E433" t="inlineStr">
        <is>
          <t>VÄSTERVIK</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46078</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18884-2025</t>
        </is>
      </c>
      <c r="B435" s="1" t="n">
        <v>45764.4417824074</v>
      </c>
      <c r="C435" s="1" t="n">
        <v>46078</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55050-2024</t>
        </is>
      </c>
      <c r="B436" s="1" t="n">
        <v>45621.39759259259</v>
      </c>
      <c r="C436" s="1" t="n">
        <v>46078</v>
      </c>
      <c r="D436" t="inlineStr">
        <is>
          <t>KALMAR LÄN</t>
        </is>
      </c>
      <c r="E436" t="inlineStr">
        <is>
          <t>VÄSTERVIK</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10774-2025</t>
        </is>
      </c>
      <c r="B437" s="1" t="n">
        <v>45722.47424768518</v>
      </c>
      <c r="C437" s="1" t="n">
        <v>46078</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60147-2024</t>
        </is>
      </c>
      <c r="B438" s="1" t="n">
        <v>45642.61109953704</v>
      </c>
      <c r="C438" s="1" t="n">
        <v>46078</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48039-2025</t>
        </is>
      </c>
      <c r="B439" s="1" t="n">
        <v>45932</v>
      </c>
      <c r="C439" s="1" t="n">
        <v>46078</v>
      </c>
      <c r="D439" t="inlineStr">
        <is>
          <t>KALMAR LÄN</t>
        </is>
      </c>
      <c r="E439" t="inlineStr">
        <is>
          <t>VÄSTERVIK</t>
        </is>
      </c>
      <c r="G439" t="n">
        <v>1.2</v>
      </c>
      <c r="H439" t="n">
        <v>0</v>
      </c>
      <c r="I439" t="n">
        <v>0</v>
      </c>
      <c r="J439" t="n">
        <v>0</v>
      </c>
      <c r="K439" t="n">
        <v>0</v>
      </c>
      <c r="L439" t="n">
        <v>0</v>
      </c>
      <c r="M439" t="n">
        <v>0</v>
      </c>
      <c r="N439" t="n">
        <v>0</v>
      </c>
      <c r="O439" t="n">
        <v>0</v>
      </c>
      <c r="P439" t="n">
        <v>0</v>
      </c>
      <c r="Q439" t="n">
        <v>0</v>
      </c>
      <c r="R439" s="2" t="inlineStr"/>
    </row>
    <row r="440" ht="15" customHeight="1">
      <c r="A440" t="inlineStr">
        <is>
          <t>A 21015-2025</t>
        </is>
      </c>
      <c r="B440" s="1" t="n">
        <v>45777.50200231482</v>
      </c>
      <c r="C440" s="1" t="n">
        <v>46078</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11741-2023</t>
        </is>
      </c>
      <c r="B441" s="1" t="n">
        <v>44994.58689814815</v>
      </c>
      <c r="C441" s="1" t="n">
        <v>46078</v>
      </c>
      <c r="D441" t="inlineStr">
        <is>
          <t>KALMAR LÄN</t>
        </is>
      </c>
      <c r="E441" t="inlineStr">
        <is>
          <t>VÄSTERVIK</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39278-2024</t>
        </is>
      </c>
      <c r="B442" s="1" t="n">
        <v>45551.35216435185</v>
      </c>
      <c r="C442" s="1" t="n">
        <v>46078</v>
      </c>
      <c r="D442" t="inlineStr">
        <is>
          <t>KALMAR LÄN</t>
        </is>
      </c>
      <c r="E442" t="inlineStr">
        <is>
          <t>VÄSTERVIK</t>
        </is>
      </c>
      <c r="G442" t="n">
        <v>2.9</v>
      </c>
      <c r="H442" t="n">
        <v>0</v>
      </c>
      <c r="I442" t="n">
        <v>0</v>
      </c>
      <c r="J442" t="n">
        <v>0</v>
      </c>
      <c r="K442" t="n">
        <v>0</v>
      </c>
      <c r="L442" t="n">
        <v>0</v>
      </c>
      <c r="M442" t="n">
        <v>0</v>
      </c>
      <c r="N442" t="n">
        <v>0</v>
      </c>
      <c r="O442" t="n">
        <v>0</v>
      </c>
      <c r="P442" t="n">
        <v>0</v>
      </c>
      <c r="Q442" t="n">
        <v>0</v>
      </c>
      <c r="R442" s="2" t="inlineStr"/>
    </row>
    <row r="443" ht="15" customHeight="1">
      <c r="A443" t="inlineStr">
        <is>
          <t>A 12455-2025</t>
        </is>
      </c>
      <c r="B443" s="1" t="n">
        <v>45730</v>
      </c>
      <c r="C443" s="1" t="n">
        <v>46078</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25403-2023</t>
        </is>
      </c>
      <c r="B444" s="1" t="n">
        <v>45079</v>
      </c>
      <c r="C444" s="1" t="n">
        <v>46078</v>
      </c>
      <c r="D444" t="inlineStr">
        <is>
          <t>KALMAR LÄN</t>
        </is>
      </c>
      <c r="E444" t="inlineStr">
        <is>
          <t>VÄSTERVIK</t>
        </is>
      </c>
      <c r="G444" t="n">
        <v>4.3</v>
      </c>
      <c r="H444" t="n">
        <v>0</v>
      </c>
      <c r="I444" t="n">
        <v>0</v>
      </c>
      <c r="J444" t="n">
        <v>0</v>
      </c>
      <c r="K444" t="n">
        <v>0</v>
      </c>
      <c r="L444" t="n">
        <v>0</v>
      </c>
      <c r="M444" t="n">
        <v>0</v>
      </c>
      <c r="N444" t="n">
        <v>0</v>
      </c>
      <c r="O444" t="n">
        <v>0</v>
      </c>
      <c r="P444" t="n">
        <v>0</v>
      </c>
      <c r="Q444" t="n">
        <v>0</v>
      </c>
      <c r="R444" s="2" t="inlineStr"/>
    </row>
    <row r="445" ht="15" customHeight="1">
      <c r="A445" t="inlineStr">
        <is>
          <t>A 6312-2024</t>
        </is>
      </c>
      <c r="B445" s="1" t="n">
        <v>45338</v>
      </c>
      <c r="C445" s="1" t="n">
        <v>46078</v>
      </c>
      <c r="D445" t="inlineStr">
        <is>
          <t>KALMAR LÄN</t>
        </is>
      </c>
      <c r="E445" t="inlineStr">
        <is>
          <t>VÄSTERVIK</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48024-2025</t>
        </is>
      </c>
      <c r="B446" s="1" t="n">
        <v>45932.65021990741</v>
      </c>
      <c r="C446" s="1" t="n">
        <v>46078</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1568-2023</t>
        </is>
      </c>
      <c r="B447" s="1" t="n">
        <v>44937</v>
      </c>
      <c r="C447" s="1" t="n">
        <v>46078</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12643-2024</t>
        </is>
      </c>
      <c r="B448" s="1" t="n">
        <v>45379</v>
      </c>
      <c r="C448" s="1" t="n">
        <v>46078</v>
      </c>
      <c r="D448" t="inlineStr">
        <is>
          <t>KALMAR LÄN</t>
        </is>
      </c>
      <c r="E448" t="inlineStr">
        <is>
          <t>VÄSTERVIK</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45202-2023</t>
        </is>
      </c>
      <c r="B449" s="1" t="n">
        <v>45191</v>
      </c>
      <c r="C449" s="1" t="n">
        <v>46078</v>
      </c>
      <c r="D449" t="inlineStr">
        <is>
          <t>KALMAR LÄN</t>
        </is>
      </c>
      <c r="E449" t="inlineStr">
        <is>
          <t>VÄSTERVIK</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48738-2025</t>
        </is>
      </c>
      <c r="B450" s="1" t="n">
        <v>45936.67061342593</v>
      </c>
      <c r="C450" s="1" t="n">
        <v>46078</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14151-2021</t>
        </is>
      </c>
      <c r="B451" s="1" t="n">
        <v>44278.41052083333</v>
      </c>
      <c r="C451" s="1" t="n">
        <v>46078</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21503-2025</t>
        </is>
      </c>
      <c r="B452" s="1" t="n">
        <v>45782.61456018518</v>
      </c>
      <c r="C452" s="1" t="n">
        <v>46078</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21657-2025</t>
        </is>
      </c>
      <c r="B453" s="1" t="n">
        <v>45783.45325231482</v>
      </c>
      <c r="C453" s="1" t="n">
        <v>46078</v>
      </c>
      <c r="D453" t="inlineStr">
        <is>
          <t>KALMAR LÄN</t>
        </is>
      </c>
      <c r="E453" t="inlineStr">
        <is>
          <t>VÄSTERVIK</t>
        </is>
      </c>
      <c r="F453" t="inlineStr">
        <is>
          <t>Sveaskog</t>
        </is>
      </c>
      <c r="G453" t="n">
        <v>5.8</v>
      </c>
      <c r="H453" t="n">
        <v>0</v>
      </c>
      <c r="I453" t="n">
        <v>0</v>
      </c>
      <c r="J453" t="n">
        <v>0</v>
      </c>
      <c r="K453" t="n">
        <v>0</v>
      </c>
      <c r="L453" t="n">
        <v>0</v>
      </c>
      <c r="M453" t="n">
        <v>0</v>
      </c>
      <c r="N453" t="n">
        <v>0</v>
      </c>
      <c r="O453" t="n">
        <v>0</v>
      </c>
      <c r="P453" t="n">
        <v>0</v>
      </c>
      <c r="Q453" t="n">
        <v>0</v>
      </c>
      <c r="R453" s="2" t="inlineStr"/>
    </row>
    <row r="454" ht="15" customHeight="1">
      <c r="A454" t="inlineStr">
        <is>
          <t>A 39442-2025</t>
        </is>
      </c>
      <c r="B454" s="1" t="n">
        <v>45889.6947337963</v>
      </c>
      <c r="C454" s="1" t="n">
        <v>46078</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26770-2023</t>
        </is>
      </c>
      <c r="B455" s="1" t="n">
        <v>45093</v>
      </c>
      <c r="C455" s="1" t="n">
        <v>46078</v>
      </c>
      <c r="D455" t="inlineStr">
        <is>
          <t>KALMAR LÄN</t>
        </is>
      </c>
      <c r="E455" t="inlineStr">
        <is>
          <t>VÄSTERVIK</t>
        </is>
      </c>
      <c r="G455" t="n">
        <v>2.6</v>
      </c>
      <c r="H455" t="n">
        <v>0</v>
      </c>
      <c r="I455" t="n">
        <v>0</v>
      </c>
      <c r="J455" t="n">
        <v>0</v>
      </c>
      <c r="K455" t="n">
        <v>0</v>
      </c>
      <c r="L455" t="n">
        <v>0</v>
      </c>
      <c r="M455" t="n">
        <v>0</v>
      </c>
      <c r="N455" t="n">
        <v>0</v>
      </c>
      <c r="O455" t="n">
        <v>0</v>
      </c>
      <c r="P455" t="n">
        <v>0</v>
      </c>
      <c r="Q455" t="n">
        <v>0</v>
      </c>
      <c r="R455" s="2" t="inlineStr"/>
    </row>
    <row r="456" ht="15" customHeight="1">
      <c r="A456" t="inlineStr">
        <is>
          <t>A 26772-2023</t>
        </is>
      </c>
      <c r="B456" s="1" t="n">
        <v>45093</v>
      </c>
      <c r="C456" s="1" t="n">
        <v>46078</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26773-2023</t>
        </is>
      </c>
      <c r="B457" s="1" t="n">
        <v>45093</v>
      </c>
      <c r="C457" s="1" t="n">
        <v>46078</v>
      </c>
      <c r="D457" t="inlineStr">
        <is>
          <t>KALMAR LÄN</t>
        </is>
      </c>
      <c r="E457" t="inlineStr">
        <is>
          <t>VÄSTERVIK</t>
        </is>
      </c>
      <c r="G457" t="n">
        <v>2.2</v>
      </c>
      <c r="H457" t="n">
        <v>0</v>
      </c>
      <c r="I457" t="n">
        <v>0</v>
      </c>
      <c r="J457" t="n">
        <v>0</v>
      </c>
      <c r="K457" t="n">
        <v>0</v>
      </c>
      <c r="L457" t="n">
        <v>0</v>
      </c>
      <c r="M457" t="n">
        <v>0</v>
      </c>
      <c r="N457" t="n">
        <v>0</v>
      </c>
      <c r="O457" t="n">
        <v>0</v>
      </c>
      <c r="P457" t="n">
        <v>0</v>
      </c>
      <c r="Q457" t="n">
        <v>0</v>
      </c>
      <c r="R457" s="2" t="inlineStr"/>
    </row>
    <row r="458" ht="15" customHeight="1">
      <c r="A458" t="inlineStr">
        <is>
          <t>A 39428-2025</t>
        </is>
      </c>
      <c r="B458" s="1" t="n">
        <v>45889.67436342593</v>
      </c>
      <c r="C458" s="1" t="n">
        <v>46078</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39430-2025</t>
        </is>
      </c>
      <c r="B459" s="1" t="n">
        <v>45889.67606481481</v>
      </c>
      <c r="C459" s="1" t="n">
        <v>46078</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55053-2024</t>
        </is>
      </c>
      <c r="B460" s="1" t="n">
        <v>45621.39938657408</v>
      </c>
      <c r="C460" s="1" t="n">
        <v>46078</v>
      </c>
      <c r="D460" t="inlineStr">
        <is>
          <t>KALMAR LÄN</t>
        </is>
      </c>
      <c r="E460" t="inlineStr">
        <is>
          <t>VÄSTERVIK</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13840-2024</t>
        </is>
      </c>
      <c r="B461" s="1" t="n">
        <v>45391.44885416667</v>
      </c>
      <c r="C461" s="1" t="n">
        <v>46078</v>
      </c>
      <c r="D461" t="inlineStr">
        <is>
          <t>KALMAR LÄN</t>
        </is>
      </c>
      <c r="E461" t="inlineStr">
        <is>
          <t>VÄSTERVIK</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33277-2023</t>
        </is>
      </c>
      <c r="B462" s="1" t="n">
        <v>45114</v>
      </c>
      <c r="C462" s="1" t="n">
        <v>46078</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6940-2025</t>
        </is>
      </c>
      <c r="B463" s="1" t="n">
        <v>45701.46581018518</v>
      </c>
      <c r="C463" s="1" t="n">
        <v>46078</v>
      </c>
      <c r="D463" t="inlineStr">
        <is>
          <t>KALMAR LÄN</t>
        </is>
      </c>
      <c r="E463" t="inlineStr">
        <is>
          <t>VÄSTERVIK</t>
        </is>
      </c>
      <c r="G463" t="n">
        <v>1.2</v>
      </c>
      <c r="H463" t="n">
        <v>0</v>
      </c>
      <c r="I463" t="n">
        <v>0</v>
      </c>
      <c r="J463" t="n">
        <v>0</v>
      </c>
      <c r="K463" t="n">
        <v>0</v>
      </c>
      <c r="L463" t="n">
        <v>0</v>
      </c>
      <c r="M463" t="n">
        <v>0</v>
      </c>
      <c r="N463" t="n">
        <v>0</v>
      </c>
      <c r="O463" t="n">
        <v>0</v>
      </c>
      <c r="P463" t="n">
        <v>0</v>
      </c>
      <c r="Q463" t="n">
        <v>0</v>
      </c>
      <c r="R463" s="2" t="inlineStr"/>
    </row>
    <row r="464" ht="15" customHeight="1">
      <c r="A464" t="inlineStr">
        <is>
          <t>A 10406-2022</t>
        </is>
      </c>
      <c r="B464" s="1" t="n">
        <v>44623</v>
      </c>
      <c r="C464" s="1" t="n">
        <v>46078</v>
      </c>
      <c r="D464" t="inlineStr">
        <is>
          <t>KALMAR LÄN</t>
        </is>
      </c>
      <c r="E464" t="inlineStr">
        <is>
          <t>VÄSTERVIK</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20204-2021</t>
        </is>
      </c>
      <c r="B465" s="1" t="n">
        <v>44314</v>
      </c>
      <c r="C465" s="1" t="n">
        <v>46078</v>
      </c>
      <c r="D465" t="inlineStr">
        <is>
          <t>KALMAR LÄN</t>
        </is>
      </c>
      <c r="E465" t="inlineStr">
        <is>
          <t>VÄSTERVIK</t>
        </is>
      </c>
      <c r="F465" t="inlineStr">
        <is>
          <t>Holmen skog AB</t>
        </is>
      </c>
      <c r="G465" t="n">
        <v>12.1</v>
      </c>
      <c r="H465" t="n">
        <v>0</v>
      </c>
      <c r="I465" t="n">
        <v>0</v>
      </c>
      <c r="J465" t="n">
        <v>0</v>
      </c>
      <c r="K465" t="n">
        <v>0</v>
      </c>
      <c r="L465" t="n">
        <v>0</v>
      </c>
      <c r="M465" t="n">
        <v>0</v>
      </c>
      <c r="N465" t="n">
        <v>0</v>
      </c>
      <c r="O465" t="n">
        <v>0</v>
      </c>
      <c r="P465" t="n">
        <v>0</v>
      </c>
      <c r="Q465" t="n">
        <v>0</v>
      </c>
      <c r="R465" s="2" t="inlineStr"/>
    </row>
    <row r="466" ht="15" customHeight="1">
      <c r="A466" t="inlineStr">
        <is>
          <t>A 8007-2023</t>
        </is>
      </c>
      <c r="B466" s="1" t="n">
        <v>44973.88759259259</v>
      </c>
      <c r="C466" s="1" t="n">
        <v>46078</v>
      </c>
      <c r="D466" t="inlineStr">
        <is>
          <t>KALMAR LÄN</t>
        </is>
      </c>
      <c r="E466" t="inlineStr">
        <is>
          <t>VÄSTERVIK</t>
        </is>
      </c>
      <c r="G466" t="n">
        <v>4.5</v>
      </c>
      <c r="H466" t="n">
        <v>0</v>
      </c>
      <c r="I466" t="n">
        <v>0</v>
      </c>
      <c r="J466" t="n">
        <v>0</v>
      </c>
      <c r="K466" t="n">
        <v>0</v>
      </c>
      <c r="L466" t="n">
        <v>0</v>
      </c>
      <c r="M466" t="n">
        <v>0</v>
      </c>
      <c r="N466" t="n">
        <v>0</v>
      </c>
      <c r="O466" t="n">
        <v>0</v>
      </c>
      <c r="P466" t="n">
        <v>0</v>
      </c>
      <c r="Q466" t="n">
        <v>0</v>
      </c>
      <c r="R466" s="2" t="inlineStr"/>
    </row>
    <row r="467" ht="15" customHeight="1">
      <c r="A467" t="inlineStr">
        <is>
          <t>A 42130-2022</t>
        </is>
      </c>
      <c r="B467" s="1" t="n">
        <v>44830</v>
      </c>
      <c r="C467" s="1" t="n">
        <v>46078</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64762-2023</t>
        </is>
      </c>
      <c r="B468" s="1" t="n">
        <v>45282.27841435185</v>
      </c>
      <c r="C468" s="1" t="n">
        <v>46078</v>
      </c>
      <c r="D468" t="inlineStr">
        <is>
          <t>KALMAR LÄN</t>
        </is>
      </c>
      <c r="E468" t="inlineStr">
        <is>
          <t>VÄSTERVIK</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64763-2023</t>
        </is>
      </c>
      <c r="B469" s="1" t="n">
        <v>45282.28041666667</v>
      </c>
      <c r="C469" s="1" t="n">
        <v>46078</v>
      </c>
      <c r="D469" t="inlineStr">
        <is>
          <t>KALMAR LÄN</t>
        </is>
      </c>
      <c r="E469" t="inlineStr">
        <is>
          <t>VÄSTERVIK</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39425-2025</t>
        </is>
      </c>
      <c r="B470" s="1" t="n">
        <v>45889.67297453704</v>
      </c>
      <c r="C470" s="1" t="n">
        <v>46078</v>
      </c>
      <c r="D470" t="inlineStr">
        <is>
          <t>KALMAR LÄN</t>
        </is>
      </c>
      <c r="E470" t="inlineStr">
        <is>
          <t>VÄSTERVIK</t>
        </is>
      </c>
      <c r="G470" t="n">
        <v>6.7</v>
      </c>
      <c r="H470" t="n">
        <v>0</v>
      </c>
      <c r="I470" t="n">
        <v>0</v>
      </c>
      <c r="J470" t="n">
        <v>0</v>
      </c>
      <c r="K470" t="n">
        <v>0</v>
      </c>
      <c r="L470" t="n">
        <v>0</v>
      </c>
      <c r="M470" t="n">
        <v>0</v>
      </c>
      <c r="N470" t="n">
        <v>0</v>
      </c>
      <c r="O470" t="n">
        <v>0</v>
      </c>
      <c r="P470" t="n">
        <v>0</v>
      </c>
      <c r="Q470" t="n">
        <v>0</v>
      </c>
      <c r="R470" s="2" t="inlineStr"/>
    </row>
    <row r="471" ht="15" customHeight="1">
      <c r="A471" t="inlineStr">
        <is>
          <t>A 21991-2025</t>
        </is>
      </c>
      <c r="B471" s="1" t="n">
        <v>45784.6615625</v>
      </c>
      <c r="C471" s="1" t="n">
        <v>46078</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28037-2024</t>
        </is>
      </c>
      <c r="B472" s="1" t="n">
        <v>45476</v>
      </c>
      <c r="C472" s="1" t="n">
        <v>46078</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51496-2024</t>
        </is>
      </c>
      <c r="B473" s="1" t="n">
        <v>45604.54060185186</v>
      </c>
      <c r="C473" s="1" t="n">
        <v>46078</v>
      </c>
      <c r="D473" t="inlineStr">
        <is>
          <t>KALMAR LÄN</t>
        </is>
      </c>
      <c r="E473" t="inlineStr">
        <is>
          <t>VÄSTERVIK</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6406-2024</t>
        </is>
      </c>
      <c r="B474" s="1" t="n">
        <v>45338</v>
      </c>
      <c r="C474" s="1" t="n">
        <v>46078</v>
      </c>
      <c r="D474" t="inlineStr">
        <is>
          <t>KALMAR LÄN</t>
        </is>
      </c>
      <c r="E474" t="inlineStr">
        <is>
          <t>VÄSTERVIK</t>
        </is>
      </c>
      <c r="G474" t="n">
        <v>5.5</v>
      </c>
      <c r="H474" t="n">
        <v>0</v>
      </c>
      <c r="I474" t="n">
        <v>0</v>
      </c>
      <c r="J474" t="n">
        <v>0</v>
      </c>
      <c r="K474" t="n">
        <v>0</v>
      </c>
      <c r="L474" t="n">
        <v>0</v>
      </c>
      <c r="M474" t="n">
        <v>0</v>
      </c>
      <c r="N474" t="n">
        <v>0</v>
      </c>
      <c r="O474" t="n">
        <v>0</v>
      </c>
      <c r="P474" t="n">
        <v>0</v>
      </c>
      <c r="Q474" t="n">
        <v>0</v>
      </c>
      <c r="R474" s="2" t="inlineStr"/>
      <c r="U474">
        <f>HYPERLINK("https://klasma.github.io/Logging_0883/knärot/A 6406-2024 karta knärot.png", "A 6406-2024")</f>
        <v/>
      </c>
      <c r="V474">
        <f>HYPERLINK("https://klasma.github.io/Logging_0883/klagomål/A 6406-2024 FSC-klagomål.docx", "A 6406-2024")</f>
        <v/>
      </c>
      <c r="W474">
        <f>HYPERLINK("https://klasma.github.io/Logging_0883/klagomålsmail/A 6406-2024 FSC-klagomål mail.docx", "A 6406-2024")</f>
        <v/>
      </c>
      <c r="X474">
        <f>HYPERLINK("https://klasma.github.io/Logging_0883/tillsyn/A 6406-2024 tillsynsbegäran.docx", "A 6406-2024")</f>
        <v/>
      </c>
      <c r="Y474">
        <f>HYPERLINK("https://klasma.github.io/Logging_0883/tillsynsmail/A 6406-2024 tillsynsbegäran mail.docx", "A 6406-2024")</f>
        <v/>
      </c>
    </row>
    <row r="475" ht="15" customHeight="1">
      <c r="A475" t="inlineStr">
        <is>
          <t>A 59221-2022</t>
        </is>
      </c>
      <c r="B475" s="1" t="n">
        <v>44904.53858796296</v>
      </c>
      <c r="C475" s="1" t="n">
        <v>46078</v>
      </c>
      <c r="D475" t="inlineStr">
        <is>
          <t>KALMAR LÄN</t>
        </is>
      </c>
      <c r="E475" t="inlineStr">
        <is>
          <t>VÄSTERVIK</t>
        </is>
      </c>
      <c r="G475" t="n">
        <v>6.1</v>
      </c>
      <c r="H475" t="n">
        <v>0</v>
      </c>
      <c r="I475" t="n">
        <v>0</v>
      </c>
      <c r="J475" t="n">
        <v>0</v>
      </c>
      <c r="K475" t="n">
        <v>0</v>
      </c>
      <c r="L475" t="n">
        <v>0</v>
      </c>
      <c r="M475" t="n">
        <v>0</v>
      </c>
      <c r="N475" t="n">
        <v>0</v>
      </c>
      <c r="O475" t="n">
        <v>0</v>
      </c>
      <c r="P475" t="n">
        <v>0</v>
      </c>
      <c r="Q475" t="n">
        <v>0</v>
      </c>
      <c r="R475" s="2" t="inlineStr"/>
    </row>
    <row r="476" ht="15" customHeight="1">
      <c r="A476" t="inlineStr">
        <is>
          <t>A 32763-2022</t>
        </is>
      </c>
      <c r="B476" s="1" t="n">
        <v>44783</v>
      </c>
      <c r="C476" s="1" t="n">
        <v>46078</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40168-2025</t>
        </is>
      </c>
      <c r="B477" s="1" t="n">
        <v>45894.62775462963</v>
      </c>
      <c r="C477" s="1" t="n">
        <v>46078</v>
      </c>
      <c r="D477" t="inlineStr">
        <is>
          <t>KALMAR LÄN</t>
        </is>
      </c>
      <c r="E477" t="inlineStr">
        <is>
          <t>VÄSTERVIK</t>
        </is>
      </c>
      <c r="G477" t="n">
        <v>0.3</v>
      </c>
      <c r="H477" t="n">
        <v>0</v>
      </c>
      <c r="I477" t="n">
        <v>0</v>
      </c>
      <c r="J477" t="n">
        <v>0</v>
      </c>
      <c r="K477" t="n">
        <v>0</v>
      </c>
      <c r="L477" t="n">
        <v>0</v>
      </c>
      <c r="M477" t="n">
        <v>0</v>
      </c>
      <c r="N477" t="n">
        <v>0</v>
      </c>
      <c r="O477" t="n">
        <v>0</v>
      </c>
      <c r="P477" t="n">
        <v>0</v>
      </c>
      <c r="Q477" t="n">
        <v>0</v>
      </c>
      <c r="R477" s="2" t="inlineStr"/>
    </row>
    <row r="478" ht="15" customHeight="1">
      <c r="A478" t="inlineStr">
        <is>
          <t>A 6731-2024</t>
        </is>
      </c>
      <c r="B478" s="1" t="n">
        <v>45342.38787037037</v>
      </c>
      <c r="C478" s="1" t="n">
        <v>46078</v>
      </c>
      <c r="D478" t="inlineStr">
        <is>
          <t>KALMAR LÄN</t>
        </is>
      </c>
      <c r="E478" t="inlineStr">
        <is>
          <t>VÄSTERVIK</t>
        </is>
      </c>
      <c r="F478" t="inlineStr">
        <is>
          <t>Holmen skog AB</t>
        </is>
      </c>
      <c r="G478" t="n">
        <v>6.7</v>
      </c>
      <c r="H478" t="n">
        <v>0</v>
      </c>
      <c r="I478" t="n">
        <v>0</v>
      </c>
      <c r="J478" t="n">
        <v>0</v>
      </c>
      <c r="K478" t="n">
        <v>0</v>
      </c>
      <c r="L478" t="n">
        <v>0</v>
      </c>
      <c r="M478" t="n">
        <v>0</v>
      </c>
      <c r="N478" t="n">
        <v>0</v>
      </c>
      <c r="O478" t="n">
        <v>0</v>
      </c>
      <c r="P478" t="n">
        <v>0</v>
      </c>
      <c r="Q478" t="n">
        <v>0</v>
      </c>
      <c r="R478" s="2" t="inlineStr"/>
    </row>
    <row r="479" ht="15" customHeight="1">
      <c r="A479" t="inlineStr">
        <is>
          <t>A 40038-2025</t>
        </is>
      </c>
      <c r="B479" s="1" t="n">
        <v>45894.39395833333</v>
      </c>
      <c r="C479" s="1" t="n">
        <v>46078</v>
      </c>
      <c r="D479" t="inlineStr">
        <is>
          <t>KALMAR LÄN</t>
        </is>
      </c>
      <c r="E479" t="inlineStr">
        <is>
          <t>VÄSTERVIK</t>
        </is>
      </c>
      <c r="G479" t="n">
        <v>3.2</v>
      </c>
      <c r="H479" t="n">
        <v>0</v>
      </c>
      <c r="I479" t="n">
        <v>0</v>
      </c>
      <c r="J479" t="n">
        <v>0</v>
      </c>
      <c r="K479" t="n">
        <v>0</v>
      </c>
      <c r="L479" t="n">
        <v>0</v>
      </c>
      <c r="M479" t="n">
        <v>0</v>
      </c>
      <c r="N479" t="n">
        <v>0</v>
      </c>
      <c r="O479" t="n">
        <v>0</v>
      </c>
      <c r="P479" t="n">
        <v>0</v>
      </c>
      <c r="Q479" t="n">
        <v>0</v>
      </c>
      <c r="R479" s="2" t="inlineStr"/>
    </row>
    <row r="480" ht="15" customHeight="1">
      <c r="A480" t="inlineStr">
        <is>
          <t>A 55287-2023</t>
        </is>
      </c>
      <c r="B480" s="1" t="n">
        <v>45237.75578703704</v>
      </c>
      <c r="C480" s="1" t="n">
        <v>46078</v>
      </c>
      <c r="D480" t="inlineStr">
        <is>
          <t>KALMAR LÄN</t>
        </is>
      </c>
      <c r="E480" t="inlineStr">
        <is>
          <t>VÄSTERVIK</t>
        </is>
      </c>
      <c r="G480" t="n">
        <v>2.3</v>
      </c>
      <c r="H480" t="n">
        <v>0</v>
      </c>
      <c r="I480" t="n">
        <v>0</v>
      </c>
      <c r="J480" t="n">
        <v>0</v>
      </c>
      <c r="K480" t="n">
        <v>0</v>
      </c>
      <c r="L480" t="n">
        <v>0</v>
      </c>
      <c r="M480" t="n">
        <v>0</v>
      </c>
      <c r="N480" t="n">
        <v>0</v>
      </c>
      <c r="O480" t="n">
        <v>0</v>
      </c>
      <c r="P480" t="n">
        <v>0</v>
      </c>
      <c r="Q480" t="n">
        <v>0</v>
      </c>
      <c r="R480" s="2" t="inlineStr"/>
    </row>
    <row r="481" ht="15" customHeight="1">
      <c r="A481" t="inlineStr">
        <is>
          <t>A 36050-2024</t>
        </is>
      </c>
      <c r="B481" s="1" t="n">
        <v>45533.620625</v>
      </c>
      <c r="C481" s="1" t="n">
        <v>46078</v>
      </c>
      <c r="D481" t="inlineStr">
        <is>
          <t>KALMAR LÄN</t>
        </is>
      </c>
      <c r="E481" t="inlineStr">
        <is>
          <t>VÄSTERVIK</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56042-2023</t>
        </is>
      </c>
      <c r="B482" s="1" t="n">
        <v>45240.44670138889</v>
      </c>
      <c r="C482" s="1" t="n">
        <v>46078</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58209-2022</t>
        </is>
      </c>
      <c r="B483" s="1" t="n">
        <v>44901</v>
      </c>
      <c r="C483" s="1" t="n">
        <v>46078</v>
      </c>
      <c r="D483" t="inlineStr">
        <is>
          <t>KALMAR LÄN</t>
        </is>
      </c>
      <c r="E483" t="inlineStr">
        <is>
          <t>VÄSTERVIK</t>
        </is>
      </c>
      <c r="G483" t="n">
        <v>1.5</v>
      </c>
      <c r="H483" t="n">
        <v>0</v>
      </c>
      <c r="I483" t="n">
        <v>0</v>
      </c>
      <c r="J483" t="n">
        <v>0</v>
      </c>
      <c r="K483" t="n">
        <v>0</v>
      </c>
      <c r="L483" t="n">
        <v>0</v>
      </c>
      <c r="M483" t="n">
        <v>0</v>
      </c>
      <c r="N483" t="n">
        <v>0</v>
      </c>
      <c r="O483" t="n">
        <v>0</v>
      </c>
      <c r="P483" t="n">
        <v>0</v>
      </c>
      <c r="Q483" t="n">
        <v>0</v>
      </c>
      <c r="R483" s="2" t="inlineStr"/>
    </row>
    <row r="484" ht="15" customHeight="1">
      <c r="A484" t="inlineStr">
        <is>
          <t>A 40165-2025</t>
        </is>
      </c>
      <c r="B484" s="1" t="n">
        <v>45894.62219907407</v>
      </c>
      <c r="C484" s="1" t="n">
        <v>46078</v>
      </c>
      <c r="D484" t="inlineStr">
        <is>
          <t>KALMAR LÄN</t>
        </is>
      </c>
      <c r="E484" t="inlineStr">
        <is>
          <t>VÄSTERVIK</t>
        </is>
      </c>
      <c r="G484" t="n">
        <v>1</v>
      </c>
      <c r="H484" t="n">
        <v>0</v>
      </c>
      <c r="I484" t="n">
        <v>0</v>
      </c>
      <c r="J484" t="n">
        <v>0</v>
      </c>
      <c r="K484" t="n">
        <v>0</v>
      </c>
      <c r="L484" t="n">
        <v>0</v>
      </c>
      <c r="M484" t="n">
        <v>0</v>
      </c>
      <c r="N484" t="n">
        <v>0</v>
      </c>
      <c r="O484" t="n">
        <v>0</v>
      </c>
      <c r="P484" t="n">
        <v>0</v>
      </c>
      <c r="Q484" t="n">
        <v>0</v>
      </c>
      <c r="R484" s="2" t="inlineStr"/>
    </row>
    <row r="485" ht="15" customHeight="1">
      <c r="A485" t="inlineStr">
        <is>
          <t>A 5684-2023</t>
        </is>
      </c>
      <c r="B485" s="1" t="n">
        <v>44960.73170138889</v>
      </c>
      <c r="C485" s="1" t="n">
        <v>46078</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9249-2024</t>
        </is>
      </c>
      <c r="B486" s="1" t="n">
        <v>45358.59056712963</v>
      </c>
      <c r="C486" s="1" t="n">
        <v>46078</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56377-2024</t>
        </is>
      </c>
      <c r="B487" s="1" t="n">
        <v>45625.33342592593</v>
      </c>
      <c r="C487" s="1" t="n">
        <v>46078</v>
      </c>
      <c r="D487" t="inlineStr">
        <is>
          <t>KALMAR LÄN</t>
        </is>
      </c>
      <c r="E487" t="inlineStr">
        <is>
          <t>VÄSTERVIK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8402-2025</t>
        </is>
      </c>
      <c r="B488" s="1" t="n">
        <v>45709.38065972222</v>
      </c>
      <c r="C488" s="1" t="n">
        <v>46078</v>
      </c>
      <c r="D488" t="inlineStr">
        <is>
          <t>KALMAR LÄN</t>
        </is>
      </c>
      <c r="E488" t="inlineStr">
        <is>
          <t>VÄSTERVIK</t>
        </is>
      </c>
      <c r="G488" t="n">
        <v>4.3</v>
      </c>
      <c r="H488" t="n">
        <v>0</v>
      </c>
      <c r="I488" t="n">
        <v>0</v>
      </c>
      <c r="J488" t="n">
        <v>0</v>
      </c>
      <c r="K488" t="n">
        <v>0</v>
      </c>
      <c r="L488" t="n">
        <v>0</v>
      </c>
      <c r="M488" t="n">
        <v>0</v>
      </c>
      <c r="N488" t="n">
        <v>0</v>
      </c>
      <c r="O488" t="n">
        <v>0</v>
      </c>
      <c r="P488" t="n">
        <v>0</v>
      </c>
      <c r="Q488" t="n">
        <v>0</v>
      </c>
      <c r="R488" s="2" t="inlineStr"/>
    </row>
    <row r="489" ht="15" customHeight="1">
      <c r="A489" t="inlineStr">
        <is>
          <t>A 49706-2024</t>
        </is>
      </c>
      <c r="B489" s="1" t="n">
        <v>45596.69706018519</v>
      </c>
      <c r="C489" s="1" t="n">
        <v>46078</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2168-2024</t>
        </is>
      </c>
      <c r="B490" s="1" t="n">
        <v>45309.61756944445</v>
      </c>
      <c r="C490" s="1" t="n">
        <v>46078</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15106-2023</t>
        </is>
      </c>
      <c r="B491" s="1" t="n">
        <v>45016.41767361111</v>
      </c>
      <c r="C491" s="1" t="n">
        <v>46078</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34655-2023</t>
        </is>
      </c>
      <c r="B492" s="1" t="n">
        <v>45140</v>
      </c>
      <c r="C492" s="1" t="n">
        <v>46078</v>
      </c>
      <c r="D492" t="inlineStr">
        <is>
          <t>KALMAR LÄN</t>
        </is>
      </c>
      <c r="E492" t="inlineStr">
        <is>
          <t>VÄSTERVIK</t>
        </is>
      </c>
      <c r="G492" t="n">
        <v>3.6</v>
      </c>
      <c r="H492" t="n">
        <v>0</v>
      </c>
      <c r="I492" t="n">
        <v>0</v>
      </c>
      <c r="J492" t="n">
        <v>0</v>
      </c>
      <c r="K492" t="n">
        <v>0</v>
      </c>
      <c r="L492" t="n">
        <v>0</v>
      </c>
      <c r="M492" t="n">
        <v>0</v>
      </c>
      <c r="N492" t="n">
        <v>0</v>
      </c>
      <c r="O492" t="n">
        <v>0</v>
      </c>
      <c r="P492" t="n">
        <v>0</v>
      </c>
      <c r="Q492" t="n">
        <v>0</v>
      </c>
      <c r="R492" s="2" t="inlineStr"/>
    </row>
    <row r="493" ht="15" customHeight="1">
      <c r="A493" t="inlineStr">
        <is>
          <t>A 48887-2025</t>
        </is>
      </c>
      <c r="B493" s="1" t="n">
        <v>45937.46826388889</v>
      </c>
      <c r="C493" s="1" t="n">
        <v>46078</v>
      </c>
      <c r="D493" t="inlineStr">
        <is>
          <t>KALMAR LÄN</t>
        </is>
      </c>
      <c r="E493" t="inlineStr">
        <is>
          <t>VÄSTERVIK</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23042-2025</t>
        </is>
      </c>
      <c r="B494" s="1" t="n">
        <v>45790.67273148148</v>
      </c>
      <c r="C494" s="1" t="n">
        <v>46078</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49004-2025</t>
        </is>
      </c>
      <c r="B495" s="1" t="n">
        <v>45937.59958333334</v>
      </c>
      <c r="C495" s="1" t="n">
        <v>46078</v>
      </c>
      <c r="D495" t="inlineStr">
        <is>
          <t>KALMAR LÄN</t>
        </is>
      </c>
      <c r="E495" t="inlineStr">
        <is>
          <t>VÄSTERVIK</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13957-2025</t>
        </is>
      </c>
      <c r="B496" s="1" t="n">
        <v>45737.85231481482</v>
      </c>
      <c r="C496" s="1" t="n">
        <v>46078</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23745-2025</t>
        </is>
      </c>
      <c r="B497" s="1" t="n">
        <v>45793.44484953704</v>
      </c>
      <c r="C497" s="1" t="n">
        <v>46078</v>
      </c>
      <c r="D497" t="inlineStr">
        <is>
          <t>KALMAR LÄN</t>
        </is>
      </c>
      <c r="E497" t="inlineStr">
        <is>
          <t>VÄSTERVIK</t>
        </is>
      </c>
      <c r="F497" t="inlineStr">
        <is>
          <t>Holmen skog AB</t>
        </is>
      </c>
      <c r="G497" t="n">
        <v>3.7</v>
      </c>
      <c r="H497" t="n">
        <v>0</v>
      </c>
      <c r="I497" t="n">
        <v>0</v>
      </c>
      <c r="J497" t="n">
        <v>0</v>
      </c>
      <c r="K497" t="n">
        <v>0</v>
      </c>
      <c r="L497" t="n">
        <v>0</v>
      </c>
      <c r="M497" t="n">
        <v>0</v>
      </c>
      <c r="N497" t="n">
        <v>0</v>
      </c>
      <c r="O497" t="n">
        <v>0</v>
      </c>
      <c r="P497" t="n">
        <v>0</v>
      </c>
      <c r="Q497" t="n">
        <v>0</v>
      </c>
      <c r="R497" s="2" t="inlineStr"/>
    </row>
    <row r="498" ht="15" customHeight="1">
      <c r="A498" t="inlineStr">
        <is>
          <t>A 57019-2023</t>
        </is>
      </c>
      <c r="B498" s="1" t="n">
        <v>45244</v>
      </c>
      <c r="C498" s="1" t="n">
        <v>46078</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23739-2025</t>
        </is>
      </c>
      <c r="B499" s="1" t="n">
        <v>45793.42939814815</v>
      </c>
      <c r="C499" s="1" t="n">
        <v>46078</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48873-2025</t>
        </is>
      </c>
      <c r="B500" s="1" t="n">
        <v>45937.45417824074</v>
      </c>
      <c r="C500" s="1" t="n">
        <v>46078</v>
      </c>
      <c r="D500" t="inlineStr">
        <is>
          <t>KALMAR LÄN</t>
        </is>
      </c>
      <c r="E500" t="inlineStr">
        <is>
          <t>VÄSTERVIK</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23859-2025</t>
        </is>
      </c>
      <c r="B501" s="1" t="n">
        <v>45793.65996527778</v>
      </c>
      <c r="C501" s="1" t="n">
        <v>46078</v>
      </c>
      <c r="D501" t="inlineStr">
        <is>
          <t>KALMAR LÄN</t>
        </is>
      </c>
      <c r="E501" t="inlineStr">
        <is>
          <t>VÄSTERVIK</t>
        </is>
      </c>
      <c r="F501" t="inlineStr">
        <is>
          <t>Holmen skog AB</t>
        </is>
      </c>
      <c r="G501" t="n">
        <v>17.7</v>
      </c>
      <c r="H501" t="n">
        <v>0</v>
      </c>
      <c r="I501" t="n">
        <v>0</v>
      </c>
      <c r="J501" t="n">
        <v>0</v>
      </c>
      <c r="K501" t="n">
        <v>0</v>
      </c>
      <c r="L501" t="n">
        <v>0</v>
      </c>
      <c r="M501" t="n">
        <v>0</v>
      </c>
      <c r="N501" t="n">
        <v>0</v>
      </c>
      <c r="O501" t="n">
        <v>0</v>
      </c>
      <c r="P501" t="n">
        <v>0</v>
      </c>
      <c r="Q501" t="n">
        <v>0</v>
      </c>
      <c r="R501" s="2" t="inlineStr"/>
    </row>
    <row r="502" ht="15" customHeight="1">
      <c r="A502" t="inlineStr">
        <is>
          <t>A 6941-2025</t>
        </is>
      </c>
      <c r="B502" s="1" t="n">
        <v>45701.46835648148</v>
      </c>
      <c r="C502" s="1" t="n">
        <v>46078</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23022-2025</t>
        </is>
      </c>
      <c r="B503" s="1" t="n">
        <v>45790.65489583334</v>
      </c>
      <c r="C503" s="1" t="n">
        <v>46078</v>
      </c>
      <c r="D503" t="inlineStr">
        <is>
          <t>KALMAR LÄN</t>
        </is>
      </c>
      <c r="E503" t="inlineStr">
        <is>
          <t>VÄSTERVIK</t>
        </is>
      </c>
      <c r="G503" t="n">
        <v>3.3</v>
      </c>
      <c r="H503" t="n">
        <v>0</v>
      </c>
      <c r="I503" t="n">
        <v>0</v>
      </c>
      <c r="J503" t="n">
        <v>0</v>
      </c>
      <c r="K503" t="n">
        <v>0</v>
      </c>
      <c r="L503" t="n">
        <v>0</v>
      </c>
      <c r="M503" t="n">
        <v>0</v>
      </c>
      <c r="N503" t="n">
        <v>0</v>
      </c>
      <c r="O503" t="n">
        <v>0</v>
      </c>
      <c r="P503" t="n">
        <v>0</v>
      </c>
      <c r="Q503" t="n">
        <v>0</v>
      </c>
      <c r="R503" s="2" t="inlineStr"/>
    </row>
    <row r="504" ht="15" customHeight="1">
      <c r="A504" t="inlineStr">
        <is>
          <t>A 33907-2025</t>
        </is>
      </c>
      <c r="B504" s="1" t="n">
        <v>45842.59880787037</v>
      </c>
      <c r="C504" s="1" t="n">
        <v>46078</v>
      </c>
      <c r="D504" t="inlineStr">
        <is>
          <t>KALMAR LÄN</t>
        </is>
      </c>
      <c r="E504" t="inlineStr">
        <is>
          <t>VÄSTERVIK</t>
        </is>
      </c>
      <c r="G504" t="n">
        <v>3.1</v>
      </c>
      <c r="H504" t="n">
        <v>0</v>
      </c>
      <c r="I504" t="n">
        <v>0</v>
      </c>
      <c r="J504" t="n">
        <v>0</v>
      </c>
      <c r="K504" t="n">
        <v>0</v>
      </c>
      <c r="L504" t="n">
        <v>0</v>
      </c>
      <c r="M504" t="n">
        <v>0</v>
      </c>
      <c r="N504" t="n">
        <v>0</v>
      </c>
      <c r="O504" t="n">
        <v>0</v>
      </c>
      <c r="P504" t="n">
        <v>0</v>
      </c>
      <c r="Q504" t="n">
        <v>0</v>
      </c>
      <c r="R504" s="2" t="inlineStr"/>
    </row>
    <row r="505" ht="15" customHeight="1">
      <c r="A505" t="inlineStr">
        <is>
          <t>A 41993-2025</t>
        </is>
      </c>
      <c r="B505" s="1" t="n">
        <v>45903.54821759259</v>
      </c>
      <c r="C505" s="1" t="n">
        <v>46078</v>
      </c>
      <c r="D505" t="inlineStr">
        <is>
          <t>KALMAR LÄN</t>
        </is>
      </c>
      <c r="E505" t="inlineStr">
        <is>
          <t>VÄSTERVIK</t>
        </is>
      </c>
      <c r="G505" t="n">
        <v>1.8</v>
      </c>
      <c r="H505" t="n">
        <v>0</v>
      </c>
      <c r="I505" t="n">
        <v>0</v>
      </c>
      <c r="J505" t="n">
        <v>0</v>
      </c>
      <c r="K505" t="n">
        <v>0</v>
      </c>
      <c r="L505" t="n">
        <v>0</v>
      </c>
      <c r="M505" t="n">
        <v>0</v>
      </c>
      <c r="N505" t="n">
        <v>0</v>
      </c>
      <c r="O505" t="n">
        <v>0</v>
      </c>
      <c r="P505" t="n">
        <v>0</v>
      </c>
      <c r="Q505" t="n">
        <v>0</v>
      </c>
      <c r="R505" s="2" t="inlineStr"/>
    </row>
    <row r="506" ht="15" customHeight="1">
      <c r="A506" t="inlineStr">
        <is>
          <t>A 39193-2024</t>
        </is>
      </c>
      <c r="B506" s="1" t="n">
        <v>45548.68</v>
      </c>
      <c r="C506" s="1" t="n">
        <v>46078</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9760-2024</t>
        </is>
      </c>
      <c r="B507" s="1" t="n">
        <v>45362</v>
      </c>
      <c r="C507" s="1" t="n">
        <v>46078</v>
      </c>
      <c r="D507" t="inlineStr">
        <is>
          <t>KALMAR LÄN</t>
        </is>
      </c>
      <c r="E507" t="inlineStr">
        <is>
          <t>VÄSTERVIK</t>
        </is>
      </c>
      <c r="G507" t="n">
        <v>2.1</v>
      </c>
      <c r="H507" t="n">
        <v>0</v>
      </c>
      <c r="I507" t="n">
        <v>0</v>
      </c>
      <c r="J507" t="n">
        <v>0</v>
      </c>
      <c r="K507" t="n">
        <v>0</v>
      </c>
      <c r="L507" t="n">
        <v>0</v>
      </c>
      <c r="M507" t="n">
        <v>0</v>
      </c>
      <c r="N507" t="n">
        <v>0</v>
      </c>
      <c r="O507" t="n">
        <v>0</v>
      </c>
      <c r="P507" t="n">
        <v>0</v>
      </c>
      <c r="Q507" t="n">
        <v>0</v>
      </c>
      <c r="R507" s="2" t="inlineStr"/>
    </row>
    <row r="508" ht="15" customHeight="1">
      <c r="A508" t="inlineStr">
        <is>
          <t>A 57924-2024</t>
        </is>
      </c>
      <c r="B508" s="1" t="n">
        <v>45631.51325231481</v>
      </c>
      <c r="C508" s="1" t="n">
        <v>46078</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49409-2025</t>
        </is>
      </c>
      <c r="B509" s="1" t="n">
        <v>45938.678125</v>
      </c>
      <c r="C509" s="1" t="n">
        <v>46078</v>
      </c>
      <c r="D509" t="inlineStr">
        <is>
          <t>KALMAR LÄN</t>
        </is>
      </c>
      <c r="E509" t="inlineStr">
        <is>
          <t>VÄSTERVIK</t>
        </is>
      </c>
      <c r="G509" t="n">
        <v>2.6</v>
      </c>
      <c r="H509" t="n">
        <v>0</v>
      </c>
      <c r="I509" t="n">
        <v>0</v>
      </c>
      <c r="J509" t="n">
        <v>0</v>
      </c>
      <c r="K509" t="n">
        <v>0</v>
      </c>
      <c r="L509" t="n">
        <v>0</v>
      </c>
      <c r="M509" t="n">
        <v>0</v>
      </c>
      <c r="N509" t="n">
        <v>0</v>
      </c>
      <c r="O509" t="n">
        <v>0</v>
      </c>
      <c r="P509" t="n">
        <v>0</v>
      </c>
      <c r="Q509" t="n">
        <v>0</v>
      </c>
      <c r="R509" s="2" t="inlineStr"/>
    </row>
    <row r="510" ht="15" customHeight="1">
      <c r="A510" t="inlineStr">
        <is>
          <t>A 49411-2025</t>
        </is>
      </c>
      <c r="B510" s="1" t="n">
        <v>45938.68115740741</v>
      </c>
      <c r="C510" s="1" t="n">
        <v>46078</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19608-2025</t>
        </is>
      </c>
      <c r="B511" s="1" t="n">
        <v>45770.60177083333</v>
      </c>
      <c r="C511" s="1" t="n">
        <v>46078</v>
      </c>
      <c r="D511" t="inlineStr">
        <is>
          <t>KALMAR LÄN</t>
        </is>
      </c>
      <c r="E511" t="inlineStr">
        <is>
          <t>VÄSTERVIK</t>
        </is>
      </c>
      <c r="G511" t="n">
        <v>3.5</v>
      </c>
      <c r="H511" t="n">
        <v>0</v>
      </c>
      <c r="I511" t="n">
        <v>0</v>
      </c>
      <c r="J511" t="n">
        <v>0</v>
      </c>
      <c r="K511" t="n">
        <v>0</v>
      </c>
      <c r="L511" t="n">
        <v>0</v>
      </c>
      <c r="M511" t="n">
        <v>0</v>
      </c>
      <c r="N511" t="n">
        <v>0</v>
      </c>
      <c r="O511" t="n">
        <v>0</v>
      </c>
      <c r="P511" t="n">
        <v>0</v>
      </c>
      <c r="Q511" t="n">
        <v>0</v>
      </c>
      <c r="R511" s="2" t="inlineStr"/>
    </row>
    <row r="512" ht="15" customHeight="1">
      <c r="A512" t="inlineStr">
        <is>
          <t>A 32137-2024</t>
        </is>
      </c>
      <c r="B512" s="1" t="n">
        <v>45511</v>
      </c>
      <c r="C512" s="1" t="n">
        <v>46078</v>
      </c>
      <c r="D512" t="inlineStr">
        <is>
          <t>KALMAR LÄN</t>
        </is>
      </c>
      <c r="E512" t="inlineStr">
        <is>
          <t>VÄSTERVIK</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61529-2022</t>
        </is>
      </c>
      <c r="B513" s="1" t="n">
        <v>44910</v>
      </c>
      <c r="C513" s="1" t="n">
        <v>46078</v>
      </c>
      <c r="D513" t="inlineStr">
        <is>
          <t>KALMAR LÄN</t>
        </is>
      </c>
      <c r="E513" t="inlineStr">
        <is>
          <t>VÄSTERVIK</t>
        </is>
      </c>
      <c r="G513" t="n">
        <v>6.5</v>
      </c>
      <c r="H513" t="n">
        <v>0</v>
      </c>
      <c r="I513" t="n">
        <v>0</v>
      </c>
      <c r="J513" t="n">
        <v>0</v>
      </c>
      <c r="K513" t="n">
        <v>0</v>
      </c>
      <c r="L513" t="n">
        <v>0</v>
      </c>
      <c r="M513" t="n">
        <v>0</v>
      </c>
      <c r="N513" t="n">
        <v>0</v>
      </c>
      <c r="O513" t="n">
        <v>0</v>
      </c>
      <c r="P513" t="n">
        <v>0</v>
      </c>
      <c r="Q513" t="n">
        <v>0</v>
      </c>
      <c r="R513" s="2" t="inlineStr"/>
    </row>
    <row r="514" ht="15" customHeight="1">
      <c r="A514" t="inlineStr">
        <is>
          <t>A 16080-2025</t>
        </is>
      </c>
      <c r="B514" s="1" t="n">
        <v>45749.72953703703</v>
      </c>
      <c r="C514" s="1" t="n">
        <v>46078</v>
      </c>
      <c r="D514" t="inlineStr">
        <is>
          <t>KALMAR LÄN</t>
        </is>
      </c>
      <c r="E514" t="inlineStr">
        <is>
          <t>VÄSTERVIK</t>
        </is>
      </c>
      <c r="G514" t="n">
        <v>1.9</v>
      </c>
      <c r="H514" t="n">
        <v>0</v>
      </c>
      <c r="I514" t="n">
        <v>0</v>
      </c>
      <c r="J514" t="n">
        <v>0</v>
      </c>
      <c r="K514" t="n">
        <v>0</v>
      </c>
      <c r="L514" t="n">
        <v>0</v>
      </c>
      <c r="M514" t="n">
        <v>0</v>
      </c>
      <c r="N514" t="n">
        <v>0</v>
      </c>
      <c r="O514" t="n">
        <v>0</v>
      </c>
      <c r="P514" t="n">
        <v>0</v>
      </c>
      <c r="Q514" t="n">
        <v>0</v>
      </c>
      <c r="R514" s="2" t="inlineStr"/>
    </row>
    <row r="515" ht="15" customHeight="1">
      <c r="A515" t="inlineStr">
        <is>
          <t>A 41926-2024</t>
        </is>
      </c>
      <c r="B515" s="1" t="n">
        <v>45561</v>
      </c>
      <c r="C515" s="1" t="n">
        <v>46078</v>
      </c>
      <c r="D515" t="inlineStr">
        <is>
          <t>KALMAR LÄN</t>
        </is>
      </c>
      <c r="E515" t="inlineStr">
        <is>
          <t>VÄSTERVIK</t>
        </is>
      </c>
      <c r="F515" t="inlineStr">
        <is>
          <t>Kyrkan</t>
        </is>
      </c>
      <c r="G515" t="n">
        <v>10</v>
      </c>
      <c r="H515" t="n">
        <v>0</v>
      </c>
      <c r="I515" t="n">
        <v>0</v>
      </c>
      <c r="J515" t="n">
        <v>0</v>
      </c>
      <c r="K515" t="n">
        <v>0</v>
      </c>
      <c r="L515" t="n">
        <v>0</v>
      </c>
      <c r="M515" t="n">
        <v>0</v>
      </c>
      <c r="N515" t="n">
        <v>0</v>
      </c>
      <c r="O515" t="n">
        <v>0</v>
      </c>
      <c r="P515" t="n">
        <v>0</v>
      </c>
      <c r="Q515" t="n">
        <v>0</v>
      </c>
      <c r="R515" s="2" t="inlineStr"/>
    </row>
    <row r="516" ht="15" customHeight="1">
      <c r="A516" t="inlineStr">
        <is>
          <t>A 24819-2025</t>
        </is>
      </c>
      <c r="B516" s="1" t="n">
        <v>45799.45109953704</v>
      </c>
      <c r="C516" s="1" t="n">
        <v>46078</v>
      </c>
      <c r="D516" t="inlineStr">
        <is>
          <t>KALMAR LÄN</t>
        </is>
      </c>
      <c r="E516" t="inlineStr">
        <is>
          <t>VÄSTERVIK</t>
        </is>
      </c>
      <c r="G516" t="n">
        <v>1.2</v>
      </c>
      <c r="H516" t="n">
        <v>0</v>
      </c>
      <c r="I516" t="n">
        <v>0</v>
      </c>
      <c r="J516" t="n">
        <v>0</v>
      </c>
      <c r="K516" t="n">
        <v>0</v>
      </c>
      <c r="L516" t="n">
        <v>0</v>
      </c>
      <c r="M516" t="n">
        <v>0</v>
      </c>
      <c r="N516" t="n">
        <v>0</v>
      </c>
      <c r="O516" t="n">
        <v>0</v>
      </c>
      <c r="P516" t="n">
        <v>0</v>
      </c>
      <c r="Q516" t="n">
        <v>0</v>
      </c>
      <c r="R516" s="2" t="inlineStr"/>
    </row>
    <row r="517" ht="15" customHeight="1">
      <c r="A517" t="inlineStr">
        <is>
          <t>A 52645-2021</t>
        </is>
      </c>
      <c r="B517" s="1" t="n">
        <v>44466</v>
      </c>
      <c r="C517" s="1" t="n">
        <v>46078</v>
      </c>
      <c r="D517" t="inlineStr">
        <is>
          <t>KALMAR LÄN</t>
        </is>
      </c>
      <c r="E517" t="inlineStr">
        <is>
          <t>VÄSTERVIK</t>
        </is>
      </c>
      <c r="G517" t="n">
        <v>5</v>
      </c>
      <c r="H517" t="n">
        <v>0</v>
      </c>
      <c r="I517" t="n">
        <v>0</v>
      </c>
      <c r="J517" t="n">
        <v>0</v>
      </c>
      <c r="K517" t="n">
        <v>0</v>
      </c>
      <c r="L517" t="n">
        <v>0</v>
      </c>
      <c r="M517" t="n">
        <v>0</v>
      </c>
      <c r="N517" t="n">
        <v>0</v>
      </c>
      <c r="O517" t="n">
        <v>0</v>
      </c>
      <c r="P517" t="n">
        <v>0</v>
      </c>
      <c r="Q517" t="n">
        <v>0</v>
      </c>
      <c r="R517" s="2" t="inlineStr"/>
    </row>
    <row r="518" ht="15" customHeight="1">
      <c r="A518" t="inlineStr">
        <is>
          <t>A 43199-2024</t>
        </is>
      </c>
      <c r="B518" s="1" t="n">
        <v>45567.68774305555</v>
      </c>
      <c r="C518" s="1" t="n">
        <v>46078</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7840-2025</t>
        </is>
      </c>
      <c r="B519" s="1" t="n">
        <v>45706.65895833333</v>
      </c>
      <c r="C519" s="1" t="n">
        <v>46078</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14237-2024</t>
        </is>
      </c>
      <c r="B520" s="1" t="n">
        <v>45393.47158564815</v>
      </c>
      <c r="C520" s="1" t="n">
        <v>46078</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65059-2023</t>
        </is>
      </c>
      <c r="B521" s="1" t="n">
        <v>45287</v>
      </c>
      <c r="C521" s="1" t="n">
        <v>46078</v>
      </c>
      <c r="D521" t="inlineStr">
        <is>
          <t>KALMAR LÄN</t>
        </is>
      </c>
      <c r="E521" t="inlineStr">
        <is>
          <t>VÄSTERVIK</t>
        </is>
      </c>
      <c r="F521" t="inlineStr">
        <is>
          <t>Holmen skog AB</t>
        </is>
      </c>
      <c r="G521" t="n">
        <v>4.9</v>
      </c>
      <c r="H521" t="n">
        <v>0</v>
      </c>
      <c r="I521" t="n">
        <v>0</v>
      </c>
      <c r="J521" t="n">
        <v>0</v>
      </c>
      <c r="K521" t="n">
        <v>0</v>
      </c>
      <c r="L521" t="n">
        <v>0</v>
      </c>
      <c r="M521" t="n">
        <v>0</v>
      </c>
      <c r="N521" t="n">
        <v>0</v>
      </c>
      <c r="O521" t="n">
        <v>0</v>
      </c>
      <c r="P521" t="n">
        <v>0</v>
      </c>
      <c r="Q521" t="n">
        <v>0</v>
      </c>
      <c r="R521" s="2" t="inlineStr"/>
    </row>
    <row r="522" ht="15" customHeight="1">
      <c r="A522" t="inlineStr">
        <is>
          <t>A 2830-2025</t>
        </is>
      </c>
      <c r="B522" s="1" t="n">
        <v>45677.62704861111</v>
      </c>
      <c r="C522" s="1" t="n">
        <v>46078</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49616-2025</t>
        </is>
      </c>
      <c r="B523" s="1" t="n">
        <v>45939.58503472222</v>
      </c>
      <c r="C523" s="1" t="n">
        <v>46078</v>
      </c>
      <c r="D523" t="inlineStr">
        <is>
          <t>KALMAR LÄN</t>
        </is>
      </c>
      <c r="E523" t="inlineStr">
        <is>
          <t>VÄSTERVIK</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59170-2022</t>
        </is>
      </c>
      <c r="B524" s="1" t="n">
        <v>44904.48152777777</v>
      </c>
      <c r="C524" s="1" t="n">
        <v>46078</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26285-2024</t>
        </is>
      </c>
      <c r="B525" s="1" t="n">
        <v>45468.70357638889</v>
      </c>
      <c r="C525" s="1" t="n">
        <v>46078</v>
      </c>
      <c r="D525" t="inlineStr">
        <is>
          <t>KALMAR LÄN</t>
        </is>
      </c>
      <c r="E525" t="inlineStr">
        <is>
          <t>VÄSTERVIK</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4579-2023</t>
        </is>
      </c>
      <c r="B526" s="1" t="n">
        <v>44956.72383101852</v>
      </c>
      <c r="C526" s="1" t="n">
        <v>46078</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49525-2025</t>
        </is>
      </c>
      <c r="B527" s="1" t="n">
        <v>45939.4015625</v>
      </c>
      <c r="C527" s="1" t="n">
        <v>46078</v>
      </c>
      <c r="D527" t="inlineStr">
        <is>
          <t>KALMAR LÄN</t>
        </is>
      </c>
      <c r="E527" t="inlineStr">
        <is>
          <t>VÄSTERVIK</t>
        </is>
      </c>
      <c r="G527" t="n">
        <v>2.3</v>
      </c>
      <c r="H527" t="n">
        <v>0</v>
      </c>
      <c r="I527" t="n">
        <v>0</v>
      </c>
      <c r="J527" t="n">
        <v>0</v>
      </c>
      <c r="K527" t="n">
        <v>0</v>
      </c>
      <c r="L527" t="n">
        <v>0</v>
      </c>
      <c r="M527" t="n">
        <v>0</v>
      </c>
      <c r="N527" t="n">
        <v>0</v>
      </c>
      <c r="O527" t="n">
        <v>0</v>
      </c>
      <c r="P527" t="n">
        <v>0</v>
      </c>
      <c r="Q527" t="n">
        <v>0</v>
      </c>
      <c r="R527" s="2" t="inlineStr"/>
    </row>
    <row r="528" ht="15" customHeight="1">
      <c r="A528" t="inlineStr">
        <is>
          <t>A 11198-2024</t>
        </is>
      </c>
      <c r="B528" s="1" t="n">
        <v>45371</v>
      </c>
      <c r="C528" s="1" t="n">
        <v>46078</v>
      </c>
      <c r="D528" t="inlineStr">
        <is>
          <t>KALMAR LÄN</t>
        </is>
      </c>
      <c r="E528" t="inlineStr">
        <is>
          <t>VÄSTERVIK</t>
        </is>
      </c>
      <c r="G528" t="n">
        <v>4.1</v>
      </c>
      <c r="H528" t="n">
        <v>0</v>
      </c>
      <c r="I528" t="n">
        <v>0</v>
      </c>
      <c r="J528" t="n">
        <v>0</v>
      </c>
      <c r="K528" t="n">
        <v>0</v>
      </c>
      <c r="L528" t="n">
        <v>0</v>
      </c>
      <c r="M528" t="n">
        <v>0</v>
      </c>
      <c r="N528" t="n">
        <v>0</v>
      </c>
      <c r="O528" t="n">
        <v>0</v>
      </c>
      <c r="P528" t="n">
        <v>0</v>
      </c>
      <c r="Q528" t="n">
        <v>0</v>
      </c>
      <c r="R528" s="2" t="inlineStr"/>
    </row>
    <row r="529" ht="15" customHeight="1">
      <c r="A529" t="inlineStr">
        <is>
          <t>A 25819-2025</t>
        </is>
      </c>
      <c r="B529" s="1" t="n">
        <v>45804.43547453704</v>
      </c>
      <c r="C529" s="1" t="n">
        <v>46078</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25827-2025</t>
        </is>
      </c>
      <c r="B530" s="1" t="n">
        <v>45804.443125</v>
      </c>
      <c r="C530" s="1" t="n">
        <v>46078</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43651-2025</t>
        </is>
      </c>
      <c r="B531" s="1" t="n">
        <v>45912.32259259259</v>
      </c>
      <c r="C531" s="1" t="n">
        <v>46078</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59696-2023</t>
        </is>
      </c>
      <c r="B532" s="1" t="n">
        <v>45256.85211805555</v>
      </c>
      <c r="C532" s="1" t="n">
        <v>46078</v>
      </c>
      <c r="D532" t="inlineStr">
        <is>
          <t>KALMAR LÄN</t>
        </is>
      </c>
      <c r="E532" t="inlineStr">
        <is>
          <t>VÄSTERVIK</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808-2023</t>
        </is>
      </c>
      <c r="B533" s="1" t="n">
        <v>44931</v>
      </c>
      <c r="C533" s="1" t="n">
        <v>46078</v>
      </c>
      <c r="D533" t="inlineStr">
        <is>
          <t>KALMAR LÄN</t>
        </is>
      </c>
      <c r="E533" t="inlineStr">
        <is>
          <t>VÄSTERVIK</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26568-2025</t>
        </is>
      </c>
      <c r="B534" s="1" t="n">
        <v>45807.67447916666</v>
      </c>
      <c r="C534" s="1" t="n">
        <v>46078</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26571-2025</t>
        </is>
      </c>
      <c r="B535" s="1" t="n">
        <v>45807.6794212963</v>
      </c>
      <c r="C535" s="1" t="n">
        <v>46078</v>
      </c>
      <c r="D535" t="inlineStr">
        <is>
          <t>KALMAR LÄN</t>
        </is>
      </c>
      <c r="E535" t="inlineStr">
        <is>
          <t>VÄSTERVIK</t>
        </is>
      </c>
      <c r="G535" t="n">
        <v>2.8</v>
      </c>
      <c r="H535" t="n">
        <v>0</v>
      </c>
      <c r="I535" t="n">
        <v>0</v>
      </c>
      <c r="J535" t="n">
        <v>0</v>
      </c>
      <c r="K535" t="n">
        <v>0</v>
      </c>
      <c r="L535" t="n">
        <v>0</v>
      </c>
      <c r="M535" t="n">
        <v>0</v>
      </c>
      <c r="N535" t="n">
        <v>0</v>
      </c>
      <c r="O535" t="n">
        <v>0</v>
      </c>
      <c r="P535" t="n">
        <v>0</v>
      </c>
      <c r="Q535" t="n">
        <v>0</v>
      </c>
      <c r="R535" s="2" t="inlineStr"/>
    </row>
    <row r="536" ht="15" customHeight="1">
      <c r="A536" t="inlineStr">
        <is>
          <t>A 44461-2025</t>
        </is>
      </c>
      <c r="B536" s="1" t="n">
        <v>45916.62190972222</v>
      </c>
      <c r="C536" s="1" t="n">
        <v>46078</v>
      </c>
      <c r="D536" t="inlineStr">
        <is>
          <t>KALMAR LÄN</t>
        </is>
      </c>
      <c r="E536" t="inlineStr">
        <is>
          <t>VÄSTERVIK</t>
        </is>
      </c>
      <c r="G536" t="n">
        <v>3.4</v>
      </c>
      <c r="H536" t="n">
        <v>0</v>
      </c>
      <c r="I536" t="n">
        <v>0</v>
      </c>
      <c r="J536" t="n">
        <v>0</v>
      </c>
      <c r="K536" t="n">
        <v>0</v>
      </c>
      <c r="L536" t="n">
        <v>0</v>
      </c>
      <c r="M536" t="n">
        <v>0</v>
      </c>
      <c r="N536" t="n">
        <v>0</v>
      </c>
      <c r="O536" t="n">
        <v>0</v>
      </c>
      <c r="P536" t="n">
        <v>0</v>
      </c>
      <c r="Q536" t="n">
        <v>0</v>
      </c>
      <c r="R536" s="2" t="inlineStr"/>
    </row>
    <row r="537" ht="15" customHeight="1">
      <c r="A537" t="inlineStr">
        <is>
          <t>A 26566-2025</t>
        </is>
      </c>
      <c r="B537" s="1" t="n">
        <v>45807.66685185185</v>
      </c>
      <c r="C537" s="1" t="n">
        <v>46078</v>
      </c>
      <c r="D537" t="inlineStr">
        <is>
          <t>KALMAR LÄN</t>
        </is>
      </c>
      <c r="E537" t="inlineStr">
        <is>
          <t>VÄSTERVIK</t>
        </is>
      </c>
      <c r="G537" t="n">
        <v>2.5</v>
      </c>
      <c r="H537" t="n">
        <v>0</v>
      </c>
      <c r="I537" t="n">
        <v>0</v>
      </c>
      <c r="J537" t="n">
        <v>0</v>
      </c>
      <c r="K537" t="n">
        <v>0</v>
      </c>
      <c r="L537" t="n">
        <v>0</v>
      </c>
      <c r="M537" t="n">
        <v>0</v>
      </c>
      <c r="N537" t="n">
        <v>0</v>
      </c>
      <c r="O537" t="n">
        <v>0</v>
      </c>
      <c r="P537" t="n">
        <v>0</v>
      </c>
      <c r="Q537" t="n">
        <v>0</v>
      </c>
      <c r="R537" s="2" t="inlineStr"/>
    </row>
    <row r="538" ht="15" customHeight="1">
      <c r="A538" t="inlineStr">
        <is>
          <t>A 26569-2025</t>
        </is>
      </c>
      <c r="B538" s="1" t="n">
        <v>45807.67638888889</v>
      </c>
      <c r="C538" s="1" t="n">
        <v>46078</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26572-2025</t>
        </is>
      </c>
      <c r="B539" s="1" t="n">
        <v>45807.68232638889</v>
      </c>
      <c r="C539" s="1" t="n">
        <v>46078</v>
      </c>
      <c r="D539" t="inlineStr">
        <is>
          <t>KALMAR LÄN</t>
        </is>
      </c>
      <c r="E539" t="inlineStr">
        <is>
          <t>VÄSTERVIK</t>
        </is>
      </c>
      <c r="G539" t="n">
        <v>2.9</v>
      </c>
      <c r="H539" t="n">
        <v>0</v>
      </c>
      <c r="I539" t="n">
        <v>0</v>
      </c>
      <c r="J539" t="n">
        <v>0</v>
      </c>
      <c r="K539" t="n">
        <v>0</v>
      </c>
      <c r="L539" t="n">
        <v>0</v>
      </c>
      <c r="M539" t="n">
        <v>0</v>
      </c>
      <c r="N539" t="n">
        <v>0</v>
      </c>
      <c r="O539" t="n">
        <v>0</v>
      </c>
      <c r="P539" t="n">
        <v>0</v>
      </c>
      <c r="Q539" t="n">
        <v>0</v>
      </c>
      <c r="R539" s="2" t="inlineStr"/>
    </row>
    <row r="540" ht="15" customHeight="1">
      <c r="A540" t="inlineStr">
        <is>
          <t>A 55361-2024</t>
        </is>
      </c>
      <c r="B540" s="1" t="n">
        <v>45621.83300925926</v>
      </c>
      <c r="C540" s="1" t="n">
        <v>46078</v>
      </c>
      <c r="D540" t="inlineStr">
        <is>
          <t>KALMAR LÄN</t>
        </is>
      </c>
      <c r="E540" t="inlineStr">
        <is>
          <t>VÄSTERVIK</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55362-2024</t>
        </is>
      </c>
      <c r="B541" s="1" t="n">
        <v>45621.83461805555</v>
      </c>
      <c r="C541" s="1" t="n">
        <v>46078</v>
      </c>
      <c r="D541" t="inlineStr">
        <is>
          <t>KALMAR LÄN</t>
        </is>
      </c>
      <c r="E541" t="inlineStr">
        <is>
          <t>VÄSTERVIK</t>
        </is>
      </c>
      <c r="F541" t="inlineStr">
        <is>
          <t>Sveaskog</t>
        </is>
      </c>
      <c r="G541" t="n">
        <v>2.8</v>
      </c>
      <c r="H541" t="n">
        <v>0</v>
      </c>
      <c r="I541" t="n">
        <v>0</v>
      </c>
      <c r="J541" t="n">
        <v>0</v>
      </c>
      <c r="K541" t="n">
        <v>0</v>
      </c>
      <c r="L541" t="n">
        <v>0</v>
      </c>
      <c r="M541" t="n">
        <v>0</v>
      </c>
      <c r="N541" t="n">
        <v>0</v>
      </c>
      <c r="O541" t="n">
        <v>0</v>
      </c>
      <c r="P541" t="n">
        <v>0</v>
      </c>
      <c r="Q541" t="n">
        <v>0</v>
      </c>
      <c r="R541" s="2" t="inlineStr"/>
    </row>
    <row r="542" ht="15" customHeight="1">
      <c r="A542" t="inlineStr">
        <is>
          <t>A 57367-2023</t>
        </is>
      </c>
      <c r="B542" s="1" t="n">
        <v>45245</v>
      </c>
      <c r="C542" s="1" t="n">
        <v>46078</v>
      </c>
      <c r="D542" t="inlineStr">
        <is>
          <t>KALMAR LÄN</t>
        </is>
      </c>
      <c r="E542" t="inlineStr">
        <is>
          <t>VÄSTERVIK</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51645-2023</t>
        </is>
      </c>
      <c r="B543" s="1" t="n">
        <v>45222.55333333334</v>
      </c>
      <c r="C543" s="1" t="n">
        <v>46078</v>
      </c>
      <c r="D543" t="inlineStr">
        <is>
          <t>KALMAR LÄN</t>
        </is>
      </c>
      <c r="E543" t="inlineStr">
        <is>
          <t>VÄSTERVIK</t>
        </is>
      </c>
      <c r="G543" t="n">
        <v>3.7</v>
      </c>
      <c r="H543" t="n">
        <v>0</v>
      </c>
      <c r="I543" t="n">
        <v>0</v>
      </c>
      <c r="J543" t="n">
        <v>0</v>
      </c>
      <c r="K543" t="n">
        <v>0</v>
      </c>
      <c r="L543" t="n">
        <v>0</v>
      </c>
      <c r="M543" t="n">
        <v>0</v>
      </c>
      <c r="N543" t="n">
        <v>0</v>
      </c>
      <c r="O543" t="n">
        <v>0</v>
      </c>
      <c r="P543" t="n">
        <v>0</v>
      </c>
      <c r="Q543" t="n">
        <v>0</v>
      </c>
      <c r="R543" s="2" t="inlineStr"/>
    </row>
    <row r="544" ht="15" customHeight="1">
      <c r="A544" t="inlineStr">
        <is>
          <t>A 44848-2025</t>
        </is>
      </c>
      <c r="B544" s="1" t="n">
        <v>45918.44344907408</v>
      </c>
      <c r="C544" s="1" t="n">
        <v>46078</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44853-2025</t>
        </is>
      </c>
      <c r="B545" s="1" t="n">
        <v>45918.44818287037</v>
      </c>
      <c r="C545" s="1" t="n">
        <v>46078</v>
      </c>
      <c r="D545" t="inlineStr">
        <is>
          <t>KALMAR LÄN</t>
        </is>
      </c>
      <c r="E545" t="inlineStr">
        <is>
          <t>VÄSTERVIK</t>
        </is>
      </c>
      <c r="G545" t="n">
        <v>1.3</v>
      </c>
      <c r="H545" t="n">
        <v>0</v>
      </c>
      <c r="I545" t="n">
        <v>0</v>
      </c>
      <c r="J545" t="n">
        <v>0</v>
      </c>
      <c r="K545" t="n">
        <v>0</v>
      </c>
      <c r="L545" t="n">
        <v>0</v>
      </c>
      <c r="M545" t="n">
        <v>0</v>
      </c>
      <c r="N545" t="n">
        <v>0</v>
      </c>
      <c r="O545" t="n">
        <v>0</v>
      </c>
      <c r="P545" t="n">
        <v>0</v>
      </c>
      <c r="Q545" t="n">
        <v>0</v>
      </c>
      <c r="R545" s="2" t="inlineStr"/>
    </row>
    <row r="546" ht="15" customHeight="1">
      <c r="A546" t="inlineStr">
        <is>
          <t>A 44861-2025</t>
        </is>
      </c>
      <c r="B546" s="1" t="n">
        <v>45918.45793981481</v>
      </c>
      <c r="C546" s="1" t="n">
        <v>46078</v>
      </c>
      <c r="D546" t="inlineStr">
        <is>
          <t>KALMAR LÄN</t>
        </is>
      </c>
      <c r="E546" t="inlineStr">
        <is>
          <t>VÄSTERVIK</t>
        </is>
      </c>
      <c r="G546" t="n">
        <v>1.3</v>
      </c>
      <c r="H546" t="n">
        <v>0</v>
      </c>
      <c r="I546" t="n">
        <v>0</v>
      </c>
      <c r="J546" t="n">
        <v>0</v>
      </c>
      <c r="K546" t="n">
        <v>0</v>
      </c>
      <c r="L546" t="n">
        <v>0</v>
      </c>
      <c r="M546" t="n">
        <v>0</v>
      </c>
      <c r="N546" t="n">
        <v>0</v>
      </c>
      <c r="O546" t="n">
        <v>0</v>
      </c>
      <c r="P546" t="n">
        <v>0</v>
      </c>
      <c r="Q546" t="n">
        <v>0</v>
      </c>
      <c r="R546" s="2" t="inlineStr"/>
      <c r="U546">
        <f>HYPERLINK("https://klasma.github.io/Logging_0883/knärot/A 44861-2025 karta knärot.png", "A 44861-2025")</f>
        <v/>
      </c>
      <c r="V546">
        <f>HYPERLINK("https://klasma.github.io/Logging_0883/klagomål/A 44861-2025 FSC-klagomål.docx", "A 44861-2025")</f>
        <v/>
      </c>
      <c r="W546">
        <f>HYPERLINK("https://klasma.github.io/Logging_0883/klagomålsmail/A 44861-2025 FSC-klagomål mail.docx", "A 44861-2025")</f>
        <v/>
      </c>
      <c r="X546">
        <f>HYPERLINK("https://klasma.github.io/Logging_0883/tillsyn/A 44861-2025 tillsynsbegäran.docx", "A 44861-2025")</f>
        <v/>
      </c>
      <c r="Y546">
        <f>HYPERLINK("https://klasma.github.io/Logging_0883/tillsynsmail/A 44861-2025 tillsynsbegäran mail.docx", "A 44861-2025")</f>
        <v/>
      </c>
    </row>
    <row r="547" ht="15" customHeight="1">
      <c r="A547" t="inlineStr">
        <is>
          <t>A 44792-2025</t>
        </is>
      </c>
      <c r="B547" s="1" t="n">
        <v>45918.31287037037</v>
      </c>
      <c r="C547" s="1" t="n">
        <v>46078</v>
      </c>
      <c r="D547" t="inlineStr">
        <is>
          <t>KALMAR LÄN</t>
        </is>
      </c>
      <c r="E547" t="inlineStr">
        <is>
          <t>VÄSTERVIK</t>
        </is>
      </c>
      <c r="G547" t="n">
        <v>3.9</v>
      </c>
      <c r="H547" t="n">
        <v>0</v>
      </c>
      <c r="I547" t="n">
        <v>0</v>
      </c>
      <c r="J547" t="n">
        <v>0</v>
      </c>
      <c r="K547" t="n">
        <v>0</v>
      </c>
      <c r="L547" t="n">
        <v>0</v>
      </c>
      <c r="M547" t="n">
        <v>0</v>
      </c>
      <c r="N547" t="n">
        <v>0</v>
      </c>
      <c r="O547" t="n">
        <v>0</v>
      </c>
      <c r="P547" t="n">
        <v>0</v>
      </c>
      <c r="Q547" t="n">
        <v>0</v>
      </c>
      <c r="R547" s="2" t="inlineStr"/>
    </row>
    <row r="548" ht="15" customHeight="1">
      <c r="A548" t="inlineStr">
        <is>
          <t>A 44849-2025</t>
        </is>
      </c>
      <c r="B548" s="1" t="n">
        <v>45918.44545138889</v>
      </c>
      <c r="C548" s="1" t="n">
        <v>46078</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35655-2023</t>
        </is>
      </c>
      <c r="B549" s="1" t="n">
        <v>45147.59408564815</v>
      </c>
      <c r="C549" s="1" t="n">
        <v>46078</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44981-2025</t>
        </is>
      </c>
      <c r="B550" s="1" t="n">
        <v>45918.64869212963</v>
      </c>
      <c r="C550" s="1" t="n">
        <v>46078</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10778-2025</t>
        </is>
      </c>
      <c r="B551" s="1" t="n">
        <v>45722</v>
      </c>
      <c r="C551" s="1" t="n">
        <v>46078</v>
      </c>
      <c r="D551" t="inlineStr">
        <is>
          <t>KALMAR LÄN</t>
        </is>
      </c>
      <c r="E551" t="inlineStr">
        <is>
          <t>VÄSTERVIK</t>
        </is>
      </c>
      <c r="G551" t="n">
        <v>0.6</v>
      </c>
      <c r="H551" t="n">
        <v>0</v>
      </c>
      <c r="I551" t="n">
        <v>0</v>
      </c>
      <c r="J551" t="n">
        <v>0</v>
      </c>
      <c r="K551" t="n">
        <v>0</v>
      </c>
      <c r="L551" t="n">
        <v>0</v>
      </c>
      <c r="M551" t="n">
        <v>0</v>
      </c>
      <c r="N551" t="n">
        <v>0</v>
      </c>
      <c r="O551" t="n">
        <v>0</v>
      </c>
      <c r="P551" t="n">
        <v>0</v>
      </c>
      <c r="Q551" t="n">
        <v>0</v>
      </c>
      <c r="R551" s="2" t="inlineStr"/>
    </row>
    <row r="552" ht="15" customHeight="1">
      <c r="A552" t="inlineStr">
        <is>
          <t>A 26633-2025</t>
        </is>
      </c>
      <c r="B552" s="1" t="n">
        <v>45810.35262731482</v>
      </c>
      <c r="C552" s="1" t="n">
        <v>46078</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45877-2025</t>
        </is>
      </c>
      <c r="B553" s="1" t="n">
        <v>45923.65804398148</v>
      </c>
      <c r="C553" s="1" t="n">
        <v>46078</v>
      </c>
      <c r="D553" t="inlineStr">
        <is>
          <t>KALMAR LÄN</t>
        </is>
      </c>
      <c r="E553" t="inlineStr">
        <is>
          <t>VÄSTERVIK</t>
        </is>
      </c>
      <c r="G553" t="n">
        <v>5.6</v>
      </c>
      <c r="H553" t="n">
        <v>0</v>
      </c>
      <c r="I553" t="n">
        <v>0</v>
      </c>
      <c r="J553" t="n">
        <v>0</v>
      </c>
      <c r="K553" t="n">
        <v>0</v>
      </c>
      <c r="L553" t="n">
        <v>0</v>
      </c>
      <c r="M553" t="n">
        <v>0</v>
      </c>
      <c r="N553" t="n">
        <v>0</v>
      </c>
      <c r="O553" t="n">
        <v>0</v>
      </c>
      <c r="P553" t="n">
        <v>0</v>
      </c>
      <c r="Q553" t="n">
        <v>0</v>
      </c>
      <c r="R553" s="2" t="inlineStr"/>
    </row>
    <row r="554" ht="15" customHeight="1">
      <c r="A554" t="inlineStr">
        <is>
          <t>A 8597-2023</t>
        </is>
      </c>
      <c r="B554" s="1" t="n">
        <v>44977</v>
      </c>
      <c r="C554" s="1" t="n">
        <v>46078</v>
      </c>
      <c r="D554" t="inlineStr">
        <is>
          <t>KALMAR LÄN</t>
        </is>
      </c>
      <c r="E554" t="inlineStr">
        <is>
          <t>VÄSTERVIK</t>
        </is>
      </c>
      <c r="G554" t="n">
        <v>0.2</v>
      </c>
      <c r="H554" t="n">
        <v>0</v>
      </c>
      <c r="I554" t="n">
        <v>0</v>
      </c>
      <c r="J554" t="n">
        <v>0</v>
      </c>
      <c r="K554" t="n">
        <v>0</v>
      </c>
      <c r="L554" t="n">
        <v>0</v>
      </c>
      <c r="M554" t="n">
        <v>0</v>
      </c>
      <c r="N554" t="n">
        <v>0</v>
      </c>
      <c r="O554" t="n">
        <v>0</v>
      </c>
      <c r="P554" t="n">
        <v>0</v>
      </c>
      <c r="Q554" t="n">
        <v>0</v>
      </c>
      <c r="R554" s="2" t="inlineStr"/>
    </row>
    <row r="555" ht="15" customHeight="1">
      <c r="A555" t="inlineStr">
        <is>
          <t>A 10725-2023</t>
        </is>
      </c>
      <c r="B555" s="1" t="n">
        <v>44988.66966435185</v>
      </c>
      <c r="C555" s="1" t="n">
        <v>46078</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27446-2025</t>
        </is>
      </c>
      <c r="B556" s="1" t="n">
        <v>45813.32667824074</v>
      </c>
      <c r="C556" s="1" t="n">
        <v>46078</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45463-2024</t>
        </is>
      </c>
      <c r="B557" s="1" t="n">
        <v>45576.69753472223</v>
      </c>
      <c r="C557" s="1" t="n">
        <v>46078</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46158-2025</t>
        </is>
      </c>
      <c r="B558" s="1" t="n">
        <v>45924.63511574074</v>
      </c>
      <c r="C558" s="1" t="n">
        <v>46078</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46161-2025</t>
        </is>
      </c>
      <c r="B559" s="1" t="n">
        <v>45924.63733796297</v>
      </c>
      <c r="C559" s="1" t="n">
        <v>46078</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24562-2024</t>
        </is>
      </c>
      <c r="B560" s="1" t="n">
        <v>45460</v>
      </c>
      <c r="C560" s="1" t="n">
        <v>46078</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24578-2024</t>
        </is>
      </c>
      <c r="B561" s="1" t="n">
        <v>45460</v>
      </c>
      <c r="C561" s="1" t="n">
        <v>46078</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27980-2025</t>
        </is>
      </c>
      <c r="B562" s="1" t="n">
        <v>45817.57395833333</v>
      </c>
      <c r="C562" s="1" t="n">
        <v>46078</v>
      </c>
      <c r="D562" t="inlineStr">
        <is>
          <t>KALMAR LÄN</t>
        </is>
      </c>
      <c r="E562" t="inlineStr">
        <is>
          <t>VÄSTERVIK</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55042-2024</t>
        </is>
      </c>
      <c r="B563" s="1" t="n">
        <v>45621.39081018518</v>
      </c>
      <c r="C563" s="1" t="n">
        <v>46078</v>
      </c>
      <c r="D563" t="inlineStr">
        <is>
          <t>KALMAR LÄN</t>
        </is>
      </c>
      <c r="E563" t="inlineStr">
        <is>
          <t>VÄSTERVIK</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27974-2025</t>
        </is>
      </c>
      <c r="B564" s="1" t="n">
        <v>45817.56891203704</v>
      </c>
      <c r="C564" s="1" t="n">
        <v>46078</v>
      </c>
      <c r="D564" t="inlineStr">
        <is>
          <t>KALMAR LÄN</t>
        </is>
      </c>
      <c r="E564" t="inlineStr">
        <is>
          <t>VÄSTERVIK</t>
        </is>
      </c>
      <c r="F564" t="inlineStr">
        <is>
          <t>Sveaskog</t>
        </is>
      </c>
      <c r="G564" t="n">
        <v>5</v>
      </c>
      <c r="H564" t="n">
        <v>0</v>
      </c>
      <c r="I564" t="n">
        <v>0</v>
      </c>
      <c r="J564" t="n">
        <v>0</v>
      </c>
      <c r="K564" t="n">
        <v>0</v>
      </c>
      <c r="L564" t="n">
        <v>0</v>
      </c>
      <c r="M564" t="n">
        <v>0</v>
      </c>
      <c r="N564" t="n">
        <v>0</v>
      </c>
      <c r="O564" t="n">
        <v>0</v>
      </c>
      <c r="P564" t="n">
        <v>0</v>
      </c>
      <c r="Q564" t="n">
        <v>0</v>
      </c>
      <c r="R564" s="2" t="inlineStr"/>
    </row>
    <row r="565" ht="15" customHeight="1">
      <c r="A565" t="inlineStr">
        <is>
          <t>A 27978-2025</t>
        </is>
      </c>
      <c r="B565" s="1" t="n">
        <v>45817.57153935185</v>
      </c>
      <c r="C565" s="1" t="n">
        <v>46078</v>
      </c>
      <c r="D565" t="inlineStr">
        <is>
          <t>KALMAR LÄN</t>
        </is>
      </c>
      <c r="E565" t="inlineStr">
        <is>
          <t>VÄSTERVIK</t>
        </is>
      </c>
      <c r="F565" t="inlineStr">
        <is>
          <t>Sveaskog</t>
        </is>
      </c>
      <c r="G565" t="n">
        <v>10.8</v>
      </c>
      <c r="H565" t="n">
        <v>0</v>
      </c>
      <c r="I565" t="n">
        <v>0</v>
      </c>
      <c r="J565" t="n">
        <v>0</v>
      </c>
      <c r="K565" t="n">
        <v>0</v>
      </c>
      <c r="L565" t="n">
        <v>0</v>
      </c>
      <c r="M565" t="n">
        <v>0</v>
      </c>
      <c r="N565" t="n">
        <v>0</v>
      </c>
      <c r="O565" t="n">
        <v>0</v>
      </c>
      <c r="P565" t="n">
        <v>0</v>
      </c>
      <c r="Q565" t="n">
        <v>0</v>
      </c>
      <c r="R565" s="2" t="inlineStr"/>
    </row>
    <row r="566" ht="15" customHeight="1">
      <c r="A566" t="inlineStr">
        <is>
          <t>A 49648-2025</t>
        </is>
      </c>
      <c r="B566" s="1" t="n">
        <v>45939.62111111111</v>
      </c>
      <c r="C566" s="1" t="n">
        <v>46078</v>
      </c>
      <c r="D566" t="inlineStr">
        <is>
          <t>KALMAR LÄN</t>
        </is>
      </c>
      <c r="E566" t="inlineStr">
        <is>
          <t>VÄSTERVIK</t>
        </is>
      </c>
      <c r="F566" t="inlineStr">
        <is>
          <t>Holmen skog AB</t>
        </is>
      </c>
      <c r="G566" t="n">
        <v>7.2</v>
      </c>
      <c r="H566" t="n">
        <v>0</v>
      </c>
      <c r="I566" t="n">
        <v>0</v>
      </c>
      <c r="J566" t="n">
        <v>0</v>
      </c>
      <c r="K566" t="n">
        <v>0</v>
      </c>
      <c r="L566" t="n">
        <v>0</v>
      </c>
      <c r="M566" t="n">
        <v>0</v>
      </c>
      <c r="N566" t="n">
        <v>0</v>
      </c>
      <c r="O566" t="n">
        <v>0</v>
      </c>
      <c r="P566" t="n">
        <v>0</v>
      </c>
      <c r="Q566" t="n">
        <v>0</v>
      </c>
      <c r="R566" s="2" t="inlineStr"/>
    </row>
    <row r="567" ht="15" customHeight="1">
      <c r="A567" t="inlineStr">
        <is>
          <t>A 28203-2025</t>
        </is>
      </c>
      <c r="B567" s="1" t="n">
        <v>45818.44662037037</v>
      </c>
      <c r="C567" s="1" t="n">
        <v>46078</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28096-2025</t>
        </is>
      </c>
      <c r="B568" s="1" t="n">
        <v>45817.81831018518</v>
      </c>
      <c r="C568" s="1" t="n">
        <v>46078</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19694-2025</t>
        </is>
      </c>
      <c r="B569" s="1" t="n">
        <v>45771.30550925926</v>
      </c>
      <c r="C569" s="1" t="n">
        <v>46078</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58217-2022</t>
        </is>
      </c>
      <c r="B570" s="1" t="n">
        <v>44901.36453703704</v>
      </c>
      <c r="C570" s="1" t="n">
        <v>46078</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49539-2025</t>
        </is>
      </c>
      <c r="B571" s="1" t="n">
        <v>45939.42453703703</v>
      </c>
      <c r="C571" s="1" t="n">
        <v>46078</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28696-2025</t>
        </is>
      </c>
      <c r="B572" s="1" t="n">
        <v>45819.91342592592</v>
      </c>
      <c r="C572" s="1" t="n">
        <v>46078</v>
      </c>
      <c r="D572" t="inlineStr">
        <is>
          <t>KALMAR LÄN</t>
        </is>
      </c>
      <c r="E572" t="inlineStr">
        <is>
          <t>VÄSTERVIK</t>
        </is>
      </c>
      <c r="G572" t="n">
        <v>2.8</v>
      </c>
      <c r="H572" t="n">
        <v>0</v>
      </c>
      <c r="I572" t="n">
        <v>0</v>
      </c>
      <c r="J572" t="n">
        <v>0</v>
      </c>
      <c r="K572" t="n">
        <v>0</v>
      </c>
      <c r="L572" t="n">
        <v>0</v>
      </c>
      <c r="M572" t="n">
        <v>0</v>
      </c>
      <c r="N572" t="n">
        <v>0</v>
      </c>
      <c r="O572" t="n">
        <v>0</v>
      </c>
      <c r="P572" t="n">
        <v>0</v>
      </c>
      <c r="Q572" t="n">
        <v>0</v>
      </c>
      <c r="R572" s="2" t="inlineStr"/>
    </row>
    <row r="573" ht="15" customHeight="1">
      <c r="A573" t="inlineStr">
        <is>
          <t>A 49542-2025</t>
        </is>
      </c>
      <c r="B573" s="1" t="n">
        <v>45939.4284837963</v>
      </c>
      <c r="C573" s="1" t="n">
        <v>46078</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47775-2025</t>
        </is>
      </c>
      <c r="B574" s="1" t="n">
        <v>45931.72548611111</v>
      </c>
      <c r="C574" s="1" t="n">
        <v>46078</v>
      </c>
      <c r="D574" t="inlineStr">
        <is>
          <t>KALMAR LÄN</t>
        </is>
      </c>
      <c r="E574" t="inlineStr">
        <is>
          <t>VÄSTERVIK</t>
        </is>
      </c>
      <c r="G574" t="n">
        <v>4.2</v>
      </c>
      <c r="H574" t="n">
        <v>0</v>
      </c>
      <c r="I574" t="n">
        <v>0</v>
      </c>
      <c r="J574" t="n">
        <v>0</v>
      </c>
      <c r="K574" t="n">
        <v>0</v>
      </c>
      <c r="L574" t="n">
        <v>0</v>
      </c>
      <c r="M574" t="n">
        <v>0</v>
      </c>
      <c r="N574" t="n">
        <v>0</v>
      </c>
      <c r="O574" t="n">
        <v>0</v>
      </c>
      <c r="P574" t="n">
        <v>0</v>
      </c>
      <c r="Q574" t="n">
        <v>0</v>
      </c>
      <c r="R574" s="2" t="inlineStr"/>
    </row>
    <row r="575" ht="15" customHeight="1">
      <c r="A575" t="inlineStr">
        <is>
          <t>A 48881-2025</t>
        </is>
      </c>
      <c r="B575" s="1" t="n">
        <v>45937.46157407408</v>
      </c>
      <c r="C575" s="1" t="n">
        <v>46078</v>
      </c>
      <c r="D575" t="inlineStr">
        <is>
          <t>KALMAR LÄN</t>
        </is>
      </c>
      <c r="E575" t="inlineStr">
        <is>
          <t>VÄSTERVIK</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47776-2025</t>
        </is>
      </c>
      <c r="B576" s="1" t="n">
        <v>45931.7262962963</v>
      </c>
      <c r="C576" s="1" t="n">
        <v>46078</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47777-2025</t>
        </is>
      </c>
      <c r="B577" s="1" t="n">
        <v>45931.72782407407</v>
      </c>
      <c r="C577" s="1" t="n">
        <v>46078</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29678-2025</t>
        </is>
      </c>
      <c r="B578" s="1" t="n">
        <v>45825.50804398148</v>
      </c>
      <c r="C578" s="1" t="n">
        <v>46078</v>
      </c>
      <c r="D578" t="inlineStr">
        <is>
          <t>KALMAR LÄN</t>
        </is>
      </c>
      <c r="E578" t="inlineStr">
        <is>
          <t>VÄSTERVIK</t>
        </is>
      </c>
      <c r="G578" t="n">
        <v>1.6</v>
      </c>
      <c r="H578" t="n">
        <v>0</v>
      </c>
      <c r="I578" t="n">
        <v>0</v>
      </c>
      <c r="J578" t="n">
        <v>0</v>
      </c>
      <c r="K578" t="n">
        <v>0</v>
      </c>
      <c r="L578" t="n">
        <v>0</v>
      </c>
      <c r="M578" t="n">
        <v>0</v>
      </c>
      <c r="N578" t="n">
        <v>0</v>
      </c>
      <c r="O578" t="n">
        <v>0</v>
      </c>
      <c r="P578" t="n">
        <v>0</v>
      </c>
      <c r="Q578" t="n">
        <v>0</v>
      </c>
      <c r="R578" s="2" t="inlineStr"/>
    </row>
    <row r="579" ht="15" customHeight="1">
      <c r="A579" t="inlineStr">
        <is>
          <t>A 1787-2025</t>
        </is>
      </c>
      <c r="B579" s="1" t="n">
        <v>45671.45357638889</v>
      </c>
      <c r="C579" s="1" t="n">
        <v>46078</v>
      </c>
      <c r="D579" t="inlineStr">
        <is>
          <t>KALMAR LÄN</t>
        </is>
      </c>
      <c r="E579" t="inlineStr">
        <is>
          <t>VÄSTERVIK</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29784-2024</t>
        </is>
      </c>
      <c r="B580" s="1" t="n">
        <v>45485.46129629629</v>
      </c>
      <c r="C580" s="1" t="n">
        <v>46078</v>
      </c>
      <c r="D580" t="inlineStr">
        <is>
          <t>KALMAR LÄN</t>
        </is>
      </c>
      <c r="E580" t="inlineStr">
        <is>
          <t>VÄSTERVIK</t>
        </is>
      </c>
      <c r="G580" t="n">
        <v>1.8</v>
      </c>
      <c r="H580" t="n">
        <v>0</v>
      </c>
      <c r="I580" t="n">
        <v>0</v>
      </c>
      <c r="J580" t="n">
        <v>0</v>
      </c>
      <c r="K580" t="n">
        <v>0</v>
      </c>
      <c r="L580" t="n">
        <v>0</v>
      </c>
      <c r="M580" t="n">
        <v>0</v>
      </c>
      <c r="N580" t="n">
        <v>0</v>
      </c>
      <c r="O580" t="n">
        <v>0</v>
      </c>
      <c r="P580" t="n">
        <v>0</v>
      </c>
      <c r="Q580" t="n">
        <v>0</v>
      </c>
      <c r="R580" s="2" t="inlineStr"/>
    </row>
    <row r="581" ht="15" customHeight="1">
      <c r="A581" t="inlineStr">
        <is>
          <t>A 54784-2023</t>
        </is>
      </c>
      <c r="B581" s="1" t="n">
        <v>45236.4803587963</v>
      </c>
      <c r="C581" s="1" t="n">
        <v>46078</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11856-2024</t>
        </is>
      </c>
      <c r="B582" s="1" t="n">
        <v>45376.43302083333</v>
      </c>
      <c r="C582" s="1" t="n">
        <v>46078</v>
      </c>
      <c r="D582" t="inlineStr">
        <is>
          <t>KALMAR LÄN</t>
        </is>
      </c>
      <c r="E582" t="inlineStr">
        <is>
          <t>VÄSTERVIK</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55866-2023</t>
        </is>
      </c>
      <c r="B583" s="1" t="n">
        <v>45239</v>
      </c>
      <c r="C583" s="1" t="n">
        <v>46078</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58707-2022</t>
        </is>
      </c>
      <c r="B584" s="1" t="n">
        <v>44902.80462962963</v>
      </c>
      <c r="C584" s="1" t="n">
        <v>46078</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37858-2023</t>
        </is>
      </c>
      <c r="B585" s="1" t="n">
        <v>45160.40577546296</v>
      </c>
      <c r="C585" s="1" t="n">
        <v>46078</v>
      </c>
      <c r="D585" t="inlineStr">
        <is>
          <t>KALMAR LÄN</t>
        </is>
      </c>
      <c r="E585" t="inlineStr">
        <is>
          <t>VÄSTERVIK</t>
        </is>
      </c>
      <c r="G585" t="n">
        <v>3</v>
      </c>
      <c r="H585" t="n">
        <v>0</v>
      </c>
      <c r="I585" t="n">
        <v>0</v>
      </c>
      <c r="J585" t="n">
        <v>0</v>
      </c>
      <c r="K585" t="n">
        <v>0</v>
      </c>
      <c r="L585" t="n">
        <v>0</v>
      </c>
      <c r="M585" t="n">
        <v>0</v>
      </c>
      <c r="N585" t="n">
        <v>0</v>
      </c>
      <c r="O585" t="n">
        <v>0</v>
      </c>
      <c r="P585" t="n">
        <v>0</v>
      </c>
      <c r="Q585" t="n">
        <v>0</v>
      </c>
      <c r="R585" s="2" t="inlineStr"/>
    </row>
    <row r="586" ht="15" customHeight="1">
      <c r="A586" t="inlineStr">
        <is>
          <t>A 35667-2023</t>
        </is>
      </c>
      <c r="B586" s="1" t="n">
        <v>45147.60667824074</v>
      </c>
      <c r="C586" s="1" t="n">
        <v>46078</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3041-2025</t>
        </is>
      </c>
      <c r="B587" s="1" t="n">
        <v>45678.60493055556</v>
      </c>
      <c r="C587" s="1" t="n">
        <v>46078</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c r="U587">
        <f>HYPERLINK("https://klasma.github.io/Logging_0883/knärot/A 3041-2025 karta knärot.png", "A 3041-2025")</f>
        <v/>
      </c>
      <c r="V587">
        <f>HYPERLINK("https://klasma.github.io/Logging_0883/klagomål/A 3041-2025 FSC-klagomål.docx", "A 3041-2025")</f>
        <v/>
      </c>
      <c r="W587">
        <f>HYPERLINK("https://klasma.github.io/Logging_0883/klagomålsmail/A 3041-2025 FSC-klagomål mail.docx", "A 3041-2025")</f>
        <v/>
      </c>
      <c r="X587">
        <f>HYPERLINK("https://klasma.github.io/Logging_0883/tillsyn/A 3041-2025 tillsynsbegäran.docx", "A 3041-2025")</f>
        <v/>
      </c>
      <c r="Y587">
        <f>HYPERLINK("https://klasma.github.io/Logging_0883/tillsynsmail/A 3041-2025 tillsynsbegäran mail.docx", "A 3041-2025")</f>
        <v/>
      </c>
    </row>
    <row r="588" ht="15" customHeight="1">
      <c r="A588" t="inlineStr">
        <is>
          <t>A 30648-2025</t>
        </is>
      </c>
      <c r="B588" s="1" t="n">
        <v>45831</v>
      </c>
      <c r="C588" s="1" t="n">
        <v>46078</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52845-2023</t>
        </is>
      </c>
      <c r="B589" s="1" t="n">
        <v>45226.43667824074</v>
      </c>
      <c r="C589" s="1" t="n">
        <v>46078</v>
      </c>
      <c r="D589" t="inlineStr">
        <is>
          <t>KALMAR LÄN</t>
        </is>
      </c>
      <c r="E589" t="inlineStr">
        <is>
          <t>VÄSTERVIK</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30644-2025</t>
        </is>
      </c>
      <c r="B590" s="1" t="n">
        <v>45831</v>
      </c>
      <c r="C590" s="1" t="n">
        <v>46078</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row>
    <row r="591" ht="15" customHeight="1">
      <c r="A591" t="inlineStr">
        <is>
          <t>A 30800-2025</t>
        </is>
      </c>
      <c r="B591" s="1" t="n">
        <v>45831.65177083333</v>
      </c>
      <c r="C591" s="1" t="n">
        <v>46078</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30690-2025</t>
        </is>
      </c>
      <c r="B592" s="1" t="n">
        <v>45831.53775462963</v>
      </c>
      <c r="C592" s="1" t="n">
        <v>46078</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30789-2025</t>
        </is>
      </c>
      <c r="B593" s="1" t="n">
        <v>45831.63174768518</v>
      </c>
      <c r="C593" s="1" t="n">
        <v>46078</v>
      </c>
      <c r="D593" t="inlineStr">
        <is>
          <t>KALMAR LÄN</t>
        </is>
      </c>
      <c r="E593" t="inlineStr">
        <is>
          <t>VÄSTERVIK</t>
        </is>
      </c>
      <c r="G593" t="n">
        <v>7</v>
      </c>
      <c r="H593" t="n">
        <v>0</v>
      </c>
      <c r="I593" t="n">
        <v>0</v>
      </c>
      <c r="J593" t="n">
        <v>0</v>
      </c>
      <c r="K593" t="n">
        <v>0</v>
      </c>
      <c r="L593" t="n">
        <v>0</v>
      </c>
      <c r="M593" t="n">
        <v>0</v>
      </c>
      <c r="N593" t="n">
        <v>0</v>
      </c>
      <c r="O593" t="n">
        <v>0</v>
      </c>
      <c r="P593" t="n">
        <v>0</v>
      </c>
      <c r="Q593" t="n">
        <v>0</v>
      </c>
      <c r="R593" s="2" t="inlineStr"/>
    </row>
    <row r="594" ht="15" customHeight="1">
      <c r="A594" t="inlineStr">
        <is>
          <t>A 30811-2025</t>
        </is>
      </c>
      <c r="B594" s="1" t="n">
        <v>45831.65712962963</v>
      </c>
      <c r="C594" s="1" t="n">
        <v>46078</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2360-2025</t>
        </is>
      </c>
      <c r="B595" s="1" t="n">
        <v>45673.69037037037</v>
      </c>
      <c r="C595" s="1" t="n">
        <v>46078</v>
      </c>
      <c r="D595" t="inlineStr">
        <is>
          <t>KALMAR LÄN</t>
        </is>
      </c>
      <c r="E595" t="inlineStr">
        <is>
          <t>VÄSTERVIK</t>
        </is>
      </c>
      <c r="G595" t="n">
        <v>3</v>
      </c>
      <c r="H595" t="n">
        <v>0</v>
      </c>
      <c r="I595" t="n">
        <v>0</v>
      </c>
      <c r="J595" t="n">
        <v>0</v>
      </c>
      <c r="K595" t="n">
        <v>0</v>
      </c>
      <c r="L595" t="n">
        <v>0</v>
      </c>
      <c r="M595" t="n">
        <v>0</v>
      </c>
      <c r="N595" t="n">
        <v>0</v>
      </c>
      <c r="O595" t="n">
        <v>0</v>
      </c>
      <c r="P595" t="n">
        <v>0</v>
      </c>
      <c r="Q595" t="n">
        <v>0</v>
      </c>
      <c r="R595" s="2" t="inlineStr"/>
    </row>
    <row r="596" ht="15" customHeight="1">
      <c r="A596" t="inlineStr">
        <is>
          <t>A 46088-2023</t>
        </is>
      </c>
      <c r="B596" s="1" t="n">
        <v>45196.50065972222</v>
      </c>
      <c r="C596" s="1" t="n">
        <v>46078</v>
      </c>
      <c r="D596" t="inlineStr">
        <is>
          <t>KALMAR LÄN</t>
        </is>
      </c>
      <c r="E596" t="inlineStr">
        <is>
          <t>VÄSTERVIK</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31576-2025</t>
        </is>
      </c>
      <c r="B597" s="1" t="n">
        <v>45833.67266203704</v>
      </c>
      <c r="C597" s="1" t="n">
        <v>46078</v>
      </c>
      <c r="D597" t="inlineStr">
        <is>
          <t>KALMAR LÄN</t>
        </is>
      </c>
      <c r="E597" t="inlineStr">
        <is>
          <t>VÄSTERVIK</t>
        </is>
      </c>
      <c r="F597" t="inlineStr">
        <is>
          <t>Holmen skog AB</t>
        </is>
      </c>
      <c r="G597" t="n">
        <v>3.5</v>
      </c>
      <c r="H597" t="n">
        <v>0</v>
      </c>
      <c r="I597" t="n">
        <v>0</v>
      </c>
      <c r="J597" t="n">
        <v>0</v>
      </c>
      <c r="K597" t="n">
        <v>0</v>
      </c>
      <c r="L597" t="n">
        <v>0</v>
      </c>
      <c r="M597" t="n">
        <v>0</v>
      </c>
      <c r="N597" t="n">
        <v>0</v>
      </c>
      <c r="O597" t="n">
        <v>0</v>
      </c>
      <c r="P597" t="n">
        <v>0</v>
      </c>
      <c r="Q597" t="n">
        <v>0</v>
      </c>
      <c r="R597" s="2" t="inlineStr"/>
    </row>
    <row r="598" ht="15" customHeight="1">
      <c r="A598" t="inlineStr">
        <is>
          <t>A 31600-2025</t>
        </is>
      </c>
      <c r="B598" s="1" t="n">
        <v>45833.72505787037</v>
      </c>
      <c r="C598" s="1" t="n">
        <v>46078</v>
      </c>
      <c r="D598" t="inlineStr">
        <is>
          <t>KALMAR LÄN</t>
        </is>
      </c>
      <c r="E598" t="inlineStr">
        <is>
          <t>VÄSTERVIK</t>
        </is>
      </c>
      <c r="F598" t="inlineStr">
        <is>
          <t>Holmen skog AB</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31419-2025</t>
        </is>
      </c>
      <c r="B599" s="1" t="n">
        <v>45833.48370370371</v>
      </c>
      <c r="C599" s="1" t="n">
        <v>46078</v>
      </c>
      <c r="D599" t="inlineStr">
        <is>
          <t>KALMAR LÄN</t>
        </is>
      </c>
      <c r="E599" t="inlineStr">
        <is>
          <t>VÄSTERVIK</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7165-2025</t>
        </is>
      </c>
      <c r="B600" s="1" t="n">
        <v>45702.39491898148</v>
      </c>
      <c r="C600" s="1" t="n">
        <v>46078</v>
      </c>
      <c r="D600" t="inlineStr">
        <is>
          <t>KALMAR LÄN</t>
        </is>
      </c>
      <c r="E600" t="inlineStr">
        <is>
          <t>VÄSTERVIK</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50651-2025</t>
        </is>
      </c>
      <c r="B601" s="1" t="n">
        <v>45945.66497685185</v>
      </c>
      <c r="C601" s="1" t="n">
        <v>46078</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31886-2025</t>
        </is>
      </c>
      <c r="B602" s="1" t="n">
        <v>45834.65864583333</v>
      </c>
      <c r="C602" s="1" t="n">
        <v>46078</v>
      </c>
      <c r="D602" t="inlineStr">
        <is>
          <t>KALMAR LÄN</t>
        </is>
      </c>
      <c r="E602" t="inlineStr">
        <is>
          <t>VÄSTERVIK</t>
        </is>
      </c>
      <c r="F602" t="inlineStr">
        <is>
          <t>Holmen skog AB</t>
        </is>
      </c>
      <c r="G602" t="n">
        <v>4.1</v>
      </c>
      <c r="H602" t="n">
        <v>0</v>
      </c>
      <c r="I602" t="n">
        <v>0</v>
      </c>
      <c r="J602" t="n">
        <v>0</v>
      </c>
      <c r="K602" t="n">
        <v>0</v>
      </c>
      <c r="L602" t="n">
        <v>0</v>
      </c>
      <c r="M602" t="n">
        <v>0</v>
      </c>
      <c r="N602" t="n">
        <v>0</v>
      </c>
      <c r="O602" t="n">
        <v>0</v>
      </c>
      <c r="P602" t="n">
        <v>0</v>
      </c>
      <c r="Q602" t="n">
        <v>0</v>
      </c>
      <c r="R602" s="2" t="inlineStr"/>
    </row>
    <row r="603" ht="15" customHeight="1">
      <c r="A603" t="inlineStr">
        <is>
          <t>A 23706-2025</t>
        </is>
      </c>
      <c r="B603" s="1" t="n">
        <v>45793.36922453704</v>
      </c>
      <c r="C603" s="1" t="n">
        <v>46078</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31843-2025</t>
        </is>
      </c>
      <c r="B604" s="1" t="n">
        <v>45834.5984375</v>
      </c>
      <c r="C604" s="1" t="n">
        <v>46078</v>
      </c>
      <c r="D604" t="inlineStr">
        <is>
          <t>KALMAR LÄN</t>
        </is>
      </c>
      <c r="E604" t="inlineStr">
        <is>
          <t>VÄSTERVIK</t>
        </is>
      </c>
      <c r="F604" t="inlineStr">
        <is>
          <t>Holmen skog AB</t>
        </is>
      </c>
      <c r="G604" t="n">
        <v>4.5</v>
      </c>
      <c r="H604" t="n">
        <v>0</v>
      </c>
      <c r="I604" t="n">
        <v>0</v>
      </c>
      <c r="J604" t="n">
        <v>0</v>
      </c>
      <c r="K604" t="n">
        <v>0</v>
      </c>
      <c r="L604" t="n">
        <v>0</v>
      </c>
      <c r="M604" t="n">
        <v>0</v>
      </c>
      <c r="N604" t="n">
        <v>0</v>
      </c>
      <c r="O604" t="n">
        <v>0</v>
      </c>
      <c r="P604" t="n">
        <v>0</v>
      </c>
      <c r="Q604" t="n">
        <v>0</v>
      </c>
      <c r="R604" s="2" t="inlineStr"/>
    </row>
    <row r="605" ht="15" customHeight="1">
      <c r="A605" t="inlineStr">
        <is>
          <t>A 31826-2025</t>
        </is>
      </c>
      <c r="B605" s="1" t="n">
        <v>45834.58306712963</v>
      </c>
      <c r="C605" s="1" t="n">
        <v>46078</v>
      </c>
      <c r="D605" t="inlineStr">
        <is>
          <t>KALMAR LÄN</t>
        </is>
      </c>
      <c r="E605" t="inlineStr">
        <is>
          <t>VÄSTERVIK</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23080-2023</t>
        </is>
      </c>
      <c r="B606" s="1" t="n">
        <v>45075</v>
      </c>
      <c r="C606" s="1" t="n">
        <v>46078</v>
      </c>
      <c r="D606" t="inlineStr">
        <is>
          <t>KALMAR LÄN</t>
        </is>
      </c>
      <c r="E606" t="inlineStr">
        <is>
          <t>VÄSTERVIK</t>
        </is>
      </c>
      <c r="G606" t="n">
        <v>0.6</v>
      </c>
      <c r="H606" t="n">
        <v>0</v>
      </c>
      <c r="I606" t="n">
        <v>0</v>
      </c>
      <c r="J606" t="n">
        <v>0</v>
      </c>
      <c r="K606" t="n">
        <v>0</v>
      </c>
      <c r="L606" t="n">
        <v>0</v>
      </c>
      <c r="M606" t="n">
        <v>0</v>
      </c>
      <c r="N606" t="n">
        <v>0</v>
      </c>
      <c r="O606" t="n">
        <v>0</v>
      </c>
      <c r="P606" t="n">
        <v>0</v>
      </c>
      <c r="Q606" t="n">
        <v>0</v>
      </c>
      <c r="R606" s="2" t="inlineStr"/>
    </row>
    <row r="607" ht="15" customHeight="1">
      <c r="A607" t="inlineStr">
        <is>
          <t>A 26140-2024</t>
        </is>
      </c>
      <c r="B607" s="1" t="n">
        <v>45468</v>
      </c>
      <c r="C607" s="1" t="n">
        <v>46078</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13275-2023</t>
        </is>
      </c>
      <c r="B608" s="1" t="n">
        <v>45003</v>
      </c>
      <c r="C608" s="1" t="n">
        <v>46078</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c r="U608">
        <f>HYPERLINK("https://klasma.github.io/Logging_0883/knärot/A 13275-2023 karta knärot.png", "A 13275-2023")</f>
        <v/>
      </c>
      <c r="V608">
        <f>HYPERLINK("https://klasma.github.io/Logging_0883/klagomål/A 13275-2023 FSC-klagomål.docx", "A 13275-2023")</f>
        <v/>
      </c>
      <c r="W608">
        <f>HYPERLINK("https://klasma.github.io/Logging_0883/klagomålsmail/A 13275-2023 FSC-klagomål mail.docx", "A 13275-2023")</f>
        <v/>
      </c>
      <c r="X608">
        <f>HYPERLINK("https://klasma.github.io/Logging_0883/tillsyn/A 13275-2023 tillsynsbegäran.docx", "A 13275-2023")</f>
        <v/>
      </c>
      <c r="Y608">
        <f>HYPERLINK("https://klasma.github.io/Logging_0883/tillsynsmail/A 13275-2023 tillsynsbegäran mail.docx", "A 13275-2023")</f>
        <v/>
      </c>
    </row>
    <row r="609" ht="15" customHeight="1">
      <c r="A609" t="inlineStr">
        <is>
          <t>A 18880-2025</t>
        </is>
      </c>
      <c r="B609" s="1" t="n">
        <v>45764.43959490741</v>
      </c>
      <c r="C609" s="1" t="n">
        <v>46078</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31857-2025</t>
        </is>
      </c>
      <c r="B610" s="1" t="n">
        <v>45834.62629629629</v>
      </c>
      <c r="C610" s="1" t="n">
        <v>46078</v>
      </c>
      <c r="D610" t="inlineStr">
        <is>
          <t>KALMAR LÄN</t>
        </is>
      </c>
      <c r="E610" t="inlineStr">
        <is>
          <t>VÄSTERVIK</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17648-2023</t>
        </is>
      </c>
      <c r="B611" s="1" t="n">
        <v>45036</v>
      </c>
      <c r="C611" s="1" t="n">
        <v>46078</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12595-2023</t>
        </is>
      </c>
      <c r="B612" s="1" t="n">
        <v>45000.43240740741</v>
      </c>
      <c r="C612" s="1" t="n">
        <v>46078</v>
      </c>
      <c r="D612" t="inlineStr">
        <is>
          <t>KALMAR LÄN</t>
        </is>
      </c>
      <c r="E612" t="inlineStr">
        <is>
          <t>VÄSTERVIK</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32018-2025</t>
        </is>
      </c>
      <c r="B613" s="1" t="n">
        <v>45835.40452546296</v>
      </c>
      <c r="C613" s="1" t="n">
        <v>46078</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50539-2025</t>
        </is>
      </c>
      <c r="B614" s="1" t="n">
        <v>45945.49340277778</v>
      </c>
      <c r="C614" s="1" t="n">
        <v>46078</v>
      </c>
      <c r="D614" t="inlineStr">
        <is>
          <t>KALMAR LÄN</t>
        </is>
      </c>
      <c r="E614" t="inlineStr">
        <is>
          <t>VÄSTERVIK</t>
        </is>
      </c>
      <c r="G614" t="n">
        <v>2.4</v>
      </c>
      <c r="H614" t="n">
        <v>0</v>
      </c>
      <c r="I614" t="n">
        <v>0</v>
      </c>
      <c r="J614" t="n">
        <v>0</v>
      </c>
      <c r="K614" t="n">
        <v>0</v>
      </c>
      <c r="L614" t="n">
        <v>0</v>
      </c>
      <c r="M614" t="n">
        <v>0</v>
      </c>
      <c r="N614" t="n">
        <v>0</v>
      </c>
      <c r="O614" t="n">
        <v>0</v>
      </c>
      <c r="P614" t="n">
        <v>0</v>
      </c>
      <c r="Q614" t="n">
        <v>0</v>
      </c>
      <c r="R614" s="2" t="inlineStr"/>
    </row>
    <row r="615" ht="15" customHeight="1">
      <c r="A615" t="inlineStr">
        <is>
          <t>A 40969-2025</t>
        </is>
      </c>
      <c r="B615" s="1" t="n">
        <v>45897</v>
      </c>
      <c r="C615" s="1" t="n">
        <v>46078</v>
      </c>
      <c r="D615" t="inlineStr">
        <is>
          <t>KALMAR LÄN</t>
        </is>
      </c>
      <c r="E615" t="inlineStr">
        <is>
          <t>VÄSTERVIK</t>
        </is>
      </c>
      <c r="G615" t="n">
        <v>2.5</v>
      </c>
      <c r="H615" t="n">
        <v>0</v>
      </c>
      <c r="I615" t="n">
        <v>0</v>
      </c>
      <c r="J615" t="n">
        <v>0</v>
      </c>
      <c r="K615" t="n">
        <v>0</v>
      </c>
      <c r="L615" t="n">
        <v>0</v>
      </c>
      <c r="M615" t="n">
        <v>0</v>
      </c>
      <c r="N615" t="n">
        <v>0</v>
      </c>
      <c r="O615" t="n">
        <v>0</v>
      </c>
      <c r="P615" t="n">
        <v>0</v>
      </c>
      <c r="Q615" t="n">
        <v>0</v>
      </c>
      <c r="R615" s="2" t="inlineStr"/>
    </row>
    <row r="616" ht="15" customHeight="1">
      <c r="A616" t="inlineStr">
        <is>
          <t>A 32400-2025</t>
        </is>
      </c>
      <c r="B616" s="1" t="n">
        <v>45838.25818287037</v>
      </c>
      <c r="C616" s="1" t="n">
        <v>46078</v>
      </c>
      <c r="D616" t="inlineStr">
        <is>
          <t>KALMAR LÄN</t>
        </is>
      </c>
      <c r="E616" t="inlineStr">
        <is>
          <t>VÄSTERVIK</t>
        </is>
      </c>
      <c r="G616" t="n">
        <v>0.6</v>
      </c>
      <c r="H616" t="n">
        <v>0</v>
      </c>
      <c r="I616" t="n">
        <v>0</v>
      </c>
      <c r="J616" t="n">
        <v>0</v>
      </c>
      <c r="K616" t="n">
        <v>0</v>
      </c>
      <c r="L616" t="n">
        <v>0</v>
      </c>
      <c r="M616" t="n">
        <v>0</v>
      </c>
      <c r="N616" t="n">
        <v>0</v>
      </c>
      <c r="O616" t="n">
        <v>0</v>
      </c>
      <c r="P616" t="n">
        <v>0</v>
      </c>
      <c r="Q616" t="n">
        <v>0</v>
      </c>
      <c r="R616" s="2" t="inlineStr"/>
    </row>
    <row r="617" ht="15" customHeight="1">
      <c r="A617" t="inlineStr">
        <is>
          <t>A 50290-2025</t>
        </is>
      </c>
      <c r="B617" s="1" t="n">
        <v>45944.40484953704</v>
      </c>
      <c r="C617" s="1" t="n">
        <v>46078</v>
      </c>
      <c r="D617" t="inlineStr">
        <is>
          <t>KALMAR LÄN</t>
        </is>
      </c>
      <c r="E617" t="inlineStr">
        <is>
          <t>VÄSTERVIK</t>
        </is>
      </c>
      <c r="F617" t="inlineStr">
        <is>
          <t>Övriga Aktiebolag</t>
        </is>
      </c>
      <c r="G617" t="n">
        <v>6.4</v>
      </c>
      <c r="H617" t="n">
        <v>0</v>
      </c>
      <c r="I617" t="n">
        <v>0</v>
      </c>
      <c r="J617" t="n">
        <v>0</v>
      </c>
      <c r="K617" t="n">
        <v>0</v>
      </c>
      <c r="L617" t="n">
        <v>0</v>
      </c>
      <c r="M617" t="n">
        <v>0</v>
      </c>
      <c r="N617" t="n">
        <v>0</v>
      </c>
      <c r="O617" t="n">
        <v>0</v>
      </c>
      <c r="P617" t="n">
        <v>0</v>
      </c>
      <c r="Q617" t="n">
        <v>0</v>
      </c>
      <c r="R617" s="2" t="inlineStr"/>
    </row>
    <row r="618" ht="15" customHeight="1">
      <c r="A618" t="inlineStr">
        <is>
          <t>A 37936-2022</t>
        </is>
      </c>
      <c r="B618" s="1" t="n">
        <v>44811.46958333333</v>
      </c>
      <c r="C618" s="1" t="n">
        <v>46078</v>
      </c>
      <c r="D618" t="inlineStr">
        <is>
          <t>KALMAR LÄN</t>
        </is>
      </c>
      <c r="E618" t="inlineStr">
        <is>
          <t>VÄSTERVIK</t>
        </is>
      </c>
      <c r="G618" t="n">
        <v>0.9</v>
      </c>
      <c r="H618" t="n">
        <v>0</v>
      </c>
      <c r="I618" t="n">
        <v>0</v>
      </c>
      <c r="J618" t="n">
        <v>0</v>
      </c>
      <c r="K618" t="n">
        <v>0</v>
      </c>
      <c r="L618" t="n">
        <v>0</v>
      </c>
      <c r="M618" t="n">
        <v>0</v>
      </c>
      <c r="N618" t="n">
        <v>0</v>
      </c>
      <c r="O618" t="n">
        <v>0</v>
      </c>
      <c r="P618" t="n">
        <v>0</v>
      </c>
      <c r="Q618" t="n">
        <v>0</v>
      </c>
      <c r="R618" s="2" t="inlineStr"/>
    </row>
    <row r="619" ht="15" customHeight="1">
      <c r="A619" t="inlineStr">
        <is>
          <t>A 57804-2021</t>
        </is>
      </c>
      <c r="B619" s="1" t="n">
        <v>44484</v>
      </c>
      <c r="C619" s="1" t="n">
        <v>46078</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32778-2025</t>
        </is>
      </c>
      <c r="B620" s="1" t="n">
        <v>45839.46924768519</v>
      </c>
      <c r="C620" s="1" t="n">
        <v>46078</v>
      </c>
      <c r="D620" t="inlineStr">
        <is>
          <t>KALMAR LÄN</t>
        </is>
      </c>
      <c r="E620" t="inlineStr">
        <is>
          <t>VÄSTERVIK</t>
        </is>
      </c>
      <c r="G620" t="n">
        <v>2.2</v>
      </c>
      <c r="H620" t="n">
        <v>0</v>
      </c>
      <c r="I620" t="n">
        <v>0</v>
      </c>
      <c r="J620" t="n">
        <v>0</v>
      </c>
      <c r="K620" t="n">
        <v>0</v>
      </c>
      <c r="L620" t="n">
        <v>0</v>
      </c>
      <c r="M620" t="n">
        <v>0</v>
      </c>
      <c r="N620" t="n">
        <v>0</v>
      </c>
      <c r="O620" t="n">
        <v>0</v>
      </c>
      <c r="P620" t="n">
        <v>0</v>
      </c>
      <c r="Q620" t="n">
        <v>0</v>
      </c>
      <c r="R620" s="2" t="inlineStr"/>
    </row>
    <row r="621" ht="15" customHeight="1">
      <c r="A621" t="inlineStr">
        <is>
          <t>A 1788-2025</t>
        </is>
      </c>
      <c r="B621" s="1" t="n">
        <v>45671.45521990741</v>
      </c>
      <c r="C621" s="1" t="n">
        <v>46078</v>
      </c>
      <c r="D621" t="inlineStr">
        <is>
          <t>KALMAR LÄN</t>
        </is>
      </c>
      <c r="E621" t="inlineStr">
        <is>
          <t>VÄSTERVIK</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32495-2025</t>
        </is>
      </c>
      <c r="B622" s="1" t="n">
        <v>45838.4546875</v>
      </c>
      <c r="C622" s="1" t="n">
        <v>46078</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6346-2023</t>
        </is>
      </c>
      <c r="B623" s="1" t="n">
        <v>44960</v>
      </c>
      <c r="C623" s="1" t="n">
        <v>46078</v>
      </c>
      <c r="D623" t="inlineStr">
        <is>
          <t>KALMAR LÄN</t>
        </is>
      </c>
      <c r="E623" t="inlineStr">
        <is>
          <t>VÄSTERVIK</t>
        </is>
      </c>
      <c r="G623" t="n">
        <v>4.5</v>
      </c>
      <c r="H623" t="n">
        <v>0</v>
      </c>
      <c r="I623" t="n">
        <v>0</v>
      </c>
      <c r="J623" t="n">
        <v>0</v>
      </c>
      <c r="K623" t="n">
        <v>0</v>
      </c>
      <c r="L623" t="n">
        <v>0</v>
      </c>
      <c r="M623" t="n">
        <v>0</v>
      </c>
      <c r="N623" t="n">
        <v>0</v>
      </c>
      <c r="O623" t="n">
        <v>0</v>
      </c>
      <c r="P623" t="n">
        <v>0</v>
      </c>
      <c r="Q623" t="n">
        <v>0</v>
      </c>
      <c r="R623" s="2" t="inlineStr"/>
    </row>
    <row r="624" ht="15" customHeight="1">
      <c r="A624" t="inlineStr">
        <is>
          <t>A 7163-2025</t>
        </is>
      </c>
      <c r="B624" s="1" t="n">
        <v>45702.3918287037</v>
      </c>
      <c r="C624" s="1" t="n">
        <v>46078</v>
      </c>
      <c r="D624" t="inlineStr">
        <is>
          <t>KALMAR LÄN</t>
        </is>
      </c>
      <c r="E624" t="inlineStr">
        <is>
          <t>VÄSTERVIK</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50692-2025</t>
        </is>
      </c>
      <c r="B625" s="1" t="n">
        <v>45945.8494212963</v>
      </c>
      <c r="C625" s="1" t="n">
        <v>46078</v>
      </c>
      <c r="D625" t="inlineStr">
        <is>
          <t>KALMAR LÄN</t>
        </is>
      </c>
      <c r="E625" t="inlineStr">
        <is>
          <t>VÄSTERVIK</t>
        </is>
      </c>
      <c r="F625" t="inlineStr">
        <is>
          <t>Övriga Aktiebolag</t>
        </is>
      </c>
      <c r="G625" t="n">
        <v>5</v>
      </c>
      <c r="H625" t="n">
        <v>0</v>
      </c>
      <c r="I625" t="n">
        <v>0</v>
      </c>
      <c r="J625" t="n">
        <v>0</v>
      </c>
      <c r="K625" t="n">
        <v>0</v>
      </c>
      <c r="L625" t="n">
        <v>0</v>
      </c>
      <c r="M625" t="n">
        <v>0</v>
      </c>
      <c r="N625" t="n">
        <v>0</v>
      </c>
      <c r="O625" t="n">
        <v>0</v>
      </c>
      <c r="P625" t="n">
        <v>0</v>
      </c>
      <c r="Q625" t="n">
        <v>0</v>
      </c>
      <c r="R625" s="2" t="inlineStr"/>
    </row>
    <row r="626" ht="15" customHeight="1">
      <c r="A626" t="inlineStr">
        <is>
          <t>A 50679-2025</t>
        </is>
      </c>
      <c r="B626" s="1" t="n">
        <v>45945.7796875</v>
      </c>
      <c r="C626" s="1" t="n">
        <v>46078</v>
      </c>
      <c r="D626" t="inlineStr">
        <is>
          <t>KALMAR LÄN</t>
        </is>
      </c>
      <c r="E626" t="inlineStr">
        <is>
          <t>VÄSTERVIK</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42816-2024</t>
        </is>
      </c>
      <c r="B627" s="1" t="n">
        <v>45566</v>
      </c>
      <c r="C627" s="1" t="n">
        <v>46078</v>
      </c>
      <c r="D627" t="inlineStr">
        <is>
          <t>KALMAR LÄN</t>
        </is>
      </c>
      <c r="E627" t="inlineStr">
        <is>
          <t>VÄSTERVIK</t>
        </is>
      </c>
      <c r="G627" t="n">
        <v>0.1</v>
      </c>
      <c r="H627" t="n">
        <v>0</v>
      </c>
      <c r="I627" t="n">
        <v>0</v>
      </c>
      <c r="J627" t="n">
        <v>0</v>
      </c>
      <c r="K627" t="n">
        <v>0</v>
      </c>
      <c r="L627" t="n">
        <v>0</v>
      </c>
      <c r="M627" t="n">
        <v>0</v>
      </c>
      <c r="N627" t="n">
        <v>0</v>
      </c>
      <c r="O627" t="n">
        <v>0</v>
      </c>
      <c r="P627" t="n">
        <v>0</v>
      </c>
      <c r="Q627" t="n">
        <v>0</v>
      </c>
      <c r="R627" s="2" t="inlineStr"/>
    </row>
    <row r="628" ht="15" customHeight="1">
      <c r="A628" t="inlineStr">
        <is>
          <t>A 51191-2025</t>
        </is>
      </c>
      <c r="B628" s="1" t="n">
        <v>45947.62629629629</v>
      </c>
      <c r="C628" s="1" t="n">
        <v>46078</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51181-2025</t>
        </is>
      </c>
      <c r="B629" s="1" t="n">
        <v>45947.61859953704</v>
      </c>
      <c r="C629" s="1" t="n">
        <v>46078</v>
      </c>
      <c r="D629" t="inlineStr">
        <is>
          <t>KALMAR LÄN</t>
        </is>
      </c>
      <c r="E629" t="inlineStr">
        <is>
          <t>VÄSTERVIK</t>
        </is>
      </c>
      <c r="G629" t="n">
        <v>1.5</v>
      </c>
      <c r="H629" t="n">
        <v>0</v>
      </c>
      <c r="I629" t="n">
        <v>0</v>
      </c>
      <c r="J629" t="n">
        <v>0</v>
      </c>
      <c r="K629" t="n">
        <v>0</v>
      </c>
      <c r="L629" t="n">
        <v>0</v>
      </c>
      <c r="M629" t="n">
        <v>0</v>
      </c>
      <c r="N629" t="n">
        <v>0</v>
      </c>
      <c r="O629" t="n">
        <v>0</v>
      </c>
      <c r="P629" t="n">
        <v>0</v>
      </c>
      <c r="Q629" t="n">
        <v>0</v>
      </c>
      <c r="R629" s="2" t="inlineStr"/>
    </row>
    <row r="630" ht="15" customHeight="1">
      <c r="A630" t="inlineStr">
        <is>
          <t>A 33208-2022</t>
        </is>
      </c>
      <c r="B630" s="1" t="n">
        <v>44785</v>
      </c>
      <c r="C630" s="1" t="n">
        <v>46078</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51182-2025</t>
        </is>
      </c>
      <c r="B631" s="1" t="n">
        <v>45947.6204050926</v>
      </c>
      <c r="C631" s="1" t="n">
        <v>46078</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782-2024</t>
        </is>
      </c>
      <c r="B632" s="1" t="n">
        <v>45300.55188657407</v>
      </c>
      <c r="C632" s="1" t="n">
        <v>46078</v>
      </c>
      <c r="D632" t="inlineStr">
        <is>
          <t>KALMAR LÄN</t>
        </is>
      </c>
      <c r="E632" t="inlineStr">
        <is>
          <t>VÄSTERVIK</t>
        </is>
      </c>
      <c r="G632" t="n">
        <v>2.7</v>
      </c>
      <c r="H632" t="n">
        <v>0</v>
      </c>
      <c r="I632" t="n">
        <v>0</v>
      </c>
      <c r="J632" t="n">
        <v>0</v>
      </c>
      <c r="K632" t="n">
        <v>0</v>
      </c>
      <c r="L632" t="n">
        <v>0</v>
      </c>
      <c r="M632" t="n">
        <v>0</v>
      </c>
      <c r="N632" t="n">
        <v>0</v>
      </c>
      <c r="O632" t="n">
        <v>0</v>
      </c>
      <c r="P632" t="n">
        <v>0</v>
      </c>
      <c r="Q632" t="n">
        <v>0</v>
      </c>
      <c r="R632" s="2" t="inlineStr"/>
    </row>
    <row r="633" ht="15" customHeight="1">
      <c r="A633" t="inlineStr">
        <is>
          <t>A 1585-2022</t>
        </is>
      </c>
      <c r="B633" s="1" t="n">
        <v>44573</v>
      </c>
      <c r="C633" s="1" t="n">
        <v>46078</v>
      </c>
      <c r="D633" t="inlineStr">
        <is>
          <t>KALMAR LÄN</t>
        </is>
      </c>
      <c r="E633" t="inlineStr">
        <is>
          <t>VÄSTERVIK</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33924-2025</t>
        </is>
      </c>
      <c r="B634" s="1" t="n">
        <v>45842.62152777778</v>
      </c>
      <c r="C634" s="1" t="n">
        <v>46078</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58731-2024</t>
        </is>
      </c>
      <c r="B635" s="1" t="n">
        <v>45635.67120370371</v>
      </c>
      <c r="C635" s="1" t="n">
        <v>46078</v>
      </c>
      <c r="D635" t="inlineStr">
        <is>
          <t>KALMAR LÄN</t>
        </is>
      </c>
      <c r="E635" t="inlineStr">
        <is>
          <t>VÄSTERVIK</t>
        </is>
      </c>
      <c r="G635" t="n">
        <v>2.3</v>
      </c>
      <c r="H635" t="n">
        <v>0</v>
      </c>
      <c r="I635" t="n">
        <v>0</v>
      </c>
      <c r="J635" t="n">
        <v>0</v>
      </c>
      <c r="K635" t="n">
        <v>0</v>
      </c>
      <c r="L635" t="n">
        <v>0</v>
      </c>
      <c r="M635" t="n">
        <v>0</v>
      </c>
      <c r="N635" t="n">
        <v>0</v>
      </c>
      <c r="O635" t="n">
        <v>0</v>
      </c>
      <c r="P635" t="n">
        <v>0</v>
      </c>
      <c r="Q635" t="n">
        <v>0</v>
      </c>
      <c r="R635" s="2" t="inlineStr"/>
    </row>
    <row r="636" ht="15" customHeight="1">
      <c r="A636" t="inlineStr">
        <is>
          <t>A 34171-2025</t>
        </is>
      </c>
      <c r="B636" s="1" t="n">
        <v>45845.58966435185</v>
      </c>
      <c r="C636" s="1" t="n">
        <v>46078</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23024-2025</t>
        </is>
      </c>
      <c r="B637" s="1" t="n">
        <v>45790.65615740741</v>
      </c>
      <c r="C637" s="1" t="n">
        <v>46078</v>
      </c>
      <c r="D637" t="inlineStr">
        <is>
          <t>KALMAR LÄN</t>
        </is>
      </c>
      <c r="E637" t="inlineStr">
        <is>
          <t>VÄSTERVIK</t>
        </is>
      </c>
      <c r="G637" t="n">
        <v>1.7</v>
      </c>
      <c r="H637" t="n">
        <v>0</v>
      </c>
      <c r="I637" t="n">
        <v>0</v>
      </c>
      <c r="J637" t="n">
        <v>0</v>
      </c>
      <c r="K637" t="n">
        <v>0</v>
      </c>
      <c r="L637" t="n">
        <v>0</v>
      </c>
      <c r="M637" t="n">
        <v>0</v>
      </c>
      <c r="N637" t="n">
        <v>0</v>
      </c>
      <c r="O637" t="n">
        <v>0</v>
      </c>
      <c r="P637" t="n">
        <v>0</v>
      </c>
      <c r="Q637" t="n">
        <v>0</v>
      </c>
      <c r="R637" s="2" t="inlineStr"/>
    </row>
    <row r="638" ht="15" customHeight="1">
      <c r="A638" t="inlineStr">
        <is>
          <t>A 2872-2025</t>
        </is>
      </c>
      <c r="B638" s="1" t="n">
        <v>45677.68357638889</v>
      </c>
      <c r="C638" s="1" t="n">
        <v>46078</v>
      </c>
      <c r="D638" t="inlineStr">
        <is>
          <t>KALMAR LÄN</t>
        </is>
      </c>
      <c r="E638" t="inlineStr">
        <is>
          <t>VÄSTERVIK</t>
        </is>
      </c>
      <c r="G638" t="n">
        <v>0.9</v>
      </c>
      <c r="H638" t="n">
        <v>0</v>
      </c>
      <c r="I638" t="n">
        <v>0</v>
      </c>
      <c r="J638" t="n">
        <v>0</v>
      </c>
      <c r="K638" t="n">
        <v>0</v>
      </c>
      <c r="L638" t="n">
        <v>0</v>
      </c>
      <c r="M638" t="n">
        <v>0</v>
      </c>
      <c r="N638" t="n">
        <v>0</v>
      </c>
      <c r="O638" t="n">
        <v>0</v>
      </c>
      <c r="P638" t="n">
        <v>0</v>
      </c>
      <c r="Q638" t="n">
        <v>0</v>
      </c>
      <c r="R638" s="2" t="inlineStr"/>
    </row>
    <row r="639" ht="15" customHeight="1">
      <c r="A639" t="inlineStr">
        <is>
          <t>A 33921-2025</t>
        </is>
      </c>
      <c r="B639" s="1" t="n">
        <v>45842.61626157408</v>
      </c>
      <c r="C639" s="1" t="n">
        <v>46078</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33922-2025</t>
        </is>
      </c>
      <c r="B640" s="1" t="n">
        <v>45842.61993055556</v>
      </c>
      <c r="C640" s="1" t="n">
        <v>46078</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33928-2025</t>
        </is>
      </c>
      <c r="B641" s="1" t="n">
        <v>45842.62488425926</v>
      </c>
      <c r="C641" s="1" t="n">
        <v>46078</v>
      </c>
      <c r="D641" t="inlineStr">
        <is>
          <t>KALMAR LÄN</t>
        </is>
      </c>
      <c r="E641" t="inlineStr">
        <is>
          <t>VÄSTERVIK</t>
        </is>
      </c>
      <c r="G641" t="n">
        <v>2.4</v>
      </c>
      <c r="H641" t="n">
        <v>0</v>
      </c>
      <c r="I641" t="n">
        <v>0</v>
      </c>
      <c r="J641" t="n">
        <v>0</v>
      </c>
      <c r="K641" t="n">
        <v>0</v>
      </c>
      <c r="L641" t="n">
        <v>0</v>
      </c>
      <c r="M641" t="n">
        <v>0</v>
      </c>
      <c r="N641" t="n">
        <v>0</v>
      </c>
      <c r="O641" t="n">
        <v>0</v>
      </c>
      <c r="P641" t="n">
        <v>0</v>
      </c>
      <c r="Q641" t="n">
        <v>0</v>
      </c>
      <c r="R641" s="2" t="inlineStr"/>
    </row>
    <row r="642" ht="15" customHeight="1">
      <c r="A642" t="inlineStr">
        <is>
          <t>A 7100-2023</t>
        </is>
      </c>
      <c r="B642" s="1" t="n">
        <v>44970.37244212963</v>
      </c>
      <c r="C642" s="1" t="n">
        <v>46078</v>
      </c>
      <c r="D642" t="inlineStr">
        <is>
          <t>KALMAR LÄN</t>
        </is>
      </c>
      <c r="E642" t="inlineStr">
        <is>
          <t>VÄSTERVIK</t>
        </is>
      </c>
      <c r="G642" t="n">
        <v>1.7</v>
      </c>
      <c r="H642" t="n">
        <v>0</v>
      </c>
      <c r="I642" t="n">
        <v>0</v>
      </c>
      <c r="J642" t="n">
        <v>0</v>
      </c>
      <c r="K642" t="n">
        <v>0</v>
      </c>
      <c r="L642" t="n">
        <v>0</v>
      </c>
      <c r="M642" t="n">
        <v>0</v>
      </c>
      <c r="N642" t="n">
        <v>0</v>
      </c>
      <c r="O642" t="n">
        <v>0</v>
      </c>
      <c r="P642" t="n">
        <v>0</v>
      </c>
      <c r="Q642" t="n">
        <v>0</v>
      </c>
      <c r="R642" s="2" t="inlineStr"/>
    </row>
    <row r="643" ht="15" customHeight="1">
      <c r="A643" t="inlineStr">
        <is>
          <t>A 33931-2025</t>
        </is>
      </c>
      <c r="B643" s="1" t="n">
        <v>45842.63288194445</v>
      </c>
      <c r="C643" s="1" t="n">
        <v>46078</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31825-2022</t>
        </is>
      </c>
      <c r="B644" s="1" t="n">
        <v>44776.74908564815</v>
      </c>
      <c r="C644" s="1" t="n">
        <v>46078</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34162-2025</t>
        </is>
      </c>
      <c r="B645" s="1" t="n">
        <v>45845.57983796296</v>
      </c>
      <c r="C645" s="1" t="n">
        <v>46078</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50690-2025</t>
        </is>
      </c>
      <c r="B646" s="1" t="n">
        <v>45945.84136574074</v>
      </c>
      <c r="C646" s="1" t="n">
        <v>46078</v>
      </c>
      <c r="D646" t="inlineStr">
        <is>
          <t>KALMAR LÄN</t>
        </is>
      </c>
      <c r="E646" t="inlineStr">
        <is>
          <t>VÄSTERVIK</t>
        </is>
      </c>
      <c r="F646" t="inlineStr">
        <is>
          <t>Övriga Aktiebolag</t>
        </is>
      </c>
      <c r="G646" t="n">
        <v>2.4</v>
      </c>
      <c r="H646" t="n">
        <v>0</v>
      </c>
      <c r="I646" t="n">
        <v>0</v>
      </c>
      <c r="J646" t="n">
        <v>0</v>
      </c>
      <c r="K646" t="n">
        <v>0</v>
      </c>
      <c r="L646" t="n">
        <v>0</v>
      </c>
      <c r="M646" t="n">
        <v>0</v>
      </c>
      <c r="N646" t="n">
        <v>0</v>
      </c>
      <c r="O646" t="n">
        <v>0</v>
      </c>
      <c r="P646" t="n">
        <v>0</v>
      </c>
      <c r="Q646" t="n">
        <v>0</v>
      </c>
      <c r="R646" s="2" t="inlineStr"/>
    </row>
    <row r="647" ht="15" customHeight="1">
      <c r="A647" t="inlineStr">
        <is>
          <t>A 51050-2025</t>
        </is>
      </c>
      <c r="B647" s="1" t="n">
        <v>45947.43621527778</v>
      </c>
      <c r="C647" s="1" t="n">
        <v>46078</v>
      </c>
      <c r="D647" t="inlineStr">
        <is>
          <t>KALMAR LÄN</t>
        </is>
      </c>
      <c r="E647" t="inlineStr">
        <is>
          <t>VÄSTERVIK</t>
        </is>
      </c>
      <c r="G647" t="n">
        <v>2.8</v>
      </c>
      <c r="H647" t="n">
        <v>0</v>
      </c>
      <c r="I647" t="n">
        <v>0</v>
      </c>
      <c r="J647" t="n">
        <v>0</v>
      </c>
      <c r="K647" t="n">
        <v>0</v>
      </c>
      <c r="L647" t="n">
        <v>0</v>
      </c>
      <c r="M647" t="n">
        <v>0</v>
      </c>
      <c r="N647" t="n">
        <v>0</v>
      </c>
      <c r="O647" t="n">
        <v>0</v>
      </c>
      <c r="P647" t="n">
        <v>0</v>
      </c>
      <c r="Q647" t="n">
        <v>0</v>
      </c>
      <c r="R647" s="2" t="inlineStr"/>
    </row>
    <row r="648" ht="15" customHeight="1">
      <c r="A648" t="inlineStr">
        <is>
          <t>A 15099-2023</t>
        </is>
      </c>
      <c r="B648" s="1" t="n">
        <v>45016.39048611111</v>
      </c>
      <c r="C648" s="1" t="n">
        <v>46078</v>
      </c>
      <c r="D648" t="inlineStr">
        <is>
          <t>KALMAR LÄN</t>
        </is>
      </c>
      <c r="E648" t="inlineStr">
        <is>
          <t>VÄSTERVIK</t>
        </is>
      </c>
      <c r="G648" t="n">
        <v>3</v>
      </c>
      <c r="H648" t="n">
        <v>0</v>
      </c>
      <c r="I648" t="n">
        <v>0</v>
      </c>
      <c r="J648" t="n">
        <v>0</v>
      </c>
      <c r="K648" t="n">
        <v>0</v>
      </c>
      <c r="L648" t="n">
        <v>0</v>
      </c>
      <c r="M648" t="n">
        <v>0</v>
      </c>
      <c r="N648" t="n">
        <v>0</v>
      </c>
      <c r="O648" t="n">
        <v>0</v>
      </c>
      <c r="P648" t="n">
        <v>0</v>
      </c>
      <c r="Q648" t="n">
        <v>0</v>
      </c>
      <c r="R648" s="2" t="inlineStr"/>
    </row>
    <row r="649" ht="15" customHeight="1">
      <c r="A649" t="inlineStr">
        <is>
          <t>A 51769-2025</t>
        </is>
      </c>
      <c r="B649" s="1" t="n">
        <v>45951.64155092592</v>
      </c>
      <c r="C649" s="1" t="n">
        <v>46078</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34160-2025</t>
        </is>
      </c>
      <c r="B650" s="1" t="n">
        <v>45845.57701388889</v>
      </c>
      <c r="C650" s="1" t="n">
        <v>46078</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47120-2023</t>
        </is>
      </c>
      <c r="B651" s="1" t="n">
        <v>45201</v>
      </c>
      <c r="C651" s="1" t="n">
        <v>46078</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47123-2023</t>
        </is>
      </c>
      <c r="B652" s="1" t="n">
        <v>45201.68075231482</v>
      </c>
      <c r="C652" s="1" t="n">
        <v>46078</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48121-2021</t>
        </is>
      </c>
      <c r="B653" s="1" t="n">
        <v>44449.46614583334</v>
      </c>
      <c r="C653" s="1" t="n">
        <v>46078</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57802-2024</t>
        </is>
      </c>
      <c r="B654" s="1" t="n">
        <v>45631.34590277778</v>
      </c>
      <c r="C654" s="1" t="n">
        <v>46078</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34617-2025</t>
        </is>
      </c>
      <c r="B655" s="1" t="n">
        <v>45847</v>
      </c>
      <c r="C655" s="1" t="n">
        <v>46078</v>
      </c>
      <c r="D655" t="inlineStr">
        <is>
          <t>KALMAR LÄN</t>
        </is>
      </c>
      <c r="E655" t="inlineStr">
        <is>
          <t>VÄSTERVIK</t>
        </is>
      </c>
      <c r="G655" t="n">
        <v>1.4</v>
      </c>
      <c r="H655" t="n">
        <v>0</v>
      </c>
      <c r="I655" t="n">
        <v>0</v>
      </c>
      <c r="J655" t="n">
        <v>0</v>
      </c>
      <c r="K655" t="n">
        <v>0</v>
      </c>
      <c r="L655" t="n">
        <v>0</v>
      </c>
      <c r="M655" t="n">
        <v>0</v>
      </c>
      <c r="N655" t="n">
        <v>0</v>
      </c>
      <c r="O655" t="n">
        <v>0</v>
      </c>
      <c r="P655" t="n">
        <v>0</v>
      </c>
      <c r="Q655" t="n">
        <v>0</v>
      </c>
      <c r="R655" s="2" t="inlineStr"/>
    </row>
    <row r="656" ht="15" customHeight="1">
      <c r="A656" t="inlineStr">
        <is>
          <t>A 34618-2025</t>
        </is>
      </c>
      <c r="B656" s="1" t="n">
        <v>45847</v>
      </c>
      <c r="C656" s="1" t="n">
        <v>46078</v>
      </c>
      <c r="D656" t="inlineStr">
        <is>
          <t>KALMAR LÄN</t>
        </is>
      </c>
      <c r="E656" t="inlineStr">
        <is>
          <t>VÄSTERVIK</t>
        </is>
      </c>
      <c r="G656" t="n">
        <v>2.6</v>
      </c>
      <c r="H656" t="n">
        <v>0</v>
      </c>
      <c r="I656" t="n">
        <v>0</v>
      </c>
      <c r="J656" t="n">
        <v>0</v>
      </c>
      <c r="K656" t="n">
        <v>0</v>
      </c>
      <c r="L656" t="n">
        <v>0</v>
      </c>
      <c r="M656" t="n">
        <v>0</v>
      </c>
      <c r="N656" t="n">
        <v>0</v>
      </c>
      <c r="O656" t="n">
        <v>0</v>
      </c>
      <c r="P656" t="n">
        <v>0</v>
      </c>
      <c r="Q656" t="n">
        <v>0</v>
      </c>
      <c r="R656" s="2" t="inlineStr"/>
    </row>
    <row r="657" ht="15" customHeight="1">
      <c r="A657" t="inlineStr">
        <is>
          <t>A 34397-2025</t>
        </is>
      </c>
      <c r="B657" s="1" t="n">
        <v>45846.59813657407</v>
      </c>
      <c r="C657" s="1" t="n">
        <v>46078</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51520-2025</t>
        </is>
      </c>
      <c r="B658" s="1" t="n">
        <v>45950.65695601852</v>
      </c>
      <c r="C658" s="1" t="n">
        <v>46078</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1115-2025</t>
        </is>
      </c>
      <c r="B659" s="1" t="n">
        <v>45666.65664351852</v>
      </c>
      <c r="C659" s="1" t="n">
        <v>46078</v>
      </c>
      <c r="D659" t="inlineStr">
        <is>
          <t>KALMAR LÄN</t>
        </is>
      </c>
      <c r="E659" t="inlineStr">
        <is>
          <t>VÄSTERVIK</t>
        </is>
      </c>
      <c r="G659" t="n">
        <v>1.9</v>
      </c>
      <c r="H659" t="n">
        <v>0</v>
      </c>
      <c r="I659" t="n">
        <v>0</v>
      </c>
      <c r="J659" t="n">
        <v>0</v>
      </c>
      <c r="K659" t="n">
        <v>0</v>
      </c>
      <c r="L659" t="n">
        <v>0</v>
      </c>
      <c r="M659" t="n">
        <v>0</v>
      </c>
      <c r="N659" t="n">
        <v>0</v>
      </c>
      <c r="O659" t="n">
        <v>0</v>
      </c>
      <c r="P659" t="n">
        <v>0</v>
      </c>
      <c r="Q659" t="n">
        <v>0</v>
      </c>
      <c r="R659" s="2" t="inlineStr"/>
    </row>
    <row r="660" ht="15" customHeight="1">
      <c r="A660" t="inlineStr">
        <is>
          <t>A 29405-2024</t>
        </is>
      </c>
      <c r="B660" s="1" t="n">
        <v>45483</v>
      </c>
      <c r="C660" s="1" t="n">
        <v>46078</v>
      </c>
      <c r="D660" t="inlineStr">
        <is>
          <t>KALMAR LÄN</t>
        </is>
      </c>
      <c r="E660" t="inlineStr">
        <is>
          <t>VÄSTERVIK</t>
        </is>
      </c>
      <c r="G660" t="n">
        <v>1.8</v>
      </c>
      <c r="H660" t="n">
        <v>0</v>
      </c>
      <c r="I660" t="n">
        <v>0</v>
      </c>
      <c r="J660" t="n">
        <v>0</v>
      </c>
      <c r="K660" t="n">
        <v>0</v>
      </c>
      <c r="L660" t="n">
        <v>0</v>
      </c>
      <c r="M660" t="n">
        <v>0</v>
      </c>
      <c r="N660" t="n">
        <v>0</v>
      </c>
      <c r="O660" t="n">
        <v>0</v>
      </c>
      <c r="P660" t="n">
        <v>0</v>
      </c>
      <c r="Q660" t="n">
        <v>0</v>
      </c>
      <c r="R660" s="2" t="inlineStr"/>
    </row>
    <row r="661" ht="15" customHeight="1">
      <c r="A661" t="inlineStr">
        <is>
          <t>A 34619-2025</t>
        </is>
      </c>
      <c r="B661" s="1" t="n">
        <v>45847</v>
      </c>
      <c r="C661" s="1" t="n">
        <v>46078</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34531-2025</t>
        </is>
      </c>
      <c r="B662" s="1" t="n">
        <v>45847.50152777778</v>
      </c>
      <c r="C662" s="1" t="n">
        <v>46078</v>
      </c>
      <c r="D662" t="inlineStr">
        <is>
          <t>KALMAR LÄN</t>
        </is>
      </c>
      <c r="E662" t="inlineStr">
        <is>
          <t>VÄSTERVIK</t>
        </is>
      </c>
      <c r="G662" t="n">
        <v>1.3</v>
      </c>
      <c r="H662" t="n">
        <v>0</v>
      </c>
      <c r="I662" t="n">
        <v>0</v>
      </c>
      <c r="J662" t="n">
        <v>0</v>
      </c>
      <c r="K662" t="n">
        <v>0</v>
      </c>
      <c r="L662" t="n">
        <v>0</v>
      </c>
      <c r="M662" t="n">
        <v>0</v>
      </c>
      <c r="N662" t="n">
        <v>0</v>
      </c>
      <c r="O662" t="n">
        <v>0</v>
      </c>
      <c r="P662" t="n">
        <v>0</v>
      </c>
      <c r="Q662" t="n">
        <v>0</v>
      </c>
      <c r="R662" s="2" t="inlineStr"/>
    </row>
    <row r="663" ht="15" customHeight="1">
      <c r="A663" t="inlineStr">
        <is>
          <t>A 1867-2025</t>
        </is>
      </c>
      <c r="B663" s="1" t="n">
        <v>45671.61569444444</v>
      </c>
      <c r="C663" s="1" t="n">
        <v>46078</v>
      </c>
      <c r="D663" t="inlineStr">
        <is>
          <t>KALMAR LÄN</t>
        </is>
      </c>
      <c r="E663" t="inlineStr">
        <is>
          <t>VÄSTERVIK</t>
        </is>
      </c>
      <c r="G663" t="n">
        <v>1.8</v>
      </c>
      <c r="H663" t="n">
        <v>0</v>
      </c>
      <c r="I663" t="n">
        <v>0</v>
      </c>
      <c r="J663" t="n">
        <v>0</v>
      </c>
      <c r="K663" t="n">
        <v>0</v>
      </c>
      <c r="L663" t="n">
        <v>0</v>
      </c>
      <c r="M663" t="n">
        <v>0</v>
      </c>
      <c r="N663" t="n">
        <v>0</v>
      </c>
      <c r="O663" t="n">
        <v>0</v>
      </c>
      <c r="P663" t="n">
        <v>0</v>
      </c>
      <c r="Q663" t="n">
        <v>0</v>
      </c>
      <c r="R663" s="2" t="inlineStr"/>
    </row>
    <row r="664" ht="15" customHeight="1">
      <c r="A664" t="inlineStr">
        <is>
          <t>A 34289-2025</t>
        </is>
      </c>
      <c r="B664" s="1" t="n">
        <v>45846.334375</v>
      </c>
      <c r="C664" s="1" t="n">
        <v>46078</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34639-2025</t>
        </is>
      </c>
      <c r="B665" s="1" t="n">
        <v>45848</v>
      </c>
      <c r="C665" s="1" t="n">
        <v>46078</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51437-2025</t>
        </is>
      </c>
      <c r="B666" s="1" t="n">
        <v>45950.56834490741</v>
      </c>
      <c r="C666" s="1" t="n">
        <v>46078</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51441-2025</t>
        </is>
      </c>
      <c r="B667" s="1" t="n">
        <v>45950.57375</v>
      </c>
      <c r="C667" s="1" t="n">
        <v>46078</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9549-2024</t>
        </is>
      </c>
      <c r="B668" s="1" t="n">
        <v>45359.87989583334</v>
      </c>
      <c r="C668" s="1" t="n">
        <v>46078</v>
      </c>
      <c r="D668" t="inlineStr">
        <is>
          <t>KALMAR LÄN</t>
        </is>
      </c>
      <c r="E668" t="inlineStr">
        <is>
          <t>VÄSTERVIK</t>
        </is>
      </c>
      <c r="F668" t="inlineStr">
        <is>
          <t>Holmen skog AB</t>
        </is>
      </c>
      <c r="G668" t="n">
        <v>2.6</v>
      </c>
      <c r="H668" t="n">
        <v>0</v>
      </c>
      <c r="I668" t="n">
        <v>0</v>
      </c>
      <c r="J668" t="n">
        <v>0</v>
      </c>
      <c r="K668" t="n">
        <v>0</v>
      </c>
      <c r="L668" t="n">
        <v>0</v>
      </c>
      <c r="M668" t="n">
        <v>0</v>
      </c>
      <c r="N668" t="n">
        <v>0</v>
      </c>
      <c r="O668" t="n">
        <v>0</v>
      </c>
      <c r="P668" t="n">
        <v>0</v>
      </c>
      <c r="Q668" t="n">
        <v>0</v>
      </c>
      <c r="R668" s="2" t="inlineStr"/>
    </row>
    <row r="669" ht="15" customHeight="1">
      <c r="A669" t="inlineStr">
        <is>
          <t>A 51566-2025</t>
        </is>
      </c>
      <c r="B669" s="1" t="n">
        <v>45951.30868055556</v>
      </c>
      <c r="C669" s="1" t="n">
        <v>46078</v>
      </c>
      <c r="D669" t="inlineStr">
        <is>
          <t>KALMAR LÄN</t>
        </is>
      </c>
      <c r="E669" t="inlineStr">
        <is>
          <t>VÄSTERVIK</t>
        </is>
      </c>
      <c r="G669" t="n">
        <v>3.4</v>
      </c>
      <c r="H669" t="n">
        <v>0</v>
      </c>
      <c r="I669" t="n">
        <v>0</v>
      </c>
      <c r="J669" t="n">
        <v>0</v>
      </c>
      <c r="K669" t="n">
        <v>0</v>
      </c>
      <c r="L669" t="n">
        <v>0</v>
      </c>
      <c r="M669" t="n">
        <v>0</v>
      </c>
      <c r="N669" t="n">
        <v>0</v>
      </c>
      <c r="O669" t="n">
        <v>0</v>
      </c>
      <c r="P669" t="n">
        <v>0</v>
      </c>
      <c r="Q669" t="n">
        <v>0</v>
      </c>
      <c r="R669" s="2" t="inlineStr"/>
    </row>
    <row r="670" ht="15" customHeight="1">
      <c r="A670" t="inlineStr">
        <is>
          <t>A 34643-2025</t>
        </is>
      </c>
      <c r="B670" s="1" t="n">
        <v>45848.32959490741</v>
      </c>
      <c r="C670" s="1" t="n">
        <v>46078</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9025-2022</t>
        </is>
      </c>
      <c r="B671" s="1" t="n">
        <v>44615</v>
      </c>
      <c r="C671" s="1" t="n">
        <v>46078</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51513-2025</t>
        </is>
      </c>
      <c r="B672" s="1" t="n">
        <v>45950.65234953703</v>
      </c>
      <c r="C672" s="1" t="n">
        <v>46078</v>
      </c>
      <c r="D672" t="inlineStr">
        <is>
          <t>KALMAR LÄN</t>
        </is>
      </c>
      <c r="E672" t="inlineStr">
        <is>
          <t>VÄSTERVIK</t>
        </is>
      </c>
      <c r="G672" t="n">
        <v>2.4</v>
      </c>
      <c r="H672" t="n">
        <v>0</v>
      </c>
      <c r="I672" t="n">
        <v>0</v>
      </c>
      <c r="J672" t="n">
        <v>0</v>
      </c>
      <c r="K672" t="n">
        <v>0</v>
      </c>
      <c r="L672" t="n">
        <v>0</v>
      </c>
      <c r="M672" t="n">
        <v>0</v>
      </c>
      <c r="N672" t="n">
        <v>0</v>
      </c>
      <c r="O672" t="n">
        <v>0</v>
      </c>
      <c r="P672" t="n">
        <v>0</v>
      </c>
      <c r="Q672" t="n">
        <v>0</v>
      </c>
      <c r="R672" s="2" t="inlineStr"/>
    </row>
    <row r="673" ht="15" customHeight="1">
      <c r="A673" t="inlineStr">
        <is>
          <t>A 34916-2025</t>
        </is>
      </c>
      <c r="B673" s="1" t="n">
        <v>45849.54420138889</v>
      </c>
      <c r="C673" s="1" t="n">
        <v>46078</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2738-2023</t>
        </is>
      </c>
      <c r="B674" s="1" t="n">
        <v>44944</v>
      </c>
      <c r="C674" s="1" t="n">
        <v>46078</v>
      </c>
      <c r="D674" t="inlineStr">
        <is>
          <t>KALMAR LÄN</t>
        </is>
      </c>
      <c r="E674" t="inlineStr">
        <is>
          <t>VÄSTERVIK</t>
        </is>
      </c>
      <c r="G674" t="n">
        <v>3</v>
      </c>
      <c r="H674" t="n">
        <v>0</v>
      </c>
      <c r="I674" t="n">
        <v>0</v>
      </c>
      <c r="J674" t="n">
        <v>0</v>
      </c>
      <c r="K674" t="n">
        <v>0</v>
      </c>
      <c r="L674" t="n">
        <v>0</v>
      </c>
      <c r="M674" t="n">
        <v>0</v>
      </c>
      <c r="N674" t="n">
        <v>0</v>
      </c>
      <c r="O674" t="n">
        <v>0</v>
      </c>
      <c r="P674" t="n">
        <v>0</v>
      </c>
      <c r="Q674" t="n">
        <v>0</v>
      </c>
      <c r="R674" s="2" t="inlineStr"/>
    </row>
    <row r="675" ht="15" customHeight="1">
      <c r="A675" t="inlineStr">
        <is>
          <t>A 6021-2024</t>
        </is>
      </c>
      <c r="B675" s="1" t="n">
        <v>45336.62131944444</v>
      </c>
      <c r="C675" s="1" t="n">
        <v>46078</v>
      </c>
      <c r="D675" t="inlineStr">
        <is>
          <t>KALMAR LÄN</t>
        </is>
      </c>
      <c r="E675" t="inlineStr">
        <is>
          <t>VÄSTERVIK</t>
        </is>
      </c>
      <c r="G675" t="n">
        <v>1.7</v>
      </c>
      <c r="H675" t="n">
        <v>0</v>
      </c>
      <c r="I675" t="n">
        <v>0</v>
      </c>
      <c r="J675" t="n">
        <v>0</v>
      </c>
      <c r="K675" t="n">
        <v>0</v>
      </c>
      <c r="L675" t="n">
        <v>0</v>
      </c>
      <c r="M675" t="n">
        <v>0</v>
      </c>
      <c r="N675" t="n">
        <v>0</v>
      </c>
      <c r="O675" t="n">
        <v>0</v>
      </c>
      <c r="P675" t="n">
        <v>0</v>
      </c>
      <c r="Q675" t="n">
        <v>0</v>
      </c>
      <c r="R675" s="2" t="inlineStr"/>
    </row>
    <row r="676" ht="15" customHeight="1">
      <c r="A676" t="inlineStr">
        <is>
          <t>A 27982-2025</t>
        </is>
      </c>
      <c r="B676" s="1" t="n">
        <v>45817.57549768518</v>
      </c>
      <c r="C676" s="1" t="n">
        <v>46078</v>
      </c>
      <c r="D676" t="inlineStr">
        <is>
          <t>KALMAR LÄN</t>
        </is>
      </c>
      <c r="E676" t="inlineStr">
        <is>
          <t>VÄSTERVIK</t>
        </is>
      </c>
      <c r="G676" t="n">
        <v>2.5</v>
      </c>
      <c r="H676" t="n">
        <v>0</v>
      </c>
      <c r="I676" t="n">
        <v>0</v>
      </c>
      <c r="J676" t="n">
        <v>0</v>
      </c>
      <c r="K676" t="n">
        <v>0</v>
      </c>
      <c r="L676" t="n">
        <v>0</v>
      </c>
      <c r="M676" t="n">
        <v>0</v>
      </c>
      <c r="N676" t="n">
        <v>0</v>
      </c>
      <c r="O676" t="n">
        <v>0</v>
      </c>
      <c r="P676" t="n">
        <v>0</v>
      </c>
      <c r="Q676" t="n">
        <v>0</v>
      </c>
      <c r="R676" s="2" t="inlineStr"/>
    </row>
    <row r="677" ht="15" customHeight="1">
      <c r="A677" t="inlineStr">
        <is>
          <t>A 51515-2025</t>
        </is>
      </c>
      <c r="B677" s="1" t="n">
        <v>45950.65560185185</v>
      </c>
      <c r="C677" s="1" t="n">
        <v>46078</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33207-2022</t>
        </is>
      </c>
      <c r="B678" s="1" t="n">
        <v>44785.72373842593</v>
      </c>
      <c r="C678" s="1" t="n">
        <v>46078</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10012-2025</t>
        </is>
      </c>
      <c r="B679" s="1" t="n">
        <v>45719.46681712963</v>
      </c>
      <c r="C679" s="1" t="n">
        <v>46078</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56188-2023</t>
        </is>
      </c>
      <c r="B680" s="1" t="n">
        <v>45240.65173611111</v>
      </c>
      <c r="C680" s="1" t="n">
        <v>46078</v>
      </c>
      <c r="D680" t="inlineStr">
        <is>
          <t>KALMAR LÄN</t>
        </is>
      </c>
      <c r="E680" t="inlineStr">
        <is>
          <t>VÄSTERVIK</t>
        </is>
      </c>
      <c r="G680" t="n">
        <v>1.9</v>
      </c>
      <c r="H680" t="n">
        <v>0</v>
      </c>
      <c r="I680" t="n">
        <v>0</v>
      </c>
      <c r="J680" t="n">
        <v>0</v>
      </c>
      <c r="K680" t="n">
        <v>0</v>
      </c>
      <c r="L680" t="n">
        <v>0</v>
      </c>
      <c r="M680" t="n">
        <v>0</v>
      </c>
      <c r="N680" t="n">
        <v>0</v>
      </c>
      <c r="O680" t="n">
        <v>0</v>
      </c>
      <c r="P680" t="n">
        <v>0</v>
      </c>
      <c r="Q680" t="n">
        <v>0</v>
      </c>
      <c r="R680" s="2" t="inlineStr"/>
    </row>
    <row r="681" ht="15" customHeight="1">
      <c r="A681" t="inlineStr">
        <is>
          <t>A 35187-2025</t>
        </is>
      </c>
      <c r="B681" s="1" t="n">
        <v>45853.31940972222</v>
      </c>
      <c r="C681" s="1" t="n">
        <v>46078</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51439-2025</t>
        </is>
      </c>
      <c r="B682" s="1" t="n">
        <v>45950.57254629629</v>
      </c>
      <c r="C682" s="1" t="n">
        <v>46078</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35207-2025</t>
        </is>
      </c>
      <c r="B683" s="1" t="n">
        <v>45853.43320601852</v>
      </c>
      <c r="C683" s="1" t="n">
        <v>46078</v>
      </c>
      <c r="D683" t="inlineStr">
        <is>
          <t>KALMAR LÄN</t>
        </is>
      </c>
      <c r="E683" t="inlineStr">
        <is>
          <t>VÄSTERVIK</t>
        </is>
      </c>
      <c r="G683" t="n">
        <v>7</v>
      </c>
      <c r="H683" t="n">
        <v>0</v>
      </c>
      <c r="I683" t="n">
        <v>0</v>
      </c>
      <c r="J683" t="n">
        <v>0</v>
      </c>
      <c r="K683" t="n">
        <v>0</v>
      </c>
      <c r="L683" t="n">
        <v>0</v>
      </c>
      <c r="M683" t="n">
        <v>0</v>
      </c>
      <c r="N683" t="n">
        <v>0</v>
      </c>
      <c r="O683" t="n">
        <v>0</v>
      </c>
      <c r="P683" t="n">
        <v>0</v>
      </c>
      <c r="Q683" t="n">
        <v>0</v>
      </c>
      <c r="R683" s="2" t="inlineStr"/>
    </row>
    <row r="684" ht="15" customHeight="1">
      <c r="A684" t="inlineStr">
        <is>
          <t>A 51426-2025</t>
        </is>
      </c>
      <c r="B684" s="1" t="n">
        <v>45950.53288194445</v>
      </c>
      <c r="C684" s="1" t="n">
        <v>46078</v>
      </c>
      <c r="D684" t="inlineStr">
        <is>
          <t>KALMAR LÄN</t>
        </is>
      </c>
      <c r="E684" t="inlineStr">
        <is>
          <t>VÄSTERVIK</t>
        </is>
      </c>
      <c r="G684" t="n">
        <v>3.8</v>
      </c>
      <c r="H684" t="n">
        <v>0</v>
      </c>
      <c r="I684" t="n">
        <v>0</v>
      </c>
      <c r="J684" t="n">
        <v>0</v>
      </c>
      <c r="K684" t="n">
        <v>0</v>
      </c>
      <c r="L684" t="n">
        <v>0</v>
      </c>
      <c r="M684" t="n">
        <v>0</v>
      </c>
      <c r="N684" t="n">
        <v>0</v>
      </c>
      <c r="O684" t="n">
        <v>0</v>
      </c>
      <c r="P684" t="n">
        <v>0</v>
      </c>
      <c r="Q684" t="n">
        <v>0</v>
      </c>
      <c r="R684" s="2" t="inlineStr"/>
    </row>
    <row r="685" ht="15" customHeight="1">
      <c r="A685" t="inlineStr">
        <is>
          <t>A 35108-2024</t>
        </is>
      </c>
      <c r="B685" s="1" t="n">
        <v>45529.64638888889</v>
      </c>
      <c r="C685" s="1" t="n">
        <v>46078</v>
      </c>
      <c r="D685" t="inlineStr">
        <is>
          <t>KALMAR LÄN</t>
        </is>
      </c>
      <c r="E685" t="inlineStr">
        <is>
          <t>VÄSTERVIK</t>
        </is>
      </c>
      <c r="G685" t="n">
        <v>10.5</v>
      </c>
      <c r="H685" t="n">
        <v>0</v>
      </c>
      <c r="I685" t="n">
        <v>0</v>
      </c>
      <c r="J685" t="n">
        <v>0</v>
      </c>
      <c r="K685" t="n">
        <v>0</v>
      </c>
      <c r="L685" t="n">
        <v>0</v>
      </c>
      <c r="M685" t="n">
        <v>0</v>
      </c>
      <c r="N685" t="n">
        <v>0</v>
      </c>
      <c r="O685" t="n">
        <v>0</v>
      </c>
      <c r="P685" t="n">
        <v>0</v>
      </c>
      <c r="Q685" t="n">
        <v>0</v>
      </c>
      <c r="R685" s="2" t="inlineStr"/>
    </row>
    <row r="686" ht="15" customHeight="1">
      <c r="A686" t="inlineStr">
        <is>
          <t>A 9267-2025</t>
        </is>
      </c>
      <c r="B686" s="1" t="n">
        <v>45714.61418981481</v>
      </c>
      <c r="C686" s="1" t="n">
        <v>46078</v>
      </c>
      <c r="D686" t="inlineStr">
        <is>
          <t>KALMAR LÄN</t>
        </is>
      </c>
      <c r="E686" t="inlineStr">
        <is>
          <t>VÄSTERVIK</t>
        </is>
      </c>
      <c r="F686" t="inlineStr">
        <is>
          <t>Sveaskog</t>
        </is>
      </c>
      <c r="G686" t="n">
        <v>6.8</v>
      </c>
      <c r="H686" t="n">
        <v>0</v>
      </c>
      <c r="I686" t="n">
        <v>0</v>
      </c>
      <c r="J686" t="n">
        <v>0</v>
      </c>
      <c r="K686" t="n">
        <v>0</v>
      </c>
      <c r="L686" t="n">
        <v>0</v>
      </c>
      <c r="M686" t="n">
        <v>0</v>
      </c>
      <c r="N686" t="n">
        <v>0</v>
      </c>
      <c r="O686" t="n">
        <v>0</v>
      </c>
      <c r="P686" t="n">
        <v>0</v>
      </c>
      <c r="Q686" t="n">
        <v>0</v>
      </c>
      <c r="R686" s="2" t="inlineStr"/>
    </row>
    <row r="687" ht="15" customHeight="1">
      <c r="A687" t="inlineStr">
        <is>
          <t>A 17306-2023</t>
        </is>
      </c>
      <c r="B687" s="1" t="n">
        <v>45035</v>
      </c>
      <c r="C687" s="1" t="n">
        <v>46078</v>
      </c>
      <c r="D687" t="inlineStr">
        <is>
          <t>KALMAR LÄN</t>
        </is>
      </c>
      <c r="E687" t="inlineStr">
        <is>
          <t>VÄSTERVIK</t>
        </is>
      </c>
      <c r="G687" t="n">
        <v>4.3</v>
      </c>
      <c r="H687" t="n">
        <v>0</v>
      </c>
      <c r="I687" t="n">
        <v>0</v>
      </c>
      <c r="J687" t="n">
        <v>0</v>
      </c>
      <c r="K687" t="n">
        <v>0</v>
      </c>
      <c r="L687" t="n">
        <v>0</v>
      </c>
      <c r="M687" t="n">
        <v>0</v>
      </c>
      <c r="N687" t="n">
        <v>0</v>
      </c>
      <c r="O687" t="n">
        <v>0</v>
      </c>
      <c r="P687" t="n">
        <v>0</v>
      </c>
      <c r="Q687" t="n">
        <v>0</v>
      </c>
      <c r="R687" s="2" t="inlineStr"/>
    </row>
    <row r="688" ht="15" customHeight="1">
      <c r="A688" t="inlineStr">
        <is>
          <t>A 10020-2021</t>
        </is>
      </c>
      <c r="B688" s="1" t="n">
        <v>44256</v>
      </c>
      <c r="C688" s="1" t="n">
        <v>46078</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69702-2021</t>
        </is>
      </c>
      <c r="B689" s="1" t="n">
        <v>44532.48237268518</v>
      </c>
      <c r="C689" s="1" t="n">
        <v>46078</v>
      </c>
      <c r="D689" t="inlineStr">
        <is>
          <t>KALMAR LÄN</t>
        </is>
      </c>
      <c r="E689" t="inlineStr">
        <is>
          <t>VÄSTERVIK</t>
        </is>
      </c>
      <c r="G689" t="n">
        <v>4.4</v>
      </c>
      <c r="H689" t="n">
        <v>0</v>
      </c>
      <c r="I689" t="n">
        <v>0</v>
      </c>
      <c r="J689" t="n">
        <v>0</v>
      </c>
      <c r="K689" t="n">
        <v>0</v>
      </c>
      <c r="L689" t="n">
        <v>0</v>
      </c>
      <c r="M689" t="n">
        <v>0</v>
      </c>
      <c r="N689" t="n">
        <v>0</v>
      </c>
      <c r="O689" t="n">
        <v>0</v>
      </c>
      <c r="P689" t="n">
        <v>0</v>
      </c>
      <c r="Q689" t="n">
        <v>0</v>
      </c>
      <c r="R689" s="2" t="inlineStr"/>
    </row>
    <row r="690" ht="15" customHeight="1">
      <c r="A690" t="inlineStr">
        <is>
          <t>A 52190-2025</t>
        </is>
      </c>
      <c r="B690" s="1" t="n">
        <v>45953.38814814815</v>
      </c>
      <c r="C690" s="1" t="n">
        <v>46078</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47363-2023</t>
        </is>
      </c>
      <c r="B691" s="1" t="n">
        <v>45202.59584490741</v>
      </c>
      <c r="C691" s="1" t="n">
        <v>46078</v>
      </c>
      <c r="D691" t="inlineStr">
        <is>
          <t>KALMAR LÄN</t>
        </is>
      </c>
      <c r="E691" t="inlineStr">
        <is>
          <t>VÄSTERVIK</t>
        </is>
      </c>
      <c r="G691" t="n">
        <v>2.5</v>
      </c>
      <c r="H691" t="n">
        <v>0</v>
      </c>
      <c r="I691" t="n">
        <v>0</v>
      </c>
      <c r="J691" t="n">
        <v>0</v>
      </c>
      <c r="K691" t="n">
        <v>0</v>
      </c>
      <c r="L691" t="n">
        <v>0</v>
      </c>
      <c r="M691" t="n">
        <v>0</v>
      </c>
      <c r="N691" t="n">
        <v>0</v>
      </c>
      <c r="O691" t="n">
        <v>0</v>
      </c>
      <c r="P691" t="n">
        <v>0</v>
      </c>
      <c r="Q691" t="n">
        <v>0</v>
      </c>
      <c r="R691" s="2" t="inlineStr"/>
    </row>
    <row r="692" ht="15" customHeight="1">
      <c r="A692" t="inlineStr">
        <is>
          <t>A 37716-2023</t>
        </is>
      </c>
      <c r="B692" s="1" t="n">
        <v>45159</v>
      </c>
      <c r="C692" s="1" t="n">
        <v>46078</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5691-2025</t>
        </is>
      </c>
      <c r="B693" s="1" t="n">
        <v>45694.37447916667</v>
      </c>
      <c r="C693" s="1" t="n">
        <v>46078</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5355-2024</t>
        </is>
      </c>
      <c r="B694" s="1" t="n">
        <v>45331</v>
      </c>
      <c r="C694" s="1" t="n">
        <v>46078</v>
      </c>
      <c r="D694" t="inlineStr">
        <is>
          <t>KALMAR LÄN</t>
        </is>
      </c>
      <c r="E694" t="inlineStr">
        <is>
          <t>VÄSTERVIK</t>
        </is>
      </c>
      <c r="F694" t="inlineStr">
        <is>
          <t>Övriga Aktiebolag</t>
        </is>
      </c>
      <c r="G694" t="n">
        <v>1.8</v>
      </c>
      <c r="H694" t="n">
        <v>0</v>
      </c>
      <c r="I694" t="n">
        <v>0</v>
      </c>
      <c r="J694" t="n">
        <v>0</v>
      </c>
      <c r="K694" t="n">
        <v>0</v>
      </c>
      <c r="L694" t="n">
        <v>0</v>
      </c>
      <c r="M694" t="n">
        <v>0</v>
      </c>
      <c r="N694" t="n">
        <v>0</v>
      </c>
      <c r="O694" t="n">
        <v>0</v>
      </c>
      <c r="P694" t="n">
        <v>0</v>
      </c>
      <c r="Q694" t="n">
        <v>0</v>
      </c>
      <c r="R694" s="2" t="inlineStr"/>
    </row>
    <row r="695" ht="15" customHeight="1">
      <c r="A695" t="inlineStr">
        <is>
          <t>A 54190-2022</t>
        </is>
      </c>
      <c r="B695" s="1" t="n">
        <v>44881.68282407407</v>
      </c>
      <c r="C695" s="1" t="n">
        <v>46078</v>
      </c>
      <c r="D695" t="inlineStr">
        <is>
          <t>KALMAR LÄN</t>
        </is>
      </c>
      <c r="E695" t="inlineStr">
        <is>
          <t>VÄSTERVIK</t>
        </is>
      </c>
      <c r="G695" t="n">
        <v>7.4</v>
      </c>
      <c r="H695" t="n">
        <v>0</v>
      </c>
      <c r="I695" t="n">
        <v>0</v>
      </c>
      <c r="J695" t="n">
        <v>0</v>
      </c>
      <c r="K695" t="n">
        <v>0</v>
      </c>
      <c r="L695" t="n">
        <v>0</v>
      </c>
      <c r="M695" t="n">
        <v>0</v>
      </c>
      <c r="N695" t="n">
        <v>0</v>
      </c>
      <c r="O695" t="n">
        <v>0</v>
      </c>
      <c r="P695" t="n">
        <v>0</v>
      </c>
      <c r="Q695" t="n">
        <v>0</v>
      </c>
      <c r="R695" s="2" t="inlineStr"/>
    </row>
    <row r="696" ht="15" customHeight="1">
      <c r="A696" t="inlineStr">
        <is>
          <t>A 10766-2025</t>
        </is>
      </c>
      <c r="B696" s="1" t="n">
        <v>45722.4630787037</v>
      </c>
      <c r="C696" s="1" t="n">
        <v>46078</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52492-2025</t>
        </is>
      </c>
      <c r="B697" s="1" t="n">
        <v>45953</v>
      </c>
      <c r="C697" s="1" t="n">
        <v>46078</v>
      </c>
      <c r="D697" t="inlineStr">
        <is>
          <t>KALMAR LÄN</t>
        </is>
      </c>
      <c r="E697" t="inlineStr">
        <is>
          <t>VÄSTERVIK</t>
        </is>
      </c>
      <c r="G697" t="n">
        <v>0.9</v>
      </c>
      <c r="H697" t="n">
        <v>0</v>
      </c>
      <c r="I697" t="n">
        <v>0</v>
      </c>
      <c r="J697" t="n">
        <v>0</v>
      </c>
      <c r="K697" t="n">
        <v>0</v>
      </c>
      <c r="L697" t="n">
        <v>0</v>
      </c>
      <c r="M697" t="n">
        <v>0</v>
      </c>
      <c r="N697" t="n">
        <v>0</v>
      </c>
      <c r="O697" t="n">
        <v>0</v>
      </c>
      <c r="P697" t="n">
        <v>0</v>
      </c>
      <c r="Q697" t="n">
        <v>0</v>
      </c>
      <c r="R697" s="2" t="inlineStr"/>
    </row>
    <row r="698" ht="15" customHeight="1">
      <c r="A698" t="inlineStr">
        <is>
          <t>A 52495-2025</t>
        </is>
      </c>
      <c r="B698" s="1" t="n">
        <v>45953</v>
      </c>
      <c r="C698" s="1" t="n">
        <v>46078</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35770-2023</t>
        </is>
      </c>
      <c r="B699" s="1" t="n">
        <v>45147</v>
      </c>
      <c r="C699" s="1" t="n">
        <v>46078</v>
      </c>
      <c r="D699" t="inlineStr">
        <is>
          <t>KALMAR LÄN</t>
        </is>
      </c>
      <c r="E699" t="inlineStr">
        <is>
          <t>VÄSTERVIK</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21660-2025</t>
        </is>
      </c>
      <c r="B700" s="1" t="n">
        <v>45783.45542824074</v>
      </c>
      <c r="C700" s="1" t="n">
        <v>46078</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38040-2023</t>
        </is>
      </c>
      <c r="B701" s="1" t="n">
        <v>45160.66336805555</v>
      </c>
      <c r="C701" s="1" t="n">
        <v>46078</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8593-2023</t>
        </is>
      </c>
      <c r="B702" s="1" t="n">
        <v>44977</v>
      </c>
      <c r="C702" s="1" t="n">
        <v>46078</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29722-2025</t>
        </is>
      </c>
      <c r="B703" s="1" t="n">
        <v>45825.57524305556</v>
      </c>
      <c r="C703" s="1" t="n">
        <v>46078</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23148-2025</t>
        </is>
      </c>
      <c r="B704" s="1" t="n">
        <v>45791.40225694444</v>
      </c>
      <c r="C704" s="1" t="n">
        <v>46078</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52170-2025</t>
        </is>
      </c>
      <c r="B705" s="1" t="n">
        <v>45953.36766203704</v>
      </c>
      <c r="C705" s="1" t="n">
        <v>46078</v>
      </c>
      <c r="D705" t="inlineStr">
        <is>
          <t>KALMAR LÄN</t>
        </is>
      </c>
      <c r="E705" t="inlineStr">
        <is>
          <t>VÄSTERVIK</t>
        </is>
      </c>
      <c r="G705" t="n">
        <v>4.6</v>
      </c>
      <c r="H705" t="n">
        <v>0</v>
      </c>
      <c r="I705" t="n">
        <v>0</v>
      </c>
      <c r="J705" t="n">
        <v>0</v>
      </c>
      <c r="K705" t="n">
        <v>0</v>
      </c>
      <c r="L705" t="n">
        <v>0</v>
      </c>
      <c r="M705" t="n">
        <v>0</v>
      </c>
      <c r="N705" t="n">
        <v>0</v>
      </c>
      <c r="O705" t="n">
        <v>0</v>
      </c>
      <c r="P705" t="n">
        <v>0</v>
      </c>
      <c r="Q705" t="n">
        <v>0</v>
      </c>
      <c r="R705" s="2" t="inlineStr"/>
    </row>
    <row r="706" ht="15" customHeight="1">
      <c r="A706" t="inlineStr">
        <is>
          <t>A 2746-2023</t>
        </is>
      </c>
      <c r="B706" s="1" t="n">
        <v>44944</v>
      </c>
      <c r="C706" s="1" t="n">
        <v>46078</v>
      </c>
      <c r="D706" t="inlineStr">
        <is>
          <t>KALMAR LÄN</t>
        </is>
      </c>
      <c r="E706" t="inlineStr">
        <is>
          <t>VÄSTERVIK</t>
        </is>
      </c>
      <c r="G706" t="n">
        <v>5.5</v>
      </c>
      <c r="H706" t="n">
        <v>0</v>
      </c>
      <c r="I706" t="n">
        <v>0</v>
      </c>
      <c r="J706" t="n">
        <v>0</v>
      </c>
      <c r="K706" t="n">
        <v>0</v>
      </c>
      <c r="L706" t="n">
        <v>0</v>
      </c>
      <c r="M706" t="n">
        <v>0</v>
      </c>
      <c r="N706" t="n">
        <v>0</v>
      </c>
      <c r="O706" t="n">
        <v>0</v>
      </c>
      <c r="P706" t="n">
        <v>0</v>
      </c>
      <c r="Q706" t="n">
        <v>0</v>
      </c>
      <c r="R706" s="2" t="inlineStr"/>
    </row>
    <row r="707" ht="15" customHeight="1">
      <c r="A707" t="inlineStr">
        <is>
          <t>A 31686-2023</t>
        </is>
      </c>
      <c r="B707" s="1" t="n">
        <v>45117</v>
      </c>
      <c r="C707" s="1" t="n">
        <v>46078</v>
      </c>
      <c r="D707" t="inlineStr">
        <is>
          <t>KALMAR LÄN</t>
        </is>
      </c>
      <c r="E707" t="inlineStr">
        <is>
          <t>VÄSTERVIK</t>
        </is>
      </c>
      <c r="G707" t="n">
        <v>1.7</v>
      </c>
      <c r="H707" t="n">
        <v>0</v>
      </c>
      <c r="I707" t="n">
        <v>0</v>
      </c>
      <c r="J707" t="n">
        <v>0</v>
      </c>
      <c r="K707" t="n">
        <v>0</v>
      </c>
      <c r="L707" t="n">
        <v>0</v>
      </c>
      <c r="M707" t="n">
        <v>0</v>
      </c>
      <c r="N707" t="n">
        <v>0</v>
      </c>
      <c r="O707" t="n">
        <v>0</v>
      </c>
      <c r="P707" t="n">
        <v>0</v>
      </c>
      <c r="Q707" t="n">
        <v>0</v>
      </c>
      <c r="R707" s="2" t="inlineStr"/>
    </row>
    <row r="708" ht="15" customHeight="1">
      <c r="A708" t="inlineStr">
        <is>
          <t>A 51983-2025</t>
        </is>
      </c>
      <c r="B708" s="1" t="n">
        <v>45952.57481481481</v>
      </c>
      <c r="C708" s="1" t="n">
        <v>46078</v>
      </c>
      <c r="D708" t="inlineStr">
        <is>
          <t>KALMAR LÄN</t>
        </is>
      </c>
      <c r="E708" t="inlineStr">
        <is>
          <t>VÄSTERVIK</t>
        </is>
      </c>
      <c r="G708" t="n">
        <v>2.6</v>
      </c>
      <c r="H708" t="n">
        <v>0</v>
      </c>
      <c r="I708" t="n">
        <v>0</v>
      </c>
      <c r="J708" t="n">
        <v>0</v>
      </c>
      <c r="K708" t="n">
        <v>0</v>
      </c>
      <c r="L708" t="n">
        <v>0</v>
      </c>
      <c r="M708" t="n">
        <v>0</v>
      </c>
      <c r="N708" t="n">
        <v>0</v>
      </c>
      <c r="O708" t="n">
        <v>0</v>
      </c>
      <c r="P708" t="n">
        <v>0</v>
      </c>
      <c r="Q708" t="n">
        <v>0</v>
      </c>
      <c r="R708" s="2" t="inlineStr"/>
    </row>
    <row r="709" ht="15" customHeight="1">
      <c r="A709" t="inlineStr">
        <is>
          <t>A 10688-2024</t>
        </is>
      </c>
      <c r="B709" s="1" t="n">
        <v>45369.39894675926</v>
      </c>
      <c r="C709" s="1" t="n">
        <v>46078</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52488-2025</t>
        </is>
      </c>
      <c r="B710" s="1" t="n">
        <v>45953</v>
      </c>
      <c r="C710" s="1" t="n">
        <v>46078</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36757-2025</t>
        </is>
      </c>
      <c r="B711" s="1" t="n">
        <v>45873.56483796296</v>
      </c>
      <c r="C711" s="1" t="n">
        <v>46078</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37642-2023</t>
        </is>
      </c>
      <c r="B712" s="1" t="n">
        <v>45159.47940972223</v>
      </c>
      <c r="C712" s="1" t="n">
        <v>46078</v>
      </c>
      <c r="D712" t="inlineStr">
        <is>
          <t>KALMAR LÄN</t>
        </is>
      </c>
      <c r="E712" t="inlineStr">
        <is>
          <t>VÄSTERVIK</t>
        </is>
      </c>
      <c r="G712" t="n">
        <v>0.6</v>
      </c>
      <c r="H712" t="n">
        <v>0</v>
      </c>
      <c r="I712" t="n">
        <v>0</v>
      </c>
      <c r="J712" t="n">
        <v>0</v>
      </c>
      <c r="K712" t="n">
        <v>0</v>
      </c>
      <c r="L712" t="n">
        <v>0</v>
      </c>
      <c r="M712" t="n">
        <v>0</v>
      </c>
      <c r="N712" t="n">
        <v>0</v>
      </c>
      <c r="O712" t="n">
        <v>0</v>
      </c>
      <c r="P712" t="n">
        <v>0</v>
      </c>
      <c r="Q712" t="n">
        <v>0</v>
      </c>
      <c r="R712" s="2" t="inlineStr"/>
    </row>
    <row r="713" ht="15" customHeight="1">
      <c r="A713" t="inlineStr">
        <is>
          <t>A 59871-2022</t>
        </is>
      </c>
      <c r="B713" s="1" t="n">
        <v>44908</v>
      </c>
      <c r="C713" s="1" t="n">
        <v>46078</v>
      </c>
      <c r="D713" t="inlineStr">
        <is>
          <t>KALMAR LÄN</t>
        </is>
      </c>
      <c r="E713" t="inlineStr">
        <is>
          <t>VÄSTERVIK</t>
        </is>
      </c>
      <c r="F713" t="inlineStr">
        <is>
          <t>Övriga Aktiebolag</t>
        </is>
      </c>
      <c r="G713" t="n">
        <v>0.4</v>
      </c>
      <c r="H713" t="n">
        <v>0</v>
      </c>
      <c r="I713" t="n">
        <v>0</v>
      </c>
      <c r="J713" t="n">
        <v>0</v>
      </c>
      <c r="K713" t="n">
        <v>0</v>
      </c>
      <c r="L713" t="n">
        <v>0</v>
      </c>
      <c r="M713" t="n">
        <v>0</v>
      </c>
      <c r="N713" t="n">
        <v>0</v>
      </c>
      <c r="O713" t="n">
        <v>0</v>
      </c>
      <c r="P713" t="n">
        <v>0</v>
      </c>
      <c r="Q713" t="n">
        <v>0</v>
      </c>
      <c r="R713" s="2" t="inlineStr"/>
    </row>
    <row r="714" ht="15" customHeight="1">
      <c r="A714" t="inlineStr">
        <is>
          <t>A 73640-2021</t>
        </is>
      </c>
      <c r="B714" s="1" t="n">
        <v>44552.43644675926</v>
      </c>
      <c r="C714" s="1" t="n">
        <v>46078</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63606-2023</t>
        </is>
      </c>
      <c r="B715" s="1" t="n">
        <v>45275</v>
      </c>
      <c r="C715" s="1" t="n">
        <v>46078</v>
      </c>
      <c r="D715" t="inlineStr">
        <is>
          <t>KALMAR LÄN</t>
        </is>
      </c>
      <c r="E715" t="inlineStr">
        <is>
          <t>VÄSTERVIK</t>
        </is>
      </c>
      <c r="G715" t="n">
        <v>2.9</v>
      </c>
      <c r="H715" t="n">
        <v>0</v>
      </c>
      <c r="I715" t="n">
        <v>0</v>
      </c>
      <c r="J715" t="n">
        <v>0</v>
      </c>
      <c r="K715" t="n">
        <v>0</v>
      </c>
      <c r="L715" t="n">
        <v>0</v>
      </c>
      <c r="M715" t="n">
        <v>0</v>
      </c>
      <c r="N715" t="n">
        <v>0</v>
      </c>
      <c r="O715" t="n">
        <v>0</v>
      </c>
      <c r="P715" t="n">
        <v>0</v>
      </c>
      <c r="Q715" t="n">
        <v>0</v>
      </c>
      <c r="R715" s="2" t="inlineStr"/>
    </row>
    <row r="716" ht="15" customHeight="1">
      <c r="A716" t="inlineStr">
        <is>
          <t>A 20483-2025</t>
        </is>
      </c>
      <c r="B716" s="1" t="n">
        <v>45775.55954861111</v>
      </c>
      <c r="C716" s="1" t="n">
        <v>46078</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28404-2024</t>
        </is>
      </c>
      <c r="B717" s="1" t="n">
        <v>45477.61552083334</v>
      </c>
      <c r="C717" s="1" t="n">
        <v>46078</v>
      </c>
      <c r="D717" t="inlineStr">
        <is>
          <t>KALMAR LÄN</t>
        </is>
      </c>
      <c r="E717" t="inlineStr">
        <is>
          <t>VÄSTERVIK</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28415-2024</t>
        </is>
      </c>
      <c r="B718" s="1" t="n">
        <v>45477.62924768519</v>
      </c>
      <c r="C718" s="1" t="n">
        <v>46078</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36754-2025</t>
        </is>
      </c>
      <c r="B719" s="1" t="n">
        <v>45873.5591087963</v>
      </c>
      <c r="C719" s="1" t="n">
        <v>46078</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row>
    <row r="720" ht="15" customHeight="1">
      <c r="A720" t="inlineStr">
        <is>
          <t>A 47124-2023</t>
        </is>
      </c>
      <c r="B720" s="1" t="n">
        <v>45201</v>
      </c>
      <c r="C720" s="1" t="n">
        <v>46078</v>
      </c>
      <c r="D720" t="inlineStr">
        <is>
          <t>KALMAR LÄN</t>
        </is>
      </c>
      <c r="E720" t="inlineStr">
        <is>
          <t>VÄSTERVIK</t>
        </is>
      </c>
      <c r="G720" t="n">
        <v>1.5</v>
      </c>
      <c r="H720" t="n">
        <v>0</v>
      </c>
      <c r="I720" t="n">
        <v>0</v>
      </c>
      <c r="J720" t="n">
        <v>0</v>
      </c>
      <c r="K720" t="n">
        <v>0</v>
      </c>
      <c r="L720" t="n">
        <v>0</v>
      </c>
      <c r="M720" t="n">
        <v>0</v>
      </c>
      <c r="N720" t="n">
        <v>0</v>
      </c>
      <c r="O720" t="n">
        <v>0</v>
      </c>
      <c r="P720" t="n">
        <v>0</v>
      </c>
      <c r="Q720" t="n">
        <v>0</v>
      </c>
      <c r="R720" s="2" t="inlineStr"/>
    </row>
    <row r="721" ht="15" customHeight="1">
      <c r="A721" t="inlineStr">
        <is>
          <t>A 35162-2024</t>
        </is>
      </c>
      <c r="B721" s="1" t="n">
        <v>45530.40025462963</v>
      </c>
      <c r="C721" s="1" t="n">
        <v>46078</v>
      </c>
      <c r="D721" t="inlineStr">
        <is>
          <t>KALMAR LÄN</t>
        </is>
      </c>
      <c r="E721" t="inlineStr">
        <is>
          <t>VÄSTERVIK</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11988-2022</t>
        </is>
      </c>
      <c r="B722" s="1" t="n">
        <v>44635.68771990741</v>
      </c>
      <c r="C722" s="1" t="n">
        <v>46078</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37523-2025</t>
        </is>
      </c>
      <c r="B723" s="1" t="n">
        <v>45877</v>
      </c>
      <c r="C723" s="1" t="n">
        <v>46078</v>
      </c>
      <c r="D723" t="inlineStr">
        <is>
          <t>KALMAR LÄN</t>
        </is>
      </c>
      <c r="E723" t="inlineStr">
        <is>
          <t>VÄSTERVIK</t>
        </is>
      </c>
      <c r="G723" t="n">
        <v>0.7</v>
      </c>
      <c r="H723" t="n">
        <v>0</v>
      </c>
      <c r="I723" t="n">
        <v>0</v>
      </c>
      <c r="J723" t="n">
        <v>0</v>
      </c>
      <c r="K723" t="n">
        <v>0</v>
      </c>
      <c r="L723" t="n">
        <v>0</v>
      </c>
      <c r="M723" t="n">
        <v>0</v>
      </c>
      <c r="N723" t="n">
        <v>0</v>
      </c>
      <c r="O723" t="n">
        <v>0</v>
      </c>
      <c r="P723" t="n">
        <v>0</v>
      </c>
      <c r="Q723" t="n">
        <v>0</v>
      </c>
      <c r="R723" s="2" t="inlineStr"/>
    </row>
    <row r="724" ht="15" customHeight="1">
      <c r="A724" t="inlineStr">
        <is>
          <t>A 37526-2025</t>
        </is>
      </c>
      <c r="B724" s="1" t="n">
        <v>45877</v>
      </c>
      <c r="C724" s="1" t="n">
        <v>46078</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1785-2025</t>
        </is>
      </c>
      <c r="B725" s="1" t="n">
        <v>45671.45061342593</v>
      </c>
      <c r="C725" s="1" t="n">
        <v>46078</v>
      </c>
      <c r="D725" t="inlineStr">
        <is>
          <t>KALMAR LÄN</t>
        </is>
      </c>
      <c r="E725" t="inlineStr">
        <is>
          <t>VÄSTERVIK</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53145-2025</t>
        </is>
      </c>
      <c r="B726" s="1" t="n">
        <v>45958</v>
      </c>
      <c r="C726" s="1" t="n">
        <v>46078</v>
      </c>
      <c r="D726" t="inlineStr">
        <is>
          <t>KALMAR LÄN</t>
        </is>
      </c>
      <c r="E726" t="inlineStr">
        <is>
          <t>VÄSTERVIK</t>
        </is>
      </c>
      <c r="G726" t="n">
        <v>2.7</v>
      </c>
      <c r="H726" t="n">
        <v>0</v>
      </c>
      <c r="I726" t="n">
        <v>0</v>
      </c>
      <c r="J726" t="n">
        <v>0</v>
      </c>
      <c r="K726" t="n">
        <v>0</v>
      </c>
      <c r="L726" t="n">
        <v>0</v>
      </c>
      <c r="M726" t="n">
        <v>0</v>
      </c>
      <c r="N726" t="n">
        <v>0</v>
      </c>
      <c r="O726" t="n">
        <v>0</v>
      </c>
      <c r="P726" t="n">
        <v>0</v>
      </c>
      <c r="Q726" t="n">
        <v>0</v>
      </c>
      <c r="R726" s="2" t="inlineStr"/>
    </row>
    <row r="727" ht="15" customHeight="1">
      <c r="A727" t="inlineStr">
        <is>
          <t>A 53394-2025</t>
        </is>
      </c>
      <c r="B727" s="1" t="n">
        <v>45959.5534837963</v>
      </c>
      <c r="C727" s="1" t="n">
        <v>46078</v>
      </c>
      <c r="D727" t="inlineStr">
        <is>
          <t>KALMAR LÄN</t>
        </is>
      </c>
      <c r="E727" t="inlineStr">
        <is>
          <t>VÄSTERVIK</t>
        </is>
      </c>
      <c r="G727" t="n">
        <v>0.8</v>
      </c>
      <c r="H727" t="n">
        <v>0</v>
      </c>
      <c r="I727" t="n">
        <v>0</v>
      </c>
      <c r="J727" t="n">
        <v>0</v>
      </c>
      <c r="K727" t="n">
        <v>0</v>
      </c>
      <c r="L727" t="n">
        <v>0</v>
      </c>
      <c r="M727" t="n">
        <v>0</v>
      </c>
      <c r="N727" t="n">
        <v>0</v>
      </c>
      <c r="O727" t="n">
        <v>0</v>
      </c>
      <c r="P727" t="n">
        <v>0</v>
      </c>
      <c r="Q727" t="n">
        <v>0</v>
      </c>
      <c r="R727" s="2" t="inlineStr"/>
    </row>
    <row r="728" ht="15" customHeight="1">
      <c r="A728" t="inlineStr">
        <is>
          <t>A 35417-2022</t>
        </is>
      </c>
      <c r="B728" s="1" t="n">
        <v>44798</v>
      </c>
      <c r="C728" s="1" t="n">
        <v>46078</v>
      </c>
      <c r="D728" t="inlineStr">
        <is>
          <t>KALMAR LÄN</t>
        </is>
      </c>
      <c r="E728" t="inlineStr">
        <is>
          <t>VÄSTERVIK</t>
        </is>
      </c>
      <c r="G728" t="n">
        <v>5.2</v>
      </c>
      <c r="H728" t="n">
        <v>0</v>
      </c>
      <c r="I728" t="n">
        <v>0</v>
      </c>
      <c r="J728" t="n">
        <v>0</v>
      </c>
      <c r="K728" t="n">
        <v>0</v>
      </c>
      <c r="L728" t="n">
        <v>0</v>
      </c>
      <c r="M728" t="n">
        <v>0</v>
      </c>
      <c r="N728" t="n">
        <v>0</v>
      </c>
      <c r="O728" t="n">
        <v>0</v>
      </c>
      <c r="P728" t="n">
        <v>0</v>
      </c>
      <c r="Q728" t="n">
        <v>0</v>
      </c>
      <c r="R728" s="2" t="inlineStr"/>
    </row>
    <row r="729" ht="15" customHeight="1">
      <c r="A729" t="inlineStr">
        <is>
          <t>A 53334-2025</t>
        </is>
      </c>
      <c r="B729" s="1" t="n">
        <v>45959.38063657407</v>
      </c>
      <c r="C729" s="1" t="n">
        <v>46078</v>
      </c>
      <c r="D729" t="inlineStr">
        <is>
          <t>KALMAR LÄN</t>
        </is>
      </c>
      <c r="E729" t="inlineStr">
        <is>
          <t>VÄSTERVIK</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16207-2022</t>
        </is>
      </c>
      <c r="B730" s="1" t="n">
        <v>44669</v>
      </c>
      <c r="C730" s="1" t="n">
        <v>46078</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46078</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23626-2024</t>
        </is>
      </c>
      <c r="B732" s="1" t="n">
        <v>45454</v>
      </c>
      <c r="C732" s="1" t="n">
        <v>46078</v>
      </c>
      <c r="D732" t="inlineStr">
        <is>
          <t>KALMAR LÄN</t>
        </is>
      </c>
      <c r="E732" t="inlineStr">
        <is>
          <t>VÄSTERVIK</t>
        </is>
      </c>
      <c r="G732" t="n">
        <v>2.1</v>
      </c>
      <c r="H732" t="n">
        <v>0</v>
      </c>
      <c r="I732" t="n">
        <v>0</v>
      </c>
      <c r="J732" t="n">
        <v>0</v>
      </c>
      <c r="K732" t="n">
        <v>0</v>
      </c>
      <c r="L732" t="n">
        <v>0</v>
      </c>
      <c r="M732" t="n">
        <v>0</v>
      </c>
      <c r="N732" t="n">
        <v>0</v>
      </c>
      <c r="O732" t="n">
        <v>0</v>
      </c>
      <c r="P732" t="n">
        <v>0</v>
      </c>
      <c r="Q732" t="n">
        <v>0</v>
      </c>
      <c r="R732" s="2" t="inlineStr"/>
    </row>
    <row r="733" ht="15" customHeight="1">
      <c r="A733" t="inlineStr">
        <is>
          <t>A 53364-2025</t>
        </is>
      </c>
      <c r="B733" s="1" t="n">
        <v>45959.48401620371</v>
      </c>
      <c r="C733" s="1" t="n">
        <v>46078</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53366-2025</t>
        </is>
      </c>
      <c r="B734" s="1" t="n">
        <v>45959.48521990741</v>
      </c>
      <c r="C734" s="1" t="n">
        <v>46078</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46267-2022</t>
        </is>
      </c>
      <c r="B735" s="1" t="n">
        <v>44847</v>
      </c>
      <c r="C735" s="1" t="n">
        <v>46078</v>
      </c>
      <c r="D735" t="inlineStr">
        <is>
          <t>KALMAR LÄN</t>
        </is>
      </c>
      <c r="E735" t="inlineStr">
        <is>
          <t>VÄSTERVIK</t>
        </is>
      </c>
      <c r="G735" t="n">
        <v>1.7</v>
      </c>
      <c r="H735" t="n">
        <v>0</v>
      </c>
      <c r="I735" t="n">
        <v>0</v>
      </c>
      <c r="J735" t="n">
        <v>0</v>
      </c>
      <c r="K735" t="n">
        <v>0</v>
      </c>
      <c r="L735" t="n">
        <v>0</v>
      </c>
      <c r="M735" t="n">
        <v>0</v>
      </c>
      <c r="N735" t="n">
        <v>0</v>
      </c>
      <c r="O735" t="n">
        <v>0</v>
      </c>
      <c r="P735" t="n">
        <v>0</v>
      </c>
      <c r="Q735" t="n">
        <v>0</v>
      </c>
      <c r="R735" s="2" t="inlineStr"/>
    </row>
    <row r="736" ht="15" customHeight="1">
      <c r="A736" t="inlineStr">
        <is>
          <t>A 55609-2024</t>
        </is>
      </c>
      <c r="B736" s="1" t="n">
        <v>45622.58350694444</v>
      </c>
      <c r="C736" s="1" t="n">
        <v>46078</v>
      </c>
      <c r="D736" t="inlineStr">
        <is>
          <t>KALMAR LÄN</t>
        </is>
      </c>
      <c r="E736" t="inlineStr">
        <is>
          <t>VÄSTERVIK</t>
        </is>
      </c>
      <c r="G736" t="n">
        <v>1.1</v>
      </c>
      <c r="H736" t="n">
        <v>0</v>
      </c>
      <c r="I736" t="n">
        <v>0</v>
      </c>
      <c r="J736" t="n">
        <v>0</v>
      </c>
      <c r="K736" t="n">
        <v>0</v>
      </c>
      <c r="L736" t="n">
        <v>0</v>
      </c>
      <c r="M736" t="n">
        <v>0</v>
      </c>
      <c r="N736" t="n">
        <v>0</v>
      </c>
      <c r="O736" t="n">
        <v>0</v>
      </c>
      <c r="P736" t="n">
        <v>0</v>
      </c>
      <c r="Q736" t="n">
        <v>0</v>
      </c>
      <c r="R736" s="2" t="inlineStr"/>
    </row>
    <row r="737" ht="15" customHeight="1">
      <c r="A737" t="inlineStr">
        <is>
          <t>A 37774-2025</t>
        </is>
      </c>
      <c r="B737" s="1" t="n">
        <v>45880</v>
      </c>
      <c r="C737" s="1" t="n">
        <v>46078</v>
      </c>
      <c r="D737" t="inlineStr">
        <is>
          <t>KALMAR LÄN</t>
        </is>
      </c>
      <c r="E737" t="inlineStr">
        <is>
          <t>VÄSTERVIK</t>
        </is>
      </c>
      <c r="G737" t="n">
        <v>1.3</v>
      </c>
      <c r="H737" t="n">
        <v>0</v>
      </c>
      <c r="I737" t="n">
        <v>0</v>
      </c>
      <c r="J737" t="n">
        <v>0</v>
      </c>
      <c r="K737" t="n">
        <v>0</v>
      </c>
      <c r="L737" t="n">
        <v>0</v>
      </c>
      <c r="M737" t="n">
        <v>0</v>
      </c>
      <c r="N737" t="n">
        <v>0</v>
      </c>
      <c r="O737" t="n">
        <v>0</v>
      </c>
      <c r="P737" t="n">
        <v>0</v>
      </c>
      <c r="Q737" t="n">
        <v>0</v>
      </c>
      <c r="R737" s="2" t="inlineStr"/>
    </row>
    <row r="738" ht="15" customHeight="1">
      <c r="A738" t="inlineStr">
        <is>
          <t>A 38048-2023</t>
        </is>
      </c>
      <c r="B738" s="1" t="n">
        <v>45160.67677083334</v>
      </c>
      <c r="C738" s="1" t="n">
        <v>46078</v>
      </c>
      <c r="D738" t="inlineStr">
        <is>
          <t>KALMAR LÄN</t>
        </is>
      </c>
      <c r="E738" t="inlineStr">
        <is>
          <t>VÄSTERVIK</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11584-2023</t>
        </is>
      </c>
      <c r="B739" s="1" t="n">
        <v>44994.35707175926</v>
      </c>
      <c r="C739" s="1" t="n">
        <v>46078</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38442-2025</t>
        </is>
      </c>
      <c r="B740" s="1" t="n">
        <v>45883</v>
      </c>
      <c r="C740" s="1" t="n">
        <v>46078</v>
      </c>
      <c r="D740" t="inlineStr">
        <is>
          <t>KALMAR LÄN</t>
        </is>
      </c>
      <c r="E740" t="inlineStr">
        <is>
          <t>VÄSTERVIK</t>
        </is>
      </c>
      <c r="G740" t="n">
        <v>3.5</v>
      </c>
      <c r="H740" t="n">
        <v>0</v>
      </c>
      <c r="I740" t="n">
        <v>0</v>
      </c>
      <c r="J740" t="n">
        <v>0</v>
      </c>
      <c r="K740" t="n">
        <v>0</v>
      </c>
      <c r="L740" t="n">
        <v>0</v>
      </c>
      <c r="M740" t="n">
        <v>0</v>
      </c>
      <c r="N740" t="n">
        <v>0</v>
      </c>
      <c r="O740" t="n">
        <v>0</v>
      </c>
      <c r="P740" t="n">
        <v>0</v>
      </c>
      <c r="Q740" t="n">
        <v>0</v>
      </c>
      <c r="R740" s="2" t="inlineStr"/>
    </row>
    <row r="741" ht="15" customHeight="1">
      <c r="A741" t="inlineStr">
        <is>
          <t>A 53885-2025</t>
        </is>
      </c>
      <c r="B741" s="1" t="n">
        <v>45961.40505787037</v>
      </c>
      <c r="C741" s="1" t="n">
        <v>46078</v>
      </c>
      <c r="D741" t="inlineStr">
        <is>
          <t>KALMAR LÄN</t>
        </is>
      </c>
      <c r="E741" t="inlineStr">
        <is>
          <t>VÄSTERVIK</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53854-2025</t>
        </is>
      </c>
      <c r="B742" s="1" t="n">
        <v>45961.37491898148</v>
      </c>
      <c r="C742" s="1" t="n">
        <v>46078</v>
      </c>
      <c r="D742" t="inlineStr">
        <is>
          <t>KALMAR LÄN</t>
        </is>
      </c>
      <c r="E742" t="inlineStr">
        <is>
          <t>VÄSTERVIK</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53872-2025</t>
        </is>
      </c>
      <c r="B743" s="1" t="n">
        <v>45961.39266203704</v>
      </c>
      <c r="C743" s="1" t="n">
        <v>46078</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53884-2025</t>
        </is>
      </c>
      <c r="B744" s="1" t="n">
        <v>45961.4030787037</v>
      </c>
      <c r="C744" s="1" t="n">
        <v>46078</v>
      </c>
      <c r="D744" t="inlineStr">
        <is>
          <t>KALMAR LÄN</t>
        </is>
      </c>
      <c r="E744" t="inlineStr">
        <is>
          <t>VÄSTERVIK</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46078</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54286-2025</t>
        </is>
      </c>
      <c r="B746" s="1" t="n">
        <v>45964.79894675926</v>
      </c>
      <c r="C746" s="1" t="n">
        <v>46078</v>
      </c>
      <c r="D746" t="inlineStr">
        <is>
          <t>KALMAR LÄN</t>
        </is>
      </c>
      <c r="E746" t="inlineStr">
        <is>
          <t>VÄSTERVIK</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18081-2023</t>
        </is>
      </c>
      <c r="B747" s="1" t="n">
        <v>45040</v>
      </c>
      <c r="C747" s="1" t="n">
        <v>46078</v>
      </c>
      <c r="D747" t="inlineStr">
        <is>
          <t>KALMAR LÄN</t>
        </is>
      </c>
      <c r="E747" t="inlineStr">
        <is>
          <t>VÄSTERVIK</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26776-2023</t>
        </is>
      </c>
      <c r="B748" s="1" t="n">
        <v>45093</v>
      </c>
      <c r="C748" s="1" t="n">
        <v>46078</v>
      </c>
      <c r="D748" t="inlineStr">
        <is>
          <t>KALMAR LÄN</t>
        </is>
      </c>
      <c r="E748" t="inlineStr">
        <is>
          <t>VÄSTERVIK</t>
        </is>
      </c>
      <c r="G748" t="n">
        <v>1.3</v>
      </c>
      <c r="H748" t="n">
        <v>0</v>
      </c>
      <c r="I748" t="n">
        <v>0</v>
      </c>
      <c r="J748" t="n">
        <v>0</v>
      </c>
      <c r="K748" t="n">
        <v>0</v>
      </c>
      <c r="L748" t="n">
        <v>0</v>
      </c>
      <c r="M748" t="n">
        <v>0</v>
      </c>
      <c r="N748" t="n">
        <v>0</v>
      </c>
      <c r="O748" t="n">
        <v>0</v>
      </c>
      <c r="P748" t="n">
        <v>0</v>
      </c>
      <c r="Q748" t="n">
        <v>0</v>
      </c>
      <c r="R748" s="2" t="inlineStr"/>
    </row>
    <row r="749" ht="15" customHeight="1">
      <c r="A749" t="inlineStr">
        <is>
          <t>A 62304-2022</t>
        </is>
      </c>
      <c r="B749" s="1" t="n">
        <v>44923.46215277778</v>
      </c>
      <c r="C749" s="1" t="n">
        <v>46078</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62306-2022</t>
        </is>
      </c>
      <c r="B750" s="1" t="n">
        <v>44923</v>
      </c>
      <c r="C750" s="1" t="n">
        <v>46078</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46078</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17307-2023</t>
        </is>
      </c>
      <c r="B752" s="1" t="n">
        <v>45035.53497685185</v>
      </c>
      <c r="C752" s="1" t="n">
        <v>46078</v>
      </c>
      <c r="D752" t="inlineStr">
        <is>
          <t>KALMAR LÄN</t>
        </is>
      </c>
      <c r="E752" t="inlineStr">
        <is>
          <t>VÄSTERVIK</t>
        </is>
      </c>
      <c r="G752" t="n">
        <v>0</v>
      </c>
      <c r="H752" t="n">
        <v>0</v>
      </c>
      <c r="I752" t="n">
        <v>0</v>
      </c>
      <c r="J752" t="n">
        <v>0</v>
      </c>
      <c r="K752" t="n">
        <v>0</v>
      </c>
      <c r="L752" t="n">
        <v>0</v>
      </c>
      <c r="M752" t="n">
        <v>0</v>
      </c>
      <c r="N752" t="n">
        <v>0</v>
      </c>
      <c r="O752" t="n">
        <v>0</v>
      </c>
      <c r="P752" t="n">
        <v>0</v>
      </c>
      <c r="Q752" t="n">
        <v>0</v>
      </c>
      <c r="R752" s="2" t="inlineStr"/>
    </row>
    <row r="753" ht="15" customHeight="1">
      <c r="A753" t="inlineStr">
        <is>
          <t>A 54290-2025</t>
        </is>
      </c>
      <c r="B753" s="1" t="n">
        <v>45964.81896990741</v>
      </c>
      <c r="C753" s="1" t="n">
        <v>46078</v>
      </c>
      <c r="D753" t="inlineStr">
        <is>
          <t>KALMAR LÄN</t>
        </is>
      </c>
      <c r="E753" t="inlineStr">
        <is>
          <t>VÄSTERVIK</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13489-2022</t>
        </is>
      </c>
      <c r="B754" s="1" t="n">
        <v>44646</v>
      </c>
      <c r="C754" s="1" t="n">
        <v>46078</v>
      </c>
      <c r="D754" t="inlineStr">
        <is>
          <t>KALMAR LÄN</t>
        </is>
      </c>
      <c r="E754" t="inlineStr">
        <is>
          <t>VÄSTERVIK</t>
        </is>
      </c>
      <c r="G754" t="n">
        <v>2.5</v>
      </c>
      <c r="H754" t="n">
        <v>0</v>
      </c>
      <c r="I754" t="n">
        <v>0</v>
      </c>
      <c r="J754" t="n">
        <v>0</v>
      </c>
      <c r="K754" t="n">
        <v>0</v>
      </c>
      <c r="L754" t="n">
        <v>0</v>
      </c>
      <c r="M754" t="n">
        <v>0</v>
      </c>
      <c r="N754" t="n">
        <v>0</v>
      </c>
      <c r="O754" t="n">
        <v>0</v>
      </c>
      <c r="P754" t="n">
        <v>0</v>
      </c>
      <c r="Q754" t="n">
        <v>0</v>
      </c>
      <c r="R754" s="2" t="inlineStr"/>
    </row>
    <row r="755" ht="15" customHeight="1">
      <c r="A755" t="inlineStr">
        <is>
          <t>A 54577-2025</t>
        </is>
      </c>
      <c r="B755" s="1" t="n">
        <v>45965.6815162037</v>
      </c>
      <c r="C755" s="1" t="n">
        <v>46078</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60713-2022</t>
        </is>
      </c>
      <c r="B756" s="1" t="n">
        <v>44912</v>
      </c>
      <c r="C756" s="1" t="n">
        <v>46078</v>
      </c>
      <c r="D756" t="inlineStr">
        <is>
          <t>KALMAR LÄN</t>
        </is>
      </c>
      <c r="E756" t="inlineStr">
        <is>
          <t>VÄSTERVIK</t>
        </is>
      </c>
      <c r="F756" t="inlineStr">
        <is>
          <t>Övriga Aktiebolag</t>
        </is>
      </c>
      <c r="G756" t="n">
        <v>2.6</v>
      </c>
      <c r="H756" t="n">
        <v>0</v>
      </c>
      <c r="I756" t="n">
        <v>0</v>
      </c>
      <c r="J756" t="n">
        <v>0</v>
      </c>
      <c r="K756" t="n">
        <v>0</v>
      </c>
      <c r="L756" t="n">
        <v>0</v>
      </c>
      <c r="M756" t="n">
        <v>0</v>
      </c>
      <c r="N756" t="n">
        <v>0</v>
      </c>
      <c r="O756" t="n">
        <v>0</v>
      </c>
      <c r="P756" t="n">
        <v>0</v>
      </c>
      <c r="Q756" t="n">
        <v>0</v>
      </c>
      <c r="R756" s="2" t="inlineStr"/>
    </row>
    <row r="757" ht="15" customHeight="1">
      <c r="A757" t="inlineStr">
        <is>
          <t>A 16617-2023</t>
        </is>
      </c>
      <c r="B757" s="1" t="n">
        <v>45030</v>
      </c>
      <c r="C757" s="1" t="n">
        <v>46078</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55032-2024</t>
        </is>
      </c>
      <c r="B758" s="1" t="n">
        <v>45621.38190972222</v>
      </c>
      <c r="C758" s="1" t="n">
        <v>46078</v>
      </c>
      <c r="D758" t="inlineStr">
        <is>
          <t>KALMAR LÄN</t>
        </is>
      </c>
      <c r="E758" t="inlineStr">
        <is>
          <t>VÄSTERVIK</t>
        </is>
      </c>
      <c r="F758" t="inlineStr">
        <is>
          <t>Sveaskog</t>
        </is>
      </c>
      <c r="G758" t="n">
        <v>2.9</v>
      </c>
      <c r="H758" t="n">
        <v>0</v>
      </c>
      <c r="I758" t="n">
        <v>0</v>
      </c>
      <c r="J758" t="n">
        <v>0</v>
      </c>
      <c r="K758" t="n">
        <v>0</v>
      </c>
      <c r="L758" t="n">
        <v>0</v>
      </c>
      <c r="M758" t="n">
        <v>0</v>
      </c>
      <c r="N758" t="n">
        <v>0</v>
      </c>
      <c r="O758" t="n">
        <v>0</v>
      </c>
      <c r="P758" t="n">
        <v>0</v>
      </c>
      <c r="Q758" t="n">
        <v>0</v>
      </c>
      <c r="R758" s="2" t="inlineStr"/>
    </row>
    <row r="759" ht="15" customHeight="1">
      <c r="A759" t="inlineStr">
        <is>
          <t>A 55037-2024</t>
        </is>
      </c>
      <c r="B759" s="1" t="n">
        <v>45621.38459490741</v>
      </c>
      <c r="C759" s="1" t="n">
        <v>46078</v>
      </c>
      <c r="D759" t="inlineStr">
        <is>
          <t>KALMAR LÄN</t>
        </is>
      </c>
      <c r="E759" t="inlineStr">
        <is>
          <t>VÄSTERVIK</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928-2024</t>
        </is>
      </c>
      <c r="B760" s="1" t="n">
        <v>45301</v>
      </c>
      <c r="C760" s="1" t="n">
        <v>46078</v>
      </c>
      <c r="D760" t="inlineStr">
        <is>
          <t>KALMAR LÄN</t>
        </is>
      </c>
      <c r="E760" t="inlineStr">
        <is>
          <t>VÄSTERVIK</t>
        </is>
      </c>
      <c r="G760" t="n">
        <v>4.8</v>
      </c>
      <c r="H760" t="n">
        <v>0</v>
      </c>
      <c r="I760" t="n">
        <v>0</v>
      </c>
      <c r="J760" t="n">
        <v>0</v>
      </c>
      <c r="K760" t="n">
        <v>0</v>
      </c>
      <c r="L760" t="n">
        <v>0</v>
      </c>
      <c r="M760" t="n">
        <v>0</v>
      </c>
      <c r="N760" t="n">
        <v>0</v>
      </c>
      <c r="O760" t="n">
        <v>0</v>
      </c>
      <c r="P760" t="n">
        <v>0</v>
      </c>
      <c r="Q760" t="n">
        <v>0</v>
      </c>
      <c r="R760" s="2" t="inlineStr"/>
    </row>
    <row r="761" ht="15" customHeight="1">
      <c r="A761" t="inlineStr">
        <is>
          <t>A 34958-2021</t>
        </is>
      </c>
      <c r="B761" s="1" t="n">
        <v>44383</v>
      </c>
      <c r="C761" s="1" t="n">
        <v>46078</v>
      </c>
      <c r="D761" t="inlineStr">
        <is>
          <t>KALMAR LÄN</t>
        </is>
      </c>
      <c r="E761" t="inlineStr">
        <is>
          <t>VÄSTERVIK</t>
        </is>
      </c>
      <c r="G761" t="n">
        <v>2.7</v>
      </c>
      <c r="H761" t="n">
        <v>0</v>
      </c>
      <c r="I761" t="n">
        <v>0</v>
      </c>
      <c r="J761" t="n">
        <v>0</v>
      </c>
      <c r="K761" t="n">
        <v>0</v>
      </c>
      <c r="L761" t="n">
        <v>0</v>
      </c>
      <c r="M761" t="n">
        <v>0</v>
      </c>
      <c r="N761" t="n">
        <v>0</v>
      </c>
      <c r="O761" t="n">
        <v>0</v>
      </c>
      <c r="P761" t="n">
        <v>0</v>
      </c>
      <c r="Q761" t="n">
        <v>0</v>
      </c>
      <c r="R761" s="2" t="inlineStr"/>
    </row>
    <row r="762" ht="15" customHeight="1">
      <c r="A762" t="inlineStr">
        <is>
          <t>A 63018-2023</t>
        </is>
      </c>
      <c r="B762" s="1" t="n">
        <v>45272</v>
      </c>
      <c r="C762" s="1" t="n">
        <v>46078</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16395-2024</t>
        </is>
      </c>
      <c r="B763" s="1" t="n">
        <v>45407.62733796296</v>
      </c>
      <c r="C763" s="1" t="n">
        <v>46078</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c r="U763">
        <f>HYPERLINK("https://klasma.github.io/Logging_0883/knärot/A 16395-2024 karta knärot.png", "A 16395-2024")</f>
        <v/>
      </c>
      <c r="V763">
        <f>HYPERLINK("https://klasma.github.io/Logging_0883/klagomål/A 16395-2024 FSC-klagomål.docx", "A 16395-2024")</f>
        <v/>
      </c>
      <c r="W763">
        <f>HYPERLINK("https://klasma.github.io/Logging_0883/klagomålsmail/A 16395-2024 FSC-klagomål mail.docx", "A 16395-2024")</f>
        <v/>
      </c>
      <c r="X763">
        <f>HYPERLINK("https://klasma.github.io/Logging_0883/tillsyn/A 16395-2024 tillsynsbegäran.docx", "A 16395-2024")</f>
        <v/>
      </c>
      <c r="Y763">
        <f>HYPERLINK("https://klasma.github.io/Logging_0883/tillsynsmail/A 16395-2024 tillsynsbegäran mail.docx", "A 16395-2024")</f>
        <v/>
      </c>
    </row>
    <row r="764" ht="15" customHeight="1">
      <c r="A764" t="inlineStr">
        <is>
          <t>A 6126-2023</t>
        </is>
      </c>
      <c r="B764" s="1" t="n">
        <v>44964.61592592593</v>
      </c>
      <c r="C764" s="1" t="n">
        <v>46078</v>
      </c>
      <c r="D764" t="inlineStr">
        <is>
          <t>KALMAR LÄN</t>
        </is>
      </c>
      <c r="E764" t="inlineStr">
        <is>
          <t>VÄSTERVIK</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55489-2025</t>
        </is>
      </c>
      <c r="B765" s="1" t="n">
        <v>45971</v>
      </c>
      <c r="C765" s="1" t="n">
        <v>46078</v>
      </c>
      <c r="D765" t="inlineStr">
        <is>
          <t>KALMAR LÄN</t>
        </is>
      </c>
      <c r="E765" t="inlineStr">
        <is>
          <t>VÄSTERVIK</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28894-2023</t>
        </is>
      </c>
      <c r="B766" s="1" t="n">
        <v>45104.49659722222</v>
      </c>
      <c r="C766" s="1" t="n">
        <v>46078</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12333-2025</t>
        </is>
      </c>
      <c r="B767" s="1" t="n">
        <v>45730</v>
      </c>
      <c r="C767" s="1" t="n">
        <v>46078</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55152-2025</t>
        </is>
      </c>
      <c r="B768" s="1" t="n">
        <v>45968.4571412037</v>
      </c>
      <c r="C768" s="1" t="n">
        <v>46078</v>
      </c>
      <c r="D768" t="inlineStr">
        <is>
          <t>KALMAR LÄN</t>
        </is>
      </c>
      <c r="E768" t="inlineStr">
        <is>
          <t>VÄSTERVIK</t>
        </is>
      </c>
      <c r="F768" t="inlineStr">
        <is>
          <t>Holmen skog AB</t>
        </is>
      </c>
      <c r="G768" t="n">
        <v>0.6</v>
      </c>
      <c r="H768" t="n">
        <v>0</v>
      </c>
      <c r="I768" t="n">
        <v>0</v>
      </c>
      <c r="J768" t="n">
        <v>0</v>
      </c>
      <c r="K768" t="n">
        <v>0</v>
      </c>
      <c r="L768" t="n">
        <v>0</v>
      </c>
      <c r="M768" t="n">
        <v>0</v>
      </c>
      <c r="N768" t="n">
        <v>0</v>
      </c>
      <c r="O768" t="n">
        <v>0</v>
      </c>
      <c r="P768" t="n">
        <v>0</v>
      </c>
      <c r="Q768" t="n">
        <v>0</v>
      </c>
      <c r="R768" s="2" t="inlineStr"/>
    </row>
    <row r="769" ht="15" customHeight="1">
      <c r="A769" t="inlineStr">
        <is>
          <t>A 55184-2025</t>
        </is>
      </c>
      <c r="B769" s="1" t="n">
        <v>45968.53612268518</v>
      </c>
      <c r="C769" s="1" t="n">
        <v>46078</v>
      </c>
      <c r="D769" t="inlineStr">
        <is>
          <t>KALMAR LÄN</t>
        </is>
      </c>
      <c r="E769" t="inlineStr">
        <is>
          <t>VÄSTERVIK</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55557-2025</t>
        </is>
      </c>
      <c r="B770" s="1" t="n">
        <v>45971.6475</v>
      </c>
      <c r="C770" s="1" t="n">
        <v>46078</v>
      </c>
      <c r="D770" t="inlineStr">
        <is>
          <t>KALMAR LÄN</t>
        </is>
      </c>
      <c r="E770" t="inlineStr">
        <is>
          <t>VÄSTERVIK</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23317-2023</t>
        </is>
      </c>
      <c r="B771" s="1" t="n">
        <v>45076</v>
      </c>
      <c r="C771" s="1" t="n">
        <v>46078</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3679-2025</t>
        </is>
      </c>
      <c r="B772" s="1" t="n">
        <v>45681.44637731482</v>
      </c>
      <c r="C772" s="1" t="n">
        <v>46078</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55737-2025</t>
        </is>
      </c>
      <c r="B773" s="1" t="n">
        <v>45972.56077546296</v>
      </c>
      <c r="C773" s="1" t="n">
        <v>46078</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53077-2024</t>
        </is>
      </c>
      <c r="B774" s="1" t="n">
        <v>45611.49178240741</v>
      </c>
      <c r="C774" s="1" t="n">
        <v>46078</v>
      </c>
      <c r="D774" t="inlineStr">
        <is>
          <t>KALMAR LÄN</t>
        </is>
      </c>
      <c r="E774" t="inlineStr">
        <is>
          <t>VÄSTERVIK</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25434-2023</t>
        </is>
      </c>
      <c r="B775" s="1" t="n">
        <v>45089.41912037037</v>
      </c>
      <c r="C775" s="1" t="n">
        <v>46078</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30148-2024</t>
        </is>
      </c>
      <c r="B776" s="1" t="n">
        <v>45489.60528935185</v>
      </c>
      <c r="C776" s="1" t="n">
        <v>46078</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14114-2025</t>
        </is>
      </c>
      <c r="B777" s="1" t="n">
        <v>45740.45964120371</v>
      </c>
      <c r="C777" s="1" t="n">
        <v>46078</v>
      </c>
      <c r="D777" t="inlineStr">
        <is>
          <t>KALMAR LÄN</t>
        </is>
      </c>
      <c r="E777" t="inlineStr">
        <is>
          <t>VÄSTERVIK</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57171-2025</t>
        </is>
      </c>
      <c r="B778" s="1" t="n">
        <v>45979.54754629629</v>
      </c>
      <c r="C778" s="1" t="n">
        <v>46078</v>
      </c>
      <c r="D778" t="inlineStr">
        <is>
          <t>KALMAR LÄN</t>
        </is>
      </c>
      <c r="E778" t="inlineStr">
        <is>
          <t>VÄSTERVIK</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56857-2025</t>
        </is>
      </c>
      <c r="B779" s="1" t="n">
        <v>45978.49924768518</v>
      </c>
      <c r="C779" s="1" t="n">
        <v>46078</v>
      </c>
      <c r="D779" t="inlineStr">
        <is>
          <t>KALMAR LÄN</t>
        </is>
      </c>
      <c r="E779" t="inlineStr">
        <is>
          <t>VÄSTERVIK</t>
        </is>
      </c>
      <c r="F779" t="inlineStr">
        <is>
          <t>Holmen skog AB</t>
        </is>
      </c>
      <c r="G779" t="n">
        <v>5.5</v>
      </c>
      <c r="H779" t="n">
        <v>0</v>
      </c>
      <c r="I779" t="n">
        <v>0</v>
      </c>
      <c r="J779" t="n">
        <v>0</v>
      </c>
      <c r="K779" t="n">
        <v>0</v>
      </c>
      <c r="L779" t="n">
        <v>0</v>
      </c>
      <c r="M779" t="n">
        <v>0</v>
      </c>
      <c r="N779" t="n">
        <v>0</v>
      </c>
      <c r="O779" t="n">
        <v>0</v>
      </c>
      <c r="P779" t="n">
        <v>0</v>
      </c>
      <c r="Q779" t="n">
        <v>0</v>
      </c>
      <c r="R779" s="2" t="inlineStr"/>
    </row>
    <row r="780" ht="15" customHeight="1">
      <c r="A780" t="inlineStr">
        <is>
          <t>A 56967-2025</t>
        </is>
      </c>
      <c r="B780" s="1" t="n">
        <v>45978.67582175926</v>
      </c>
      <c r="C780" s="1" t="n">
        <v>46078</v>
      </c>
      <c r="D780" t="inlineStr">
        <is>
          <t>KALMAR LÄN</t>
        </is>
      </c>
      <c r="E780" t="inlineStr">
        <is>
          <t>VÄSTERVIK</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56972-2025</t>
        </is>
      </c>
      <c r="B781" s="1" t="n">
        <v>45978.68155092592</v>
      </c>
      <c r="C781" s="1" t="n">
        <v>46078</v>
      </c>
      <c r="D781" t="inlineStr">
        <is>
          <t>KALMAR LÄN</t>
        </is>
      </c>
      <c r="E781" t="inlineStr">
        <is>
          <t>VÄSTERVIK</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17314-2023</t>
        </is>
      </c>
      <c r="B782" s="1" t="n">
        <v>45035</v>
      </c>
      <c r="C782" s="1" t="n">
        <v>46078</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61649-2022</t>
        </is>
      </c>
      <c r="B783" s="1" t="n">
        <v>44916.90010416666</v>
      </c>
      <c r="C783" s="1" t="n">
        <v>46078</v>
      </c>
      <c r="D783" t="inlineStr">
        <is>
          <t>KALMAR LÄN</t>
        </is>
      </c>
      <c r="E783" t="inlineStr">
        <is>
          <t>VÄSTERVIK</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46078</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56979-2025</t>
        </is>
      </c>
      <c r="B785" s="1" t="n">
        <v>45978.69274305556</v>
      </c>
      <c r="C785" s="1" t="n">
        <v>46078</v>
      </c>
      <c r="D785" t="inlineStr">
        <is>
          <t>KALMAR LÄN</t>
        </is>
      </c>
      <c r="E785" t="inlineStr">
        <is>
          <t>VÄSTERVIK</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5079-2025</t>
        </is>
      </c>
      <c r="B786" s="1" t="n">
        <v>45691.50069444445</v>
      </c>
      <c r="C786" s="1" t="n">
        <v>46078</v>
      </c>
      <c r="D786" t="inlineStr">
        <is>
          <t>KALMAR LÄN</t>
        </is>
      </c>
      <c r="E786" t="inlineStr">
        <is>
          <t>VÄSTERVIK</t>
        </is>
      </c>
      <c r="F786" t="inlineStr">
        <is>
          <t>Holmen skog AB</t>
        </is>
      </c>
      <c r="G786" t="n">
        <v>3.3</v>
      </c>
      <c r="H786" t="n">
        <v>0</v>
      </c>
      <c r="I786" t="n">
        <v>0</v>
      </c>
      <c r="J786" t="n">
        <v>0</v>
      </c>
      <c r="K786" t="n">
        <v>0</v>
      </c>
      <c r="L786" t="n">
        <v>0</v>
      </c>
      <c r="M786" t="n">
        <v>0</v>
      </c>
      <c r="N786" t="n">
        <v>0</v>
      </c>
      <c r="O786" t="n">
        <v>0</v>
      </c>
      <c r="P786" t="n">
        <v>0</v>
      </c>
      <c r="Q786" t="n">
        <v>0</v>
      </c>
      <c r="R786" s="2" t="inlineStr"/>
    </row>
    <row r="787" ht="15" customHeight="1">
      <c r="A787" t="inlineStr">
        <is>
          <t>A 59331-2023</t>
        </is>
      </c>
      <c r="B787" s="1" t="n">
        <v>45253</v>
      </c>
      <c r="C787" s="1" t="n">
        <v>46078</v>
      </c>
      <c r="D787" t="inlineStr">
        <is>
          <t>KALMAR LÄN</t>
        </is>
      </c>
      <c r="E787" t="inlineStr">
        <is>
          <t>VÄSTERVIK</t>
        </is>
      </c>
      <c r="G787" t="n">
        <v>3.9</v>
      </c>
      <c r="H787" t="n">
        <v>0</v>
      </c>
      <c r="I787" t="n">
        <v>0</v>
      </c>
      <c r="J787" t="n">
        <v>0</v>
      </c>
      <c r="K787" t="n">
        <v>0</v>
      </c>
      <c r="L787" t="n">
        <v>0</v>
      </c>
      <c r="M787" t="n">
        <v>0</v>
      </c>
      <c r="N787" t="n">
        <v>0</v>
      </c>
      <c r="O787" t="n">
        <v>0</v>
      </c>
      <c r="P787" t="n">
        <v>0</v>
      </c>
      <c r="Q787" t="n">
        <v>0</v>
      </c>
      <c r="R787" s="2" t="inlineStr"/>
    </row>
    <row r="788" ht="15" customHeight="1">
      <c r="A788" t="inlineStr">
        <is>
          <t>A 33969-2024</t>
        </is>
      </c>
      <c r="B788" s="1" t="n">
        <v>45523.49450231482</v>
      </c>
      <c r="C788" s="1" t="n">
        <v>46078</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13490-2022</t>
        </is>
      </c>
      <c r="B789" s="1" t="n">
        <v>44646</v>
      </c>
      <c r="C789" s="1" t="n">
        <v>46078</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60478-2024</t>
        </is>
      </c>
      <c r="B790" s="1" t="n">
        <v>45643</v>
      </c>
      <c r="C790" s="1" t="n">
        <v>46078</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57452-2025</t>
        </is>
      </c>
      <c r="B791" s="1" t="n">
        <v>45980.50665509259</v>
      </c>
      <c r="C791" s="1" t="n">
        <v>46078</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46562-2022</t>
        </is>
      </c>
      <c r="B792" s="1" t="n">
        <v>44848</v>
      </c>
      <c r="C792" s="1" t="n">
        <v>46078</v>
      </c>
      <c r="D792" t="inlineStr">
        <is>
          <t>KALMAR LÄN</t>
        </is>
      </c>
      <c r="E792" t="inlineStr">
        <is>
          <t>VÄSTERVIK</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46596-2022</t>
        </is>
      </c>
      <c r="B793" s="1" t="n">
        <v>44848.8315625</v>
      </c>
      <c r="C793" s="1" t="n">
        <v>46078</v>
      </c>
      <c r="D793" t="inlineStr">
        <is>
          <t>KALMAR LÄN</t>
        </is>
      </c>
      <c r="E793" t="inlineStr">
        <is>
          <t>VÄSTERVIK</t>
        </is>
      </c>
      <c r="G793" t="n">
        <v>3.9</v>
      </c>
      <c r="H793" t="n">
        <v>0</v>
      </c>
      <c r="I793" t="n">
        <v>0</v>
      </c>
      <c r="J793" t="n">
        <v>0</v>
      </c>
      <c r="K793" t="n">
        <v>0</v>
      </c>
      <c r="L793" t="n">
        <v>0</v>
      </c>
      <c r="M793" t="n">
        <v>0</v>
      </c>
      <c r="N793" t="n">
        <v>0</v>
      </c>
      <c r="O793" t="n">
        <v>0</v>
      </c>
      <c r="P793" t="n">
        <v>0</v>
      </c>
      <c r="Q793" t="n">
        <v>0</v>
      </c>
      <c r="R793" s="2" t="inlineStr"/>
    </row>
    <row r="794" ht="15" customHeight="1">
      <c r="A794" t="inlineStr">
        <is>
          <t>A 56046-2023</t>
        </is>
      </c>
      <c r="B794" s="1" t="n">
        <v>45240.45217592592</v>
      </c>
      <c r="C794" s="1" t="n">
        <v>46078</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17200-2021</t>
        </is>
      </c>
      <c r="B795" s="1" t="n">
        <v>44298.47847222222</v>
      </c>
      <c r="C795" s="1" t="n">
        <v>46078</v>
      </c>
      <c r="D795" t="inlineStr">
        <is>
          <t>KALMAR LÄN</t>
        </is>
      </c>
      <c r="E795" t="inlineStr">
        <is>
          <t>VÄSTERVIK</t>
        </is>
      </c>
      <c r="G795" t="n">
        <v>3.4</v>
      </c>
      <c r="H795" t="n">
        <v>0</v>
      </c>
      <c r="I795" t="n">
        <v>0</v>
      </c>
      <c r="J795" t="n">
        <v>0</v>
      </c>
      <c r="K795" t="n">
        <v>0</v>
      </c>
      <c r="L795" t="n">
        <v>0</v>
      </c>
      <c r="M795" t="n">
        <v>0</v>
      </c>
      <c r="N795" t="n">
        <v>0</v>
      </c>
      <c r="O795" t="n">
        <v>0</v>
      </c>
      <c r="P795" t="n">
        <v>0</v>
      </c>
      <c r="Q795" t="n">
        <v>0</v>
      </c>
      <c r="R795" s="2" t="inlineStr"/>
    </row>
    <row r="796" ht="15" customHeight="1">
      <c r="A796" t="inlineStr">
        <is>
          <t>A 58170-2025</t>
        </is>
      </c>
      <c r="B796" s="1" t="n">
        <v>45982</v>
      </c>
      <c r="C796" s="1" t="n">
        <v>46078</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1096-2024</t>
        </is>
      </c>
      <c r="B797" s="1" t="n">
        <v>45302</v>
      </c>
      <c r="C797" s="1" t="n">
        <v>46078</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61450-2023</t>
        </is>
      </c>
      <c r="B798" s="1" t="n">
        <v>45264.8162037037</v>
      </c>
      <c r="C798" s="1" t="n">
        <v>46078</v>
      </c>
      <c r="D798" t="inlineStr">
        <is>
          <t>KALMAR LÄN</t>
        </is>
      </c>
      <c r="E798" t="inlineStr">
        <is>
          <t>VÄSTERVIK</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36906-2024</t>
        </is>
      </c>
      <c r="B799" s="1" t="n">
        <v>45538</v>
      </c>
      <c r="C799" s="1" t="n">
        <v>46078</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8513-2023</t>
        </is>
      </c>
      <c r="B800" s="1" t="n">
        <v>44977.56759259259</v>
      </c>
      <c r="C800" s="1" t="n">
        <v>46078</v>
      </c>
      <c r="D800" t="inlineStr">
        <is>
          <t>KALMAR LÄN</t>
        </is>
      </c>
      <c r="E800" t="inlineStr">
        <is>
          <t>VÄSTERVIK</t>
        </is>
      </c>
      <c r="G800" t="n">
        <v>2</v>
      </c>
      <c r="H800" t="n">
        <v>0</v>
      </c>
      <c r="I800" t="n">
        <v>0</v>
      </c>
      <c r="J800" t="n">
        <v>0</v>
      </c>
      <c r="K800" t="n">
        <v>0</v>
      </c>
      <c r="L800" t="n">
        <v>0</v>
      </c>
      <c r="M800" t="n">
        <v>0</v>
      </c>
      <c r="N800" t="n">
        <v>0</v>
      </c>
      <c r="O800" t="n">
        <v>0</v>
      </c>
      <c r="P800" t="n">
        <v>0</v>
      </c>
      <c r="Q800" t="n">
        <v>0</v>
      </c>
      <c r="R800" s="2" t="inlineStr"/>
    </row>
    <row r="801" ht="15" customHeight="1">
      <c r="A801" t="inlineStr">
        <is>
          <t>A 58360-2025</t>
        </is>
      </c>
      <c r="B801" s="1" t="n">
        <v>45985.51743055556</v>
      </c>
      <c r="C801" s="1" t="n">
        <v>46078</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58370-2025</t>
        </is>
      </c>
      <c r="B802" s="1" t="n">
        <v>45985.53002314815</v>
      </c>
      <c r="C802" s="1" t="n">
        <v>46078</v>
      </c>
      <c r="D802" t="inlineStr">
        <is>
          <t>KALMAR LÄN</t>
        </is>
      </c>
      <c r="E802" t="inlineStr">
        <is>
          <t>VÄSTERVIK</t>
        </is>
      </c>
      <c r="G802" t="n">
        <v>1.7</v>
      </c>
      <c r="H802" t="n">
        <v>0</v>
      </c>
      <c r="I802" t="n">
        <v>0</v>
      </c>
      <c r="J802" t="n">
        <v>0</v>
      </c>
      <c r="K802" t="n">
        <v>0</v>
      </c>
      <c r="L802" t="n">
        <v>0</v>
      </c>
      <c r="M802" t="n">
        <v>0</v>
      </c>
      <c r="N802" t="n">
        <v>0</v>
      </c>
      <c r="O802" t="n">
        <v>0</v>
      </c>
      <c r="P802" t="n">
        <v>0</v>
      </c>
      <c r="Q802" t="n">
        <v>0</v>
      </c>
      <c r="R802" s="2" t="inlineStr"/>
    </row>
    <row r="803" ht="15" customHeight="1">
      <c r="A803" t="inlineStr">
        <is>
          <t>A 19551-2023</t>
        </is>
      </c>
      <c r="B803" s="1" t="n">
        <v>45049</v>
      </c>
      <c r="C803" s="1" t="n">
        <v>46078</v>
      </c>
      <c r="D803" t="inlineStr">
        <is>
          <t>KALMAR LÄN</t>
        </is>
      </c>
      <c r="E803" t="inlineStr">
        <is>
          <t>VÄSTERVIK</t>
        </is>
      </c>
      <c r="G803" t="n">
        <v>3.2</v>
      </c>
      <c r="H803" t="n">
        <v>0</v>
      </c>
      <c r="I803" t="n">
        <v>0</v>
      </c>
      <c r="J803" t="n">
        <v>0</v>
      </c>
      <c r="K803" t="n">
        <v>0</v>
      </c>
      <c r="L803" t="n">
        <v>0</v>
      </c>
      <c r="M803" t="n">
        <v>0</v>
      </c>
      <c r="N803" t="n">
        <v>0</v>
      </c>
      <c r="O803" t="n">
        <v>0</v>
      </c>
      <c r="P803" t="n">
        <v>0</v>
      </c>
      <c r="Q803" t="n">
        <v>0</v>
      </c>
      <c r="R803" s="2" t="inlineStr"/>
    </row>
    <row r="804" ht="15" customHeight="1">
      <c r="A804" t="inlineStr">
        <is>
          <t>A 9042-2023</t>
        </is>
      </c>
      <c r="B804" s="1" t="n">
        <v>44979</v>
      </c>
      <c r="C804" s="1" t="n">
        <v>46078</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58096-2025</t>
        </is>
      </c>
      <c r="B805" s="1" t="n">
        <v>45982.5784375</v>
      </c>
      <c r="C805" s="1" t="n">
        <v>46078</v>
      </c>
      <c r="D805" t="inlineStr">
        <is>
          <t>KALMAR LÄN</t>
        </is>
      </c>
      <c r="E805" t="inlineStr">
        <is>
          <t>VÄSTERVIK</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58118-2025</t>
        </is>
      </c>
      <c r="B806" s="1" t="n">
        <v>45982.60695601852</v>
      </c>
      <c r="C806" s="1" t="n">
        <v>46078</v>
      </c>
      <c r="D806" t="inlineStr">
        <is>
          <t>KALMAR LÄN</t>
        </is>
      </c>
      <c r="E806" t="inlineStr">
        <is>
          <t>VÄSTERVIK</t>
        </is>
      </c>
      <c r="F806" t="inlineStr">
        <is>
          <t>Holmen skog AB</t>
        </is>
      </c>
      <c r="G806" t="n">
        <v>6.7</v>
      </c>
      <c r="H806" t="n">
        <v>0</v>
      </c>
      <c r="I806" t="n">
        <v>0</v>
      </c>
      <c r="J806" t="n">
        <v>0</v>
      </c>
      <c r="K806" t="n">
        <v>0</v>
      </c>
      <c r="L806" t="n">
        <v>0</v>
      </c>
      <c r="M806" t="n">
        <v>0</v>
      </c>
      <c r="N806" t="n">
        <v>0</v>
      </c>
      <c r="O806" t="n">
        <v>0</v>
      </c>
      <c r="P806" t="n">
        <v>0</v>
      </c>
      <c r="Q806" t="n">
        <v>0</v>
      </c>
      <c r="R806" s="2" t="inlineStr"/>
    </row>
    <row r="807" ht="15" customHeight="1">
      <c r="A807" t="inlineStr">
        <is>
          <t>A 51883-2021</t>
        </is>
      </c>
      <c r="B807" s="1" t="n">
        <v>44462.80449074074</v>
      </c>
      <c r="C807" s="1" t="n">
        <v>46078</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51884-2021</t>
        </is>
      </c>
      <c r="B808" s="1" t="n">
        <v>44462.806875</v>
      </c>
      <c r="C808" s="1" t="n">
        <v>46078</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58349-2025</t>
        </is>
      </c>
      <c r="B809" s="1" t="n">
        <v>45985.50574074074</v>
      </c>
      <c r="C809" s="1" t="n">
        <v>46078</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58367-2025</t>
        </is>
      </c>
      <c r="B810" s="1" t="n">
        <v>45985.52637731482</v>
      </c>
      <c r="C810" s="1" t="n">
        <v>46078</v>
      </c>
      <c r="D810" t="inlineStr">
        <is>
          <t>KALMAR LÄN</t>
        </is>
      </c>
      <c r="E810" t="inlineStr">
        <is>
          <t>VÄSTERVIK</t>
        </is>
      </c>
      <c r="G810" t="n">
        <v>2.2</v>
      </c>
      <c r="H810" t="n">
        <v>0</v>
      </c>
      <c r="I810" t="n">
        <v>0</v>
      </c>
      <c r="J810" t="n">
        <v>0</v>
      </c>
      <c r="K810" t="n">
        <v>0</v>
      </c>
      <c r="L810" t="n">
        <v>0</v>
      </c>
      <c r="M810" t="n">
        <v>0</v>
      </c>
      <c r="N810" t="n">
        <v>0</v>
      </c>
      <c r="O810" t="n">
        <v>0</v>
      </c>
      <c r="P810" t="n">
        <v>0</v>
      </c>
      <c r="Q810" t="n">
        <v>0</v>
      </c>
      <c r="R810" s="2" t="inlineStr"/>
    </row>
    <row r="811" ht="15" customHeight="1">
      <c r="A811" t="inlineStr">
        <is>
          <t>A 58377-2025</t>
        </is>
      </c>
      <c r="B811" s="1" t="n">
        <v>45985.53223379629</v>
      </c>
      <c r="C811" s="1" t="n">
        <v>46078</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58338-2025</t>
        </is>
      </c>
      <c r="B812" s="1" t="n">
        <v>45985.48965277777</v>
      </c>
      <c r="C812" s="1" t="n">
        <v>46078</v>
      </c>
      <c r="D812" t="inlineStr">
        <is>
          <t>KALMAR LÄN</t>
        </is>
      </c>
      <c r="E812" t="inlineStr">
        <is>
          <t>VÄSTERVIK</t>
        </is>
      </c>
      <c r="G812" t="n">
        <v>0.7</v>
      </c>
      <c r="H812" t="n">
        <v>0</v>
      </c>
      <c r="I812" t="n">
        <v>0</v>
      </c>
      <c r="J812" t="n">
        <v>0</v>
      </c>
      <c r="K812" t="n">
        <v>0</v>
      </c>
      <c r="L812" t="n">
        <v>0</v>
      </c>
      <c r="M812" t="n">
        <v>0</v>
      </c>
      <c r="N812" t="n">
        <v>0</v>
      </c>
      <c r="O812" t="n">
        <v>0</v>
      </c>
      <c r="P812" t="n">
        <v>0</v>
      </c>
      <c r="Q812" t="n">
        <v>0</v>
      </c>
      <c r="R812" s="2" t="inlineStr"/>
    </row>
    <row r="813" ht="15" customHeight="1">
      <c r="A813" t="inlineStr">
        <is>
          <t>A 59202-2022</t>
        </is>
      </c>
      <c r="B813" s="1" t="n">
        <v>44904</v>
      </c>
      <c r="C813" s="1" t="n">
        <v>46078</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14105-2025</t>
        </is>
      </c>
      <c r="B814" s="1" t="n">
        <v>45740.45425925926</v>
      </c>
      <c r="C814" s="1" t="n">
        <v>46078</v>
      </c>
      <c r="D814" t="inlineStr">
        <is>
          <t>KALMAR LÄN</t>
        </is>
      </c>
      <c r="E814" t="inlineStr">
        <is>
          <t>VÄSTERVIK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14109-2025</t>
        </is>
      </c>
      <c r="B815" s="1" t="n">
        <v>45740.45748842593</v>
      </c>
      <c r="C815" s="1" t="n">
        <v>46078</v>
      </c>
      <c r="D815" t="inlineStr">
        <is>
          <t>KALMAR LÄN</t>
        </is>
      </c>
      <c r="E815" t="inlineStr">
        <is>
          <t>VÄSTERVIK</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58700-2025</t>
        </is>
      </c>
      <c r="B816" s="1" t="n">
        <v>45986.59064814815</v>
      </c>
      <c r="C816" s="1" t="n">
        <v>46078</v>
      </c>
      <c r="D816" t="inlineStr">
        <is>
          <t>KALMAR LÄN</t>
        </is>
      </c>
      <c r="E816" t="inlineStr">
        <is>
          <t>VÄSTERVIK</t>
        </is>
      </c>
      <c r="G816" t="n">
        <v>1.7</v>
      </c>
      <c r="H816" t="n">
        <v>0</v>
      </c>
      <c r="I816" t="n">
        <v>0</v>
      </c>
      <c r="J816" t="n">
        <v>0</v>
      </c>
      <c r="K816" t="n">
        <v>0</v>
      </c>
      <c r="L816" t="n">
        <v>0</v>
      </c>
      <c r="M816" t="n">
        <v>0</v>
      </c>
      <c r="N816" t="n">
        <v>0</v>
      </c>
      <c r="O816" t="n">
        <v>0</v>
      </c>
      <c r="P816" t="n">
        <v>0</v>
      </c>
      <c r="Q816" t="n">
        <v>0</v>
      </c>
      <c r="R816" s="2" t="inlineStr"/>
    </row>
    <row r="817" ht="15" customHeight="1">
      <c r="A817" t="inlineStr">
        <is>
          <t>A 36400-2024</t>
        </is>
      </c>
      <c r="B817" s="1" t="n">
        <v>45535.67180555555</v>
      </c>
      <c r="C817" s="1" t="n">
        <v>46078</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2866-2025</t>
        </is>
      </c>
      <c r="B818" s="1" t="n">
        <v>45677.67711805556</v>
      </c>
      <c r="C818" s="1" t="n">
        <v>46078</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12386-2025</t>
        </is>
      </c>
      <c r="B819" s="1" t="n">
        <v>45730</v>
      </c>
      <c r="C819" s="1" t="n">
        <v>46078</v>
      </c>
      <c r="D819" t="inlineStr">
        <is>
          <t>KALMAR LÄN</t>
        </is>
      </c>
      <c r="E819" t="inlineStr">
        <is>
          <t>VÄSTERVIK</t>
        </is>
      </c>
      <c r="G819" t="n">
        <v>4.4</v>
      </c>
      <c r="H819" t="n">
        <v>0</v>
      </c>
      <c r="I819" t="n">
        <v>0</v>
      </c>
      <c r="J819" t="n">
        <v>0</v>
      </c>
      <c r="K819" t="n">
        <v>0</v>
      </c>
      <c r="L819" t="n">
        <v>0</v>
      </c>
      <c r="M819" t="n">
        <v>0</v>
      </c>
      <c r="N819" t="n">
        <v>0</v>
      </c>
      <c r="O819" t="n">
        <v>0</v>
      </c>
      <c r="P819" t="n">
        <v>0</v>
      </c>
      <c r="Q819" t="n">
        <v>0</v>
      </c>
      <c r="R819" s="2" t="inlineStr"/>
    </row>
    <row r="820" ht="15" customHeight="1">
      <c r="A820" t="inlineStr">
        <is>
          <t>A 5234-2024</t>
        </is>
      </c>
      <c r="B820" s="1" t="n">
        <v>45330.80729166666</v>
      </c>
      <c r="C820" s="1" t="n">
        <v>46078</v>
      </c>
      <c r="D820" t="inlineStr">
        <is>
          <t>KALMAR LÄN</t>
        </is>
      </c>
      <c r="E820" t="inlineStr">
        <is>
          <t>VÄSTERVIK</t>
        </is>
      </c>
      <c r="G820" t="n">
        <v>1.3</v>
      </c>
      <c r="H820" t="n">
        <v>0</v>
      </c>
      <c r="I820" t="n">
        <v>0</v>
      </c>
      <c r="J820" t="n">
        <v>0</v>
      </c>
      <c r="K820" t="n">
        <v>0</v>
      </c>
      <c r="L820" t="n">
        <v>0</v>
      </c>
      <c r="M820" t="n">
        <v>0</v>
      </c>
      <c r="N820" t="n">
        <v>0</v>
      </c>
      <c r="O820" t="n">
        <v>0</v>
      </c>
      <c r="P820" t="n">
        <v>0</v>
      </c>
      <c r="Q820" t="n">
        <v>0</v>
      </c>
      <c r="R820" s="2" t="inlineStr"/>
    </row>
    <row r="821" ht="15" customHeight="1">
      <c r="A821" t="inlineStr">
        <is>
          <t>A 58771-2025</t>
        </is>
      </c>
      <c r="B821" s="1" t="n">
        <v>45986.68908564815</v>
      </c>
      <c r="C821" s="1" t="n">
        <v>46078</v>
      </c>
      <c r="D821" t="inlineStr">
        <is>
          <t>KALMAR LÄN</t>
        </is>
      </c>
      <c r="E821" t="inlineStr">
        <is>
          <t>VÄSTERVIK</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48446-2024</t>
        </is>
      </c>
      <c r="B822" s="1" t="n">
        <v>45590.69163194444</v>
      </c>
      <c r="C822" s="1" t="n">
        <v>46078</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58778-2025</t>
        </is>
      </c>
      <c r="B823" s="1" t="n">
        <v>45986.70459490741</v>
      </c>
      <c r="C823" s="1" t="n">
        <v>46078</v>
      </c>
      <c r="D823" t="inlineStr">
        <is>
          <t>KALMAR LÄN</t>
        </is>
      </c>
      <c r="E823" t="inlineStr">
        <is>
          <t>VÄSTERVIK</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58677-2025</t>
        </is>
      </c>
      <c r="B824" s="1" t="n">
        <v>45986.56268518518</v>
      </c>
      <c r="C824" s="1" t="n">
        <v>46078</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38174-2023</t>
        </is>
      </c>
      <c r="B825" s="1" t="n">
        <v>45161</v>
      </c>
      <c r="C825" s="1" t="n">
        <v>46078</v>
      </c>
      <c r="D825" t="inlineStr">
        <is>
          <t>KALMAR LÄN</t>
        </is>
      </c>
      <c r="E825" t="inlineStr">
        <is>
          <t>VÄSTERVIK</t>
        </is>
      </c>
      <c r="G825" t="n">
        <v>3.4</v>
      </c>
      <c r="H825" t="n">
        <v>0</v>
      </c>
      <c r="I825" t="n">
        <v>0</v>
      </c>
      <c r="J825" t="n">
        <v>0</v>
      </c>
      <c r="K825" t="n">
        <v>0</v>
      </c>
      <c r="L825" t="n">
        <v>0</v>
      </c>
      <c r="M825" t="n">
        <v>0</v>
      </c>
      <c r="N825" t="n">
        <v>0</v>
      </c>
      <c r="O825" t="n">
        <v>0</v>
      </c>
      <c r="P825" t="n">
        <v>0</v>
      </c>
      <c r="Q825" t="n">
        <v>0</v>
      </c>
      <c r="R825" s="2" t="inlineStr"/>
    </row>
    <row r="826" ht="15" customHeight="1">
      <c r="A826" t="inlineStr">
        <is>
          <t>A 59093-2025</t>
        </is>
      </c>
      <c r="B826" s="1" t="n">
        <v>45988.44945601852</v>
      </c>
      <c r="C826" s="1" t="n">
        <v>46078</v>
      </c>
      <c r="D826" t="inlineStr">
        <is>
          <t>KALMAR LÄN</t>
        </is>
      </c>
      <c r="E826" t="inlineStr">
        <is>
          <t>VÄSTERVIK</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17214-2024</t>
        </is>
      </c>
      <c r="B827" s="1" t="n">
        <v>45414</v>
      </c>
      <c r="C827" s="1" t="n">
        <v>46078</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2543-2024</t>
        </is>
      </c>
      <c r="B828" s="1" t="n">
        <v>45313</v>
      </c>
      <c r="C828" s="1" t="n">
        <v>46078</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60685-2024</t>
        </is>
      </c>
      <c r="B829" s="1" t="n">
        <v>45644.46804398148</v>
      </c>
      <c r="C829" s="1" t="n">
        <v>46078</v>
      </c>
      <c r="D829" t="inlineStr">
        <is>
          <t>KALMAR LÄN</t>
        </is>
      </c>
      <c r="E829" t="inlineStr">
        <is>
          <t>VÄSTERVIK</t>
        </is>
      </c>
      <c r="F829" t="inlineStr">
        <is>
          <t>Holmen skog AB</t>
        </is>
      </c>
      <c r="G829" t="n">
        <v>1</v>
      </c>
      <c r="H829" t="n">
        <v>0</v>
      </c>
      <c r="I829" t="n">
        <v>0</v>
      </c>
      <c r="J829" t="n">
        <v>0</v>
      </c>
      <c r="K829" t="n">
        <v>0</v>
      </c>
      <c r="L829" t="n">
        <v>0</v>
      </c>
      <c r="M829" t="n">
        <v>0</v>
      </c>
      <c r="N829" t="n">
        <v>0</v>
      </c>
      <c r="O829" t="n">
        <v>0</v>
      </c>
      <c r="P829" t="n">
        <v>0</v>
      </c>
      <c r="Q829" t="n">
        <v>0</v>
      </c>
      <c r="R829" s="2" t="inlineStr"/>
    </row>
    <row r="830" ht="15" customHeight="1">
      <c r="A830" t="inlineStr">
        <is>
          <t>A 59216-2025</t>
        </is>
      </c>
      <c r="B830" s="1" t="n">
        <v>45988.61649305555</v>
      </c>
      <c r="C830" s="1" t="n">
        <v>46078</v>
      </c>
      <c r="D830" t="inlineStr">
        <is>
          <t>KALMAR LÄN</t>
        </is>
      </c>
      <c r="E830" t="inlineStr">
        <is>
          <t>VÄSTERVIK</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59189-2025</t>
        </is>
      </c>
      <c r="B831" s="1" t="n">
        <v>45988.5893287037</v>
      </c>
      <c r="C831" s="1" t="n">
        <v>46078</v>
      </c>
      <c r="D831" t="inlineStr">
        <is>
          <t>KALMAR LÄN</t>
        </is>
      </c>
      <c r="E831" t="inlineStr">
        <is>
          <t>VÄSTERVIK</t>
        </is>
      </c>
      <c r="F831" t="inlineStr">
        <is>
          <t>Holmen skog AB</t>
        </is>
      </c>
      <c r="G831" t="n">
        <v>3.6</v>
      </c>
      <c r="H831" t="n">
        <v>0</v>
      </c>
      <c r="I831" t="n">
        <v>0</v>
      </c>
      <c r="J831" t="n">
        <v>0</v>
      </c>
      <c r="K831" t="n">
        <v>0</v>
      </c>
      <c r="L831" t="n">
        <v>0</v>
      </c>
      <c r="M831" t="n">
        <v>0</v>
      </c>
      <c r="N831" t="n">
        <v>0</v>
      </c>
      <c r="O831" t="n">
        <v>0</v>
      </c>
      <c r="P831" t="n">
        <v>0</v>
      </c>
      <c r="Q831" t="n">
        <v>0</v>
      </c>
      <c r="R831" s="2" t="inlineStr"/>
    </row>
    <row r="832" ht="15" customHeight="1">
      <c r="A832" t="inlineStr">
        <is>
          <t>A 59187-2025</t>
        </is>
      </c>
      <c r="B832" s="1" t="n">
        <v>45988.58630787037</v>
      </c>
      <c r="C832" s="1" t="n">
        <v>46078</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59045-2025</t>
        </is>
      </c>
      <c r="B833" s="1" t="n">
        <v>45988.37289351852</v>
      </c>
      <c r="C833" s="1" t="n">
        <v>46078</v>
      </c>
      <c r="D833" t="inlineStr">
        <is>
          <t>KALMAR LÄN</t>
        </is>
      </c>
      <c r="E833" t="inlineStr">
        <is>
          <t>VÄSTERVIK</t>
        </is>
      </c>
      <c r="F833" t="inlineStr">
        <is>
          <t>Kyrkan</t>
        </is>
      </c>
      <c r="G833" t="n">
        <v>6.9</v>
      </c>
      <c r="H833" t="n">
        <v>0</v>
      </c>
      <c r="I833" t="n">
        <v>0</v>
      </c>
      <c r="J833" t="n">
        <v>0</v>
      </c>
      <c r="K833" t="n">
        <v>0</v>
      </c>
      <c r="L833" t="n">
        <v>0</v>
      </c>
      <c r="M833" t="n">
        <v>0</v>
      </c>
      <c r="N833" t="n">
        <v>0</v>
      </c>
      <c r="O833" t="n">
        <v>0</v>
      </c>
      <c r="P833" t="n">
        <v>0</v>
      </c>
      <c r="Q833" t="n">
        <v>0</v>
      </c>
      <c r="R833" s="2" t="inlineStr"/>
    </row>
    <row r="834" ht="15" customHeight="1">
      <c r="A834" t="inlineStr">
        <is>
          <t>A 9220-2023</t>
        </is>
      </c>
      <c r="B834" s="1" t="n">
        <v>44980.52182870371</v>
      </c>
      <c r="C834" s="1" t="n">
        <v>46078</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52155-2021</t>
        </is>
      </c>
      <c r="B835" s="1" t="n">
        <v>44463</v>
      </c>
      <c r="C835" s="1" t="n">
        <v>46078</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39983-2024</t>
        </is>
      </c>
      <c r="B836" s="1" t="n">
        <v>45553.61674768518</v>
      </c>
      <c r="C836" s="1" t="n">
        <v>46078</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5060-2025</t>
        </is>
      </c>
      <c r="B837" s="1" t="n">
        <v>45691.47354166667</v>
      </c>
      <c r="C837" s="1" t="n">
        <v>46078</v>
      </c>
      <c r="D837" t="inlineStr">
        <is>
          <t>KALMAR LÄN</t>
        </is>
      </c>
      <c r="E837" t="inlineStr">
        <is>
          <t>VÄSTERVIK</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50086-2023</t>
        </is>
      </c>
      <c r="B838" s="1" t="n">
        <v>45215.59601851852</v>
      </c>
      <c r="C838" s="1" t="n">
        <v>46078</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2357-2025</t>
        </is>
      </c>
      <c r="B839" s="1" t="n">
        <v>45673.68859953704</v>
      </c>
      <c r="C839" s="1" t="n">
        <v>46078</v>
      </c>
      <c r="D839" t="inlineStr">
        <is>
          <t>KALMAR LÄN</t>
        </is>
      </c>
      <c r="E839" t="inlineStr">
        <is>
          <t>VÄSTERVIK</t>
        </is>
      </c>
      <c r="G839" t="n">
        <v>2.6</v>
      </c>
      <c r="H839" t="n">
        <v>0</v>
      </c>
      <c r="I839" t="n">
        <v>0</v>
      </c>
      <c r="J839" t="n">
        <v>0</v>
      </c>
      <c r="K839" t="n">
        <v>0</v>
      </c>
      <c r="L839" t="n">
        <v>0</v>
      </c>
      <c r="M839" t="n">
        <v>0</v>
      </c>
      <c r="N839" t="n">
        <v>0</v>
      </c>
      <c r="O839" t="n">
        <v>0</v>
      </c>
      <c r="P839" t="n">
        <v>0</v>
      </c>
      <c r="Q839" t="n">
        <v>0</v>
      </c>
      <c r="R839" s="2" t="inlineStr"/>
    </row>
    <row r="840" ht="15" customHeight="1">
      <c r="A840" t="inlineStr">
        <is>
          <t>A 4583-2023</t>
        </is>
      </c>
      <c r="B840" s="1" t="n">
        <v>44956</v>
      </c>
      <c r="C840" s="1" t="n">
        <v>46078</v>
      </c>
      <c r="D840" t="inlineStr">
        <is>
          <t>KALMAR LÄN</t>
        </is>
      </c>
      <c r="E840" t="inlineStr">
        <is>
          <t>VÄSTERVIK</t>
        </is>
      </c>
      <c r="G840" t="n">
        <v>2.2</v>
      </c>
      <c r="H840" t="n">
        <v>0</v>
      </c>
      <c r="I840" t="n">
        <v>0</v>
      </c>
      <c r="J840" t="n">
        <v>0</v>
      </c>
      <c r="K840" t="n">
        <v>0</v>
      </c>
      <c r="L840" t="n">
        <v>0</v>
      </c>
      <c r="M840" t="n">
        <v>0</v>
      </c>
      <c r="N840" t="n">
        <v>0</v>
      </c>
      <c r="O840" t="n">
        <v>0</v>
      </c>
      <c r="P840" t="n">
        <v>0</v>
      </c>
      <c r="Q840" t="n">
        <v>0</v>
      </c>
      <c r="R840" s="2" t="inlineStr"/>
    </row>
    <row r="841" ht="15" customHeight="1">
      <c r="A841" t="inlineStr">
        <is>
          <t>A 16692-2025</t>
        </is>
      </c>
      <c r="B841" s="1" t="n">
        <v>45754.4621412037</v>
      </c>
      <c r="C841" s="1" t="n">
        <v>46078</v>
      </c>
      <c r="D841" t="inlineStr">
        <is>
          <t>KALMAR LÄN</t>
        </is>
      </c>
      <c r="E841" t="inlineStr">
        <is>
          <t>VÄSTERVIK</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57688-2024</t>
        </is>
      </c>
      <c r="B842" s="1" t="n">
        <v>45630.65180555556</v>
      </c>
      <c r="C842" s="1" t="n">
        <v>46078</v>
      </c>
      <c r="D842" t="inlineStr">
        <is>
          <t>KALMAR LÄN</t>
        </is>
      </c>
      <c r="E842" t="inlineStr">
        <is>
          <t>VÄSTERVIK</t>
        </is>
      </c>
      <c r="G842" t="n">
        <v>3.1</v>
      </c>
      <c r="H842" t="n">
        <v>0</v>
      </c>
      <c r="I842" t="n">
        <v>0</v>
      </c>
      <c r="J842" t="n">
        <v>0</v>
      </c>
      <c r="K842" t="n">
        <v>0</v>
      </c>
      <c r="L842" t="n">
        <v>0</v>
      </c>
      <c r="M842" t="n">
        <v>0</v>
      </c>
      <c r="N842" t="n">
        <v>0</v>
      </c>
      <c r="O842" t="n">
        <v>0</v>
      </c>
      <c r="P842" t="n">
        <v>0</v>
      </c>
      <c r="Q842" t="n">
        <v>0</v>
      </c>
      <c r="R842" s="2" t="inlineStr"/>
    </row>
    <row r="843" ht="15" customHeight="1">
      <c r="A843" t="inlineStr">
        <is>
          <t>A 60178-2025</t>
        </is>
      </c>
      <c r="B843" s="1" t="n">
        <v>45994.45673611111</v>
      </c>
      <c r="C843" s="1" t="n">
        <v>46078</v>
      </c>
      <c r="D843" t="inlineStr">
        <is>
          <t>KALMAR LÄN</t>
        </is>
      </c>
      <c r="E843" t="inlineStr">
        <is>
          <t>VÄSTERVIK</t>
        </is>
      </c>
      <c r="G843" t="n">
        <v>1.4</v>
      </c>
      <c r="H843" t="n">
        <v>0</v>
      </c>
      <c r="I843" t="n">
        <v>0</v>
      </c>
      <c r="J843" t="n">
        <v>0</v>
      </c>
      <c r="K843" t="n">
        <v>0</v>
      </c>
      <c r="L843" t="n">
        <v>0</v>
      </c>
      <c r="M843" t="n">
        <v>0</v>
      </c>
      <c r="N843" t="n">
        <v>0</v>
      </c>
      <c r="O843" t="n">
        <v>0</v>
      </c>
      <c r="P843" t="n">
        <v>0</v>
      </c>
      <c r="Q843" t="n">
        <v>0</v>
      </c>
      <c r="R843" s="2" t="inlineStr"/>
    </row>
    <row r="844" ht="15" customHeight="1">
      <c r="A844" t="inlineStr">
        <is>
          <t>A 51510-2024</t>
        </is>
      </c>
      <c r="B844" s="1" t="n">
        <v>45604.55837962963</v>
      </c>
      <c r="C844" s="1" t="n">
        <v>46078</v>
      </c>
      <c r="D844" t="inlineStr">
        <is>
          <t>KALMAR LÄN</t>
        </is>
      </c>
      <c r="E844" t="inlineStr">
        <is>
          <t>VÄSTERVIK</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8440-2023</t>
        </is>
      </c>
      <c r="B845" s="1" t="n">
        <v>44977.46979166667</v>
      </c>
      <c r="C845" s="1" t="n">
        <v>46078</v>
      </c>
      <c r="D845" t="inlineStr">
        <is>
          <t>KALMAR LÄN</t>
        </is>
      </c>
      <c r="E845" t="inlineStr">
        <is>
          <t>VÄSTERVIK</t>
        </is>
      </c>
      <c r="G845" t="n">
        <v>5.5</v>
      </c>
      <c r="H845" t="n">
        <v>0</v>
      </c>
      <c r="I845" t="n">
        <v>0</v>
      </c>
      <c r="J845" t="n">
        <v>0</v>
      </c>
      <c r="K845" t="n">
        <v>0</v>
      </c>
      <c r="L845" t="n">
        <v>0</v>
      </c>
      <c r="M845" t="n">
        <v>0</v>
      </c>
      <c r="N845" t="n">
        <v>0</v>
      </c>
      <c r="O845" t="n">
        <v>0</v>
      </c>
      <c r="P845" t="n">
        <v>0</v>
      </c>
      <c r="Q845" t="n">
        <v>0</v>
      </c>
      <c r="R845" s="2" t="inlineStr"/>
    </row>
    <row r="846" ht="15" customHeight="1">
      <c r="A846" t="inlineStr">
        <is>
          <t>A 50127-2023</t>
        </is>
      </c>
      <c r="B846" s="1" t="n">
        <v>45215.65043981482</v>
      </c>
      <c r="C846" s="1" t="n">
        <v>46078</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10808-2025</t>
        </is>
      </c>
      <c r="B847" s="1" t="n">
        <v>45722.53427083333</v>
      </c>
      <c r="C847" s="1" t="n">
        <v>46078</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2631-2026</t>
        </is>
      </c>
      <c r="B848" s="1" t="n">
        <v>46037.60875</v>
      </c>
      <c r="C848" s="1" t="n">
        <v>46078</v>
      </c>
      <c r="D848" t="inlineStr">
        <is>
          <t>KALMAR LÄN</t>
        </is>
      </c>
      <c r="E848" t="inlineStr">
        <is>
          <t>VÄSTERVIK</t>
        </is>
      </c>
      <c r="G848" t="n">
        <v>2</v>
      </c>
      <c r="H848" t="n">
        <v>0</v>
      </c>
      <c r="I848" t="n">
        <v>0</v>
      </c>
      <c r="J848" t="n">
        <v>0</v>
      </c>
      <c r="K848" t="n">
        <v>0</v>
      </c>
      <c r="L848" t="n">
        <v>0</v>
      </c>
      <c r="M848" t="n">
        <v>0</v>
      </c>
      <c r="N848" t="n">
        <v>0</v>
      </c>
      <c r="O848" t="n">
        <v>0</v>
      </c>
      <c r="P848" t="n">
        <v>0</v>
      </c>
      <c r="Q848" t="n">
        <v>0</v>
      </c>
      <c r="R848" s="2" t="inlineStr"/>
    </row>
    <row r="849" ht="15" customHeight="1">
      <c r="A849" t="inlineStr">
        <is>
          <t>A 12652-2022</t>
        </is>
      </c>
      <c r="B849" s="1" t="n">
        <v>44641</v>
      </c>
      <c r="C849" s="1" t="n">
        <v>46078</v>
      </c>
      <c r="D849" t="inlineStr">
        <is>
          <t>KALMAR LÄN</t>
        </is>
      </c>
      <c r="E849" t="inlineStr">
        <is>
          <t>VÄSTERVIK</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60785-2025</t>
        </is>
      </c>
      <c r="B850" s="1" t="n">
        <v>45999.40421296296</v>
      </c>
      <c r="C850" s="1" t="n">
        <v>46078</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55289-2023</t>
        </is>
      </c>
      <c r="B851" s="1" t="n">
        <v>45237.76106481482</v>
      </c>
      <c r="C851" s="1" t="n">
        <v>46078</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40050-2022</t>
        </is>
      </c>
      <c r="B852" s="1" t="n">
        <v>44820.44106481481</v>
      </c>
      <c r="C852" s="1" t="n">
        <v>46078</v>
      </c>
      <c r="D852" t="inlineStr">
        <is>
          <t>KALMAR LÄN</t>
        </is>
      </c>
      <c r="E852" t="inlineStr">
        <is>
          <t>VÄSTERVIK</t>
        </is>
      </c>
      <c r="G852" t="n">
        <v>1.8</v>
      </c>
      <c r="H852" t="n">
        <v>0</v>
      </c>
      <c r="I852" t="n">
        <v>0</v>
      </c>
      <c r="J852" t="n">
        <v>0</v>
      </c>
      <c r="K852" t="n">
        <v>0</v>
      </c>
      <c r="L852" t="n">
        <v>0</v>
      </c>
      <c r="M852" t="n">
        <v>0</v>
      </c>
      <c r="N852" t="n">
        <v>0</v>
      </c>
      <c r="O852" t="n">
        <v>0</v>
      </c>
      <c r="P852" t="n">
        <v>0</v>
      </c>
      <c r="Q852" t="n">
        <v>0</v>
      </c>
      <c r="R852" s="2" t="inlineStr"/>
    </row>
    <row r="853" ht="15" customHeight="1">
      <c r="A853" t="inlineStr">
        <is>
          <t>A 34672-2022</t>
        </is>
      </c>
      <c r="B853" s="1" t="n">
        <v>44795.48444444445</v>
      </c>
      <c r="C853" s="1" t="n">
        <v>46078</v>
      </c>
      <c r="D853" t="inlineStr">
        <is>
          <t>KALMAR LÄN</t>
        </is>
      </c>
      <c r="E853" t="inlineStr">
        <is>
          <t>VÄSTERVIK</t>
        </is>
      </c>
      <c r="G853" t="n">
        <v>1.1</v>
      </c>
      <c r="H853" t="n">
        <v>0</v>
      </c>
      <c r="I853" t="n">
        <v>0</v>
      </c>
      <c r="J853" t="n">
        <v>0</v>
      </c>
      <c r="K853" t="n">
        <v>0</v>
      </c>
      <c r="L853" t="n">
        <v>0</v>
      </c>
      <c r="M853" t="n">
        <v>0</v>
      </c>
      <c r="N853" t="n">
        <v>0</v>
      </c>
      <c r="O853" t="n">
        <v>0</v>
      </c>
      <c r="P853" t="n">
        <v>0</v>
      </c>
      <c r="Q853" t="n">
        <v>0</v>
      </c>
      <c r="R853" s="2" t="inlineStr"/>
    </row>
    <row r="854" ht="15" customHeight="1">
      <c r="A854" t="inlineStr">
        <is>
          <t>A 46561-2022</t>
        </is>
      </c>
      <c r="B854" s="1" t="n">
        <v>44848</v>
      </c>
      <c r="C854" s="1" t="n">
        <v>46078</v>
      </c>
      <c r="D854" t="inlineStr">
        <is>
          <t>KALMAR LÄN</t>
        </is>
      </c>
      <c r="E854" t="inlineStr">
        <is>
          <t>VÄSTERVIK</t>
        </is>
      </c>
      <c r="F854" t="inlineStr">
        <is>
          <t>Sveaskog</t>
        </is>
      </c>
      <c r="G854" t="n">
        <v>2.9</v>
      </c>
      <c r="H854" t="n">
        <v>0</v>
      </c>
      <c r="I854" t="n">
        <v>0</v>
      </c>
      <c r="J854" t="n">
        <v>0</v>
      </c>
      <c r="K854" t="n">
        <v>0</v>
      </c>
      <c r="L854" t="n">
        <v>0</v>
      </c>
      <c r="M854" t="n">
        <v>0</v>
      </c>
      <c r="N854" t="n">
        <v>0</v>
      </c>
      <c r="O854" t="n">
        <v>0</v>
      </c>
      <c r="P854" t="n">
        <v>0</v>
      </c>
      <c r="Q854" t="n">
        <v>0</v>
      </c>
      <c r="R854" s="2" t="inlineStr"/>
    </row>
    <row r="855" ht="15" customHeight="1">
      <c r="A855" t="inlineStr">
        <is>
          <t>A 4520-2024</t>
        </is>
      </c>
      <c r="B855" s="1" t="n">
        <v>45327</v>
      </c>
      <c r="C855" s="1" t="n">
        <v>46078</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35960-2023</t>
        </is>
      </c>
      <c r="B856" s="1" t="n">
        <v>45148.84990740741</v>
      </c>
      <c r="C856" s="1" t="n">
        <v>46078</v>
      </c>
      <c r="D856" t="inlineStr">
        <is>
          <t>KALMAR LÄN</t>
        </is>
      </c>
      <c r="E856" t="inlineStr">
        <is>
          <t>VÄSTERVIK</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7090-2024</t>
        </is>
      </c>
      <c r="B857" s="1" t="n">
        <v>45343.80621527778</v>
      </c>
      <c r="C857" s="1" t="n">
        <v>46078</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40977-2023</t>
        </is>
      </c>
      <c r="B858" s="1" t="n">
        <v>45173</v>
      </c>
      <c r="C858" s="1" t="n">
        <v>46078</v>
      </c>
      <c r="D858" t="inlineStr">
        <is>
          <t>KALMAR LÄN</t>
        </is>
      </c>
      <c r="E858" t="inlineStr">
        <is>
          <t>VÄSTERVIK</t>
        </is>
      </c>
      <c r="F858" t="inlineStr">
        <is>
          <t>Holmen skog AB</t>
        </is>
      </c>
      <c r="G858" t="n">
        <v>1</v>
      </c>
      <c r="H858" t="n">
        <v>0</v>
      </c>
      <c r="I858" t="n">
        <v>0</v>
      </c>
      <c r="J858" t="n">
        <v>0</v>
      </c>
      <c r="K858" t="n">
        <v>0</v>
      </c>
      <c r="L858" t="n">
        <v>0</v>
      </c>
      <c r="M858" t="n">
        <v>0</v>
      </c>
      <c r="N858" t="n">
        <v>0</v>
      </c>
      <c r="O858" t="n">
        <v>0</v>
      </c>
      <c r="P858" t="n">
        <v>0</v>
      </c>
      <c r="Q858" t="n">
        <v>0</v>
      </c>
      <c r="R858" s="2" t="inlineStr"/>
    </row>
    <row r="859" ht="15" customHeight="1">
      <c r="A859" t="inlineStr">
        <is>
          <t>A 61448-2023</t>
        </is>
      </c>
      <c r="B859" s="1" t="n">
        <v>45264.81439814815</v>
      </c>
      <c r="C859" s="1" t="n">
        <v>46078</v>
      </c>
      <c r="D859" t="inlineStr">
        <is>
          <t>KALMAR LÄN</t>
        </is>
      </c>
      <c r="E859" t="inlineStr">
        <is>
          <t>VÄSTERVIK</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61449-2023</t>
        </is>
      </c>
      <c r="B860" s="1" t="n">
        <v>45264.81490740741</v>
      </c>
      <c r="C860" s="1" t="n">
        <v>46078</v>
      </c>
      <c r="D860" t="inlineStr">
        <is>
          <t>KALMAR LÄN</t>
        </is>
      </c>
      <c r="E860" t="inlineStr">
        <is>
          <t>VÄSTERVIK</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55358-2024</t>
        </is>
      </c>
      <c r="B861" s="1" t="n">
        <v>45621.82039351852</v>
      </c>
      <c r="C861" s="1" t="n">
        <v>46078</v>
      </c>
      <c r="D861" t="inlineStr">
        <is>
          <t>KALMAR LÄN</t>
        </is>
      </c>
      <c r="E861" t="inlineStr">
        <is>
          <t>VÄSTERVIK</t>
        </is>
      </c>
      <c r="F861" t="inlineStr">
        <is>
          <t>Sveaskog</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11167-2024</t>
        </is>
      </c>
      <c r="B862" s="1" t="n">
        <v>45371.4966087963</v>
      </c>
      <c r="C862" s="1" t="n">
        <v>46078</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1699-2023</t>
        </is>
      </c>
      <c r="B863" s="1" t="n">
        <v>44935</v>
      </c>
      <c r="C863" s="1" t="n">
        <v>46078</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7883-2025</t>
        </is>
      </c>
      <c r="B864" s="1" t="n">
        <v>45706.8156712963</v>
      </c>
      <c r="C864" s="1" t="n">
        <v>46078</v>
      </c>
      <c r="D864" t="inlineStr">
        <is>
          <t>KALMAR LÄN</t>
        </is>
      </c>
      <c r="E864" t="inlineStr">
        <is>
          <t>VÄSTERVIK</t>
        </is>
      </c>
      <c r="G864" t="n">
        <v>0.2</v>
      </c>
      <c r="H864" t="n">
        <v>0</v>
      </c>
      <c r="I864" t="n">
        <v>0</v>
      </c>
      <c r="J864" t="n">
        <v>0</v>
      </c>
      <c r="K864" t="n">
        <v>0</v>
      </c>
      <c r="L864" t="n">
        <v>0</v>
      </c>
      <c r="M864" t="n">
        <v>0</v>
      </c>
      <c r="N864" t="n">
        <v>0</v>
      </c>
      <c r="O864" t="n">
        <v>0</v>
      </c>
      <c r="P864" t="n">
        <v>0</v>
      </c>
      <c r="Q864" t="n">
        <v>0</v>
      </c>
      <c r="R864" s="2" t="inlineStr"/>
    </row>
    <row r="865" ht="15" customHeight="1">
      <c r="A865" t="inlineStr">
        <is>
          <t>A 934-2024</t>
        </is>
      </c>
      <c r="B865" s="1" t="n">
        <v>45301.51439814815</v>
      </c>
      <c r="C865" s="1" t="n">
        <v>46078</v>
      </c>
      <c r="D865" t="inlineStr">
        <is>
          <t>KALMAR LÄN</t>
        </is>
      </c>
      <c r="E865" t="inlineStr">
        <is>
          <t>VÄSTERVIK</t>
        </is>
      </c>
      <c r="G865" t="n">
        <v>2.3</v>
      </c>
      <c r="H865" t="n">
        <v>0</v>
      </c>
      <c r="I865" t="n">
        <v>0</v>
      </c>
      <c r="J865" t="n">
        <v>0</v>
      </c>
      <c r="K865" t="n">
        <v>0</v>
      </c>
      <c r="L865" t="n">
        <v>0</v>
      </c>
      <c r="M865" t="n">
        <v>0</v>
      </c>
      <c r="N865" t="n">
        <v>0</v>
      </c>
      <c r="O865" t="n">
        <v>0</v>
      </c>
      <c r="P865" t="n">
        <v>0</v>
      </c>
      <c r="Q865" t="n">
        <v>0</v>
      </c>
      <c r="R865" s="2" t="inlineStr"/>
    </row>
    <row r="866" ht="15" customHeight="1">
      <c r="A866" t="inlineStr">
        <is>
          <t>A 936-2024</t>
        </is>
      </c>
      <c r="B866" s="1" t="n">
        <v>45301.51950231481</v>
      </c>
      <c r="C866" s="1" t="n">
        <v>46078</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8619-2024</t>
        </is>
      </c>
      <c r="B867" s="1" t="n">
        <v>45355.73599537037</v>
      </c>
      <c r="C867" s="1" t="n">
        <v>46078</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4624-2023</t>
        </is>
      </c>
      <c r="B868" s="1" t="n">
        <v>44956</v>
      </c>
      <c r="C868" s="1" t="n">
        <v>46078</v>
      </c>
      <c r="D868" t="inlineStr">
        <is>
          <t>KALMAR LÄN</t>
        </is>
      </c>
      <c r="E868" t="inlineStr">
        <is>
          <t>VÄSTERVIK</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21824-2023</t>
        </is>
      </c>
      <c r="B869" s="1" t="n">
        <v>45068</v>
      </c>
      <c r="C869" s="1" t="n">
        <v>46078</v>
      </c>
      <c r="D869" t="inlineStr">
        <is>
          <t>KALMAR LÄN</t>
        </is>
      </c>
      <c r="E869" t="inlineStr">
        <is>
          <t>VÄSTERVIK</t>
        </is>
      </c>
      <c r="G869" t="n">
        <v>1.7</v>
      </c>
      <c r="H869" t="n">
        <v>0</v>
      </c>
      <c r="I869" t="n">
        <v>0</v>
      </c>
      <c r="J869" t="n">
        <v>0</v>
      </c>
      <c r="K869" t="n">
        <v>0</v>
      </c>
      <c r="L869" t="n">
        <v>0</v>
      </c>
      <c r="M869" t="n">
        <v>0</v>
      </c>
      <c r="N869" t="n">
        <v>0</v>
      </c>
      <c r="O869" t="n">
        <v>0</v>
      </c>
      <c r="P869" t="n">
        <v>0</v>
      </c>
      <c r="Q869" t="n">
        <v>0</v>
      </c>
      <c r="R869" s="2" t="inlineStr"/>
    </row>
    <row r="870" ht="15" customHeight="1">
      <c r="A870" t="inlineStr">
        <is>
          <t>A 16691-2025</t>
        </is>
      </c>
      <c r="B870" s="1" t="n">
        <v>45754.46086805555</v>
      </c>
      <c r="C870" s="1" t="n">
        <v>46078</v>
      </c>
      <c r="D870" t="inlineStr">
        <is>
          <t>KALMAR LÄN</t>
        </is>
      </c>
      <c r="E870" t="inlineStr">
        <is>
          <t>VÄSTERVIK</t>
        </is>
      </c>
      <c r="F870" t="inlineStr">
        <is>
          <t>Sveaskog</t>
        </is>
      </c>
      <c r="G870" t="n">
        <v>2.8</v>
      </c>
      <c r="H870" t="n">
        <v>0</v>
      </c>
      <c r="I870" t="n">
        <v>0</v>
      </c>
      <c r="J870" t="n">
        <v>0</v>
      </c>
      <c r="K870" t="n">
        <v>0</v>
      </c>
      <c r="L870" t="n">
        <v>0</v>
      </c>
      <c r="M870" t="n">
        <v>0</v>
      </c>
      <c r="N870" t="n">
        <v>0</v>
      </c>
      <c r="O870" t="n">
        <v>0</v>
      </c>
      <c r="P870" t="n">
        <v>0</v>
      </c>
      <c r="Q870" t="n">
        <v>0</v>
      </c>
      <c r="R870" s="2" t="inlineStr"/>
    </row>
    <row r="871" ht="15" customHeight="1">
      <c r="A871" t="inlineStr">
        <is>
          <t>A 3623-2026</t>
        </is>
      </c>
      <c r="B871" s="1" t="n">
        <v>46043</v>
      </c>
      <c r="C871" s="1" t="n">
        <v>46078</v>
      </c>
      <c r="D871" t="inlineStr">
        <is>
          <t>KALMAR LÄN</t>
        </is>
      </c>
      <c r="E871" t="inlineStr">
        <is>
          <t>VÄSTERVIK</t>
        </is>
      </c>
      <c r="G871" t="n">
        <v>3.2</v>
      </c>
      <c r="H871" t="n">
        <v>0</v>
      </c>
      <c r="I871" t="n">
        <v>0</v>
      </c>
      <c r="J871" t="n">
        <v>0</v>
      </c>
      <c r="K871" t="n">
        <v>0</v>
      </c>
      <c r="L871" t="n">
        <v>0</v>
      </c>
      <c r="M871" t="n">
        <v>0</v>
      </c>
      <c r="N871" t="n">
        <v>0</v>
      </c>
      <c r="O871" t="n">
        <v>0</v>
      </c>
      <c r="P871" t="n">
        <v>0</v>
      </c>
      <c r="Q871" t="n">
        <v>0</v>
      </c>
      <c r="R871" s="2" t="inlineStr"/>
    </row>
    <row r="872" ht="15" customHeight="1">
      <c r="A872" t="inlineStr">
        <is>
          <t>A 3610-2026</t>
        </is>
      </c>
      <c r="B872" s="1" t="n">
        <v>46042.89953703704</v>
      </c>
      <c r="C872" s="1" t="n">
        <v>46078</v>
      </c>
      <c r="D872" t="inlineStr">
        <is>
          <t>KALMAR LÄN</t>
        </is>
      </c>
      <c r="E872" t="inlineStr">
        <is>
          <t>VÄSTERVIK</t>
        </is>
      </c>
      <c r="G872" t="n">
        <v>9.9</v>
      </c>
      <c r="H872" t="n">
        <v>0</v>
      </c>
      <c r="I872" t="n">
        <v>0</v>
      </c>
      <c r="J872" t="n">
        <v>0</v>
      </c>
      <c r="K872" t="n">
        <v>0</v>
      </c>
      <c r="L872" t="n">
        <v>0</v>
      </c>
      <c r="M872" t="n">
        <v>0</v>
      </c>
      <c r="N872" t="n">
        <v>0</v>
      </c>
      <c r="O872" t="n">
        <v>0</v>
      </c>
      <c r="P872" t="n">
        <v>0</v>
      </c>
      <c r="Q872" t="n">
        <v>0</v>
      </c>
      <c r="R872" s="2" t="inlineStr"/>
    </row>
    <row r="873" ht="15" customHeight="1">
      <c r="A873" t="inlineStr">
        <is>
          <t>A 37986-2023</t>
        </is>
      </c>
      <c r="B873" s="1" t="n">
        <v>45160.60331018519</v>
      </c>
      <c r="C873" s="1" t="n">
        <v>46078</v>
      </c>
      <c r="D873" t="inlineStr">
        <is>
          <t>KALMAR LÄN</t>
        </is>
      </c>
      <c r="E873" t="inlineStr">
        <is>
          <t>VÄSTERVIK</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61542-2025</t>
        </is>
      </c>
      <c r="B874" s="1" t="n">
        <v>46001.76293981481</v>
      </c>
      <c r="C874" s="1" t="n">
        <v>46078</v>
      </c>
      <c r="D874" t="inlineStr">
        <is>
          <t>KALMAR LÄN</t>
        </is>
      </c>
      <c r="E874" t="inlineStr">
        <is>
          <t>VÄSTERVIK</t>
        </is>
      </c>
      <c r="F874" t="inlineStr">
        <is>
          <t>Sveaskog</t>
        </is>
      </c>
      <c r="G874" t="n">
        <v>5.9</v>
      </c>
      <c r="H874" t="n">
        <v>0</v>
      </c>
      <c r="I874" t="n">
        <v>0</v>
      </c>
      <c r="J874" t="n">
        <v>0</v>
      </c>
      <c r="K874" t="n">
        <v>0</v>
      </c>
      <c r="L874" t="n">
        <v>0</v>
      </c>
      <c r="M874" t="n">
        <v>0</v>
      </c>
      <c r="N874" t="n">
        <v>0</v>
      </c>
      <c r="O874" t="n">
        <v>0</v>
      </c>
      <c r="P874" t="n">
        <v>0</v>
      </c>
      <c r="Q874" t="n">
        <v>0</v>
      </c>
      <c r="R874" s="2" t="inlineStr"/>
    </row>
    <row r="875" ht="15" customHeight="1">
      <c r="A875" t="inlineStr">
        <is>
          <t>A 28657-2024</t>
        </is>
      </c>
      <c r="B875" s="1" t="n">
        <v>45478</v>
      </c>
      <c r="C875" s="1" t="n">
        <v>46078</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34650-2023</t>
        </is>
      </c>
      <c r="B876" s="1" t="n">
        <v>45140</v>
      </c>
      <c r="C876" s="1" t="n">
        <v>46078</v>
      </c>
      <c r="D876" t="inlineStr">
        <is>
          <t>KALMAR LÄN</t>
        </is>
      </c>
      <c r="E876" t="inlineStr">
        <is>
          <t>VÄSTERVIK</t>
        </is>
      </c>
      <c r="G876" t="n">
        <v>1.4</v>
      </c>
      <c r="H876" t="n">
        <v>0</v>
      </c>
      <c r="I876" t="n">
        <v>0</v>
      </c>
      <c r="J876" t="n">
        <v>0</v>
      </c>
      <c r="K876" t="n">
        <v>0</v>
      </c>
      <c r="L876" t="n">
        <v>0</v>
      </c>
      <c r="M876" t="n">
        <v>0</v>
      </c>
      <c r="N876" t="n">
        <v>0</v>
      </c>
      <c r="O876" t="n">
        <v>0</v>
      </c>
      <c r="P876" t="n">
        <v>0</v>
      </c>
      <c r="Q876" t="n">
        <v>0</v>
      </c>
      <c r="R876" s="2" t="inlineStr"/>
    </row>
    <row r="877" ht="15" customHeight="1">
      <c r="A877" t="inlineStr">
        <is>
          <t>A 4191-2026</t>
        </is>
      </c>
      <c r="B877" s="1" t="n">
        <v>46044.69344907408</v>
      </c>
      <c r="C877" s="1" t="n">
        <v>46078</v>
      </c>
      <c r="D877" t="inlineStr">
        <is>
          <t>KALMAR LÄN</t>
        </is>
      </c>
      <c r="E877" t="inlineStr">
        <is>
          <t>VÄSTERVIK</t>
        </is>
      </c>
      <c r="G877" t="n">
        <v>10.9</v>
      </c>
      <c r="H877" t="n">
        <v>0</v>
      </c>
      <c r="I877" t="n">
        <v>0</v>
      </c>
      <c r="J877" t="n">
        <v>0</v>
      </c>
      <c r="K877" t="n">
        <v>0</v>
      </c>
      <c r="L877" t="n">
        <v>0</v>
      </c>
      <c r="M877" t="n">
        <v>0</v>
      </c>
      <c r="N877" t="n">
        <v>0</v>
      </c>
      <c r="O877" t="n">
        <v>0</v>
      </c>
      <c r="P877" t="n">
        <v>0</v>
      </c>
      <c r="Q877" t="n">
        <v>0</v>
      </c>
      <c r="R877" s="2" t="inlineStr"/>
    </row>
    <row r="878" ht="15" customHeight="1">
      <c r="A878" t="inlineStr">
        <is>
          <t>A 4192-2026</t>
        </is>
      </c>
      <c r="B878" s="1" t="n">
        <v>46044.69368055555</v>
      </c>
      <c r="C878" s="1" t="n">
        <v>46078</v>
      </c>
      <c r="D878" t="inlineStr">
        <is>
          <t>KALMAR LÄN</t>
        </is>
      </c>
      <c r="E878" t="inlineStr">
        <is>
          <t>VÄSTERVIK</t>
        </is>
      </c>
      <c r="G878" t="n">
        <v>16.6</v>
      </c>
      <c r="H878" t="n">
        <v>0</v>
      </c>
      <c r="I878" t="n">
        <v>0</v>
      </c>
      <c r="J878" t="n">
        <v>0</v>
      </c>
      <c r="K878" t="n">
        <v>0</v>
      </c>
      <c r="L878" t="n">
        <v>0</v>
      </c>
      <c r="M878" t="n">
        <v>0</v>
      </c>
      <c r="N878" t="n">
        <v>0</v>
      </c>
      <c r="O878" t="n">
        <v>0</v>
      </c>
      <c r="P878" t="n">
        <v>0</v>
      </c>
      <c r="Q878" t="n">
        <v>0</v>
      </c>
      <c r="R878" s="2" t="inlineStr"/>
    </row>
    <row r="879" ht="15" customHeight="1">
      <c r="A879" t="inlineStr">
        <is>
          <t>A 53259-2021</t>
        </is>
      </c>
      <c r="B879" s="1" t="n">
        <v>44468.47153935185</v>
      </c>
      <c r="C879" s="1" t="n">
        <v>46078</v>
      </c>
      <c r="D879" t="inlineStr">
        <is>
          <t>KALMAR LÄN</t>
        </is>
      </c>
      <c r="E879" t="inlineStr">
        <is>
          <t>VÄSTERVIK</t>
        </is>
      </c>
      <c r="G879" t="n">
        <v>2.8</v>
      </c>
      <c r="H879" t="n">
        <v>0</v>
      </c>
      <c r="I879" t="n">
        <v>0</v>
      </c>
      <c r="J879" t="n">
        <v>0</v>
      </c>
      <c r="K879" t="n">
        <v>0</v>
      </c>
      <c r="L879" t="n">
        <v>0</v>
      </c>
      <c r="M879" t="n">
        <v>0</v>
      </c>
      <c r="N879" t="n">
        <v>0</v>
      </c>
      <c r="O879" t="n">
        <v>0</v>
      </c>
      <c r="P879" t="n">
        <v>0</v>
      </c>
      <c r="Q879" t="n">
        <v>0</v>
      </c>
      <c r="R879" s="2" t="inlineStr"/>
    </row>
    <row r="880" ht="15" customHeight="1">
      <c r="A880" t="inlineStr">
        <is>
          <t>A 53266-2021</t>
        </is>
      </c>
      <c r="B880" s="1" t="n">
        <v>44468.48255787037</v>
      </c>
      <c r="C880" s="1" t="n">
        <v>46078</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4185-2026</t>
        </is>
      </c>
      <c r="B881" s="1" t="n">
        <v>46044.6917824074</v>
      </c>
      <c r="C881" s="1" t="n">
        <v>46078</v>
      </c>
      <c r="D881" t="inlineStr">
        <is>
          <t>KALMAR LÄN</t>
        </is>
      </c>
      <c r="E881" t="inlineStr">
        <is>
          <t>VÄSTERVIK</t>
        </is>
      </c>
      <c r="G881" t="n">
        <v>2</v>
      </c>
      <c r="H881" t="n">
        <v>0</v>
      </c>
      <c r="I881" t="n">
        <v>0</v>
      </c>
      <c r="J881" t="n">
        <v>0</v>
      </c>
      <c r="K881" t="n">
        <v>0</v>
      </c>
      <c r="L881" t="n">
        <v>0</v>
      </c>
      <c r="M881" t="n">
        <v>0</v>
      </c>
      <c r="N881" t="n">
        <v>0</v>
      </c>
      <c r="O881" t="n">
        <v>0</v>
      </c>
      <c r="P881" t="n">
        <v>0</v>
      </c>
      <c r="Q881" t="n">
        <v>0</v>
      </c>
      <c r="R881" s="2" t="inlineStr"/>
    </row>
    <row r="882" ht="15" customHeight="1">
      <c r="A882" t="inlineStr">
        <is>
          <t>A 4188-2026</t>
        </is>
      </c>
      <c r="B882" s="1" t="n">
        <v>46044.69266203704</v>
      </c>
      <c r="C882" s="1" t="n">
        <v>46078</v>
      </c>
      <c r="D882" t="inlineStr">
        <is>
          <t>KALMAR LÄN</t>
        </is>
      </c>
      <c r="E882" t="inlineStr">
        <is>
          <t>VÄSTERVIK</t>
        </is>
      </c>
      <c r="G882" t="n">
        <v>3.1</v>
      </c>
      <c r="H882" t="n">
        <v>0</v>
      </c>
      <c r="I882" t="n">
        <v>0</v>
      </c>
      <c r="J882" t="n">
        <v>0</v>
      </c>
      <c r="K882" t="n">
        <v>0</v>
      </c>
      <c r="L882" t="n">
        <v>0</v>
      </c>
      <c r="M882" t="n">
        <v>0</v>
      </c>
      <c r="N882" t="n">
        <v>0</v>
      </c>
      <c r="O882" t="n">
        <v>0</v>
      </c>
      <c r="P882" t="n">
        <v>0</v>
      </c>
      <c r="Q882" t="n">
        <v>0</v>
      </c>
      <c r="R882" s="2" t="inlineStr"/>
    </row>
    <row r="883" ht="15" customHeight="1">
      <c r="A883" t="inlineStr">
        <is>
          <t>A 4298-2026</t>
        </is>
      </c>
      <c r="B883" s="1" t="n">
        <v>46045.42090277778</v>
      </c>
      <c r="C883" s="1" t="n">
        <v>46078</v>
      </c>
      <c r="D883" t="inlineStr">
        <is>
          <t>KALMAR LÄN</t>
        </is>
      </c>
      <c r="E883" t="inlineStr">
        <is>
          <t>VÄSTERVIK</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61543-2025</t>
        </is>
      </c>
      <c r="B884" s="1" t="n">
        <v>46001.76518518518</v>
      </c>
      <c r="C884" s="1" t="n">
        <v>46078</v>
      </c>
      <c r="D884" t="inlineStr">
        <is>
          <t>KALMAR LÄN</t>
        </is>
      </c>
      <c r="E884" t="inlineStr">
        <is>
          <t>VÄSTERVIK</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61544-2025</t>
        </is>
      </c>
      <c r="B885" s="1" t="n">
        <v>46001.76704861111</v>
      </c>
      <c r="C885" s="1" t="n">
        <v>46078</v>
      </c>
      <c r="D885" t="inlineStr">
        <is>
          <t>KALMAR LÄN</t>
        </is>
      </c>
      <c r="E885" t="inlineStr">
        <is>
          <t>VÄSTERVIK</t>
        </is>
      </c>
      <c r="F885" t="inlineStr">
        <is>
          <t>Sveaskog</t>
        </is>
      </c>
      <c r="G885" t="n">
        <v>17.8</v>
      </c>
      <c r="H885" t="n">
        <v>0</v>
      </c>
      <c r="I885" t="n">
        <v>0</v>
      </c>
      <c r="J885" t="n">
        <v>0</v>
      </c>
      <c r="K885" t="n">
        <v>0</v>
      </c>
      <c r="L885" t="n">
        <v>0</v>
      </c>
      <c r="M885" t="n">
        <v>0</v>
      </c>
      <c r="N885" t="n">
        <v>0</v>
      </c>
      <c r="O885" t="n">
        <v>0</v>
      </c>
      <c r="P885" t="n">
        <v>0</v>
      </c>
      <c r="Q885" t="n">
        <v>0</v>
      </c>
      <c r="R885" s="2" t="inlineStr"/>
    </row>
    <row r="886" ht="15" customHeight="1">
      <c r="A886" t="inlineStr">
        <is>
          <t>A 4309-2026</t>
        </is>
      </c>
      <c r="B886" s="1" t="n">
        <v>46045.44006944444</v>
      </c>
      <c r="C886" s="1" t="n">
        <v>46078</v>
      </c>
      <c r="D886" t="inlineStr">
        <is>
          <t>KALMAR LÄN</t>
        </is>
      </c>
      <c r="E886" t="inlineStr">
        <is>
          <t>VÄSTERVIK</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4189-2026</t>
        </is>
      </c>
      <c r="B887" s="1" t="n">
        <v>46044.69300925926</v>
      </c>
      <c r="C887" s="1" t="n">
        <v>46078</v>
      </c>
      <c r="D887" t="inlineStr">
        <is>
          <t>KALMAR LÄN</t>
        </is>
      </c>
      <c r="E887" t="inlineStr">
        <is>
          <t>VÄSTERVIK</t>
        </is>
      </c>
      <c r="G887" t="n">
        <v>3.4</v>
      </c>
      <c r="H887" t="n">
        <v>0</v>
      </c>
      <c r="I887" t="n">
        <v>0</v>
      </c>
      <c r="J887" t="n">
        <v>0</v>
      </c>
      <c r="K887" t="n">
        <v>0</v>
      </c>
      <c r="L887" t="n">
        <v>0</v>
      </c>
      <c r="M887" t="n">
        <v>0</v>
      </c>
      <c r="N887" t="n">
        <v>0</v>
      </c>
      <c r="O887" t="n">
        <v>0</v>
      </c>
      <c r="P887" t="n">
        <v>0</v>
      </c>
      <c r="Q887" t="n">
        <v>0</v>
      </c>
      <c r="R887" s="2" t="inlineStr"/>
    </row>
    <row r="888" ht="15" customHeight="1">
      <c r="A888" t="inlineStr">
        <is>
          <t>A 4289-2026</t>
        </is>
      </c>
      <c r="B888" s="1" t="n">
        <v>46045.40174768519</v>
      </c>
      <c r="C888" s="1" t="n">
        <v>46078</v>
      </c>
      <c r="D888" t="inlineStr">
        <is>
          <t>KALMAR LÄN</t>
        </is>
      </c>
      <c r="E888" t="inlineStr">
        <is>
          <t>VÄSTERVIK</t>
        </is>
      </c>
      <c r="F888" t="inlineStr">
        <is>
          <t>Övriga Aktiebolag</t>
        </is>
      </c>
      <c r="G888" t="n">
        <v>2.1</v>
      </c>
      <c r="H888" t="n">
        <v>0</v>
      </c>
      <c r="I888" t="n">
        <v>0</v>
      </c>
      <c r="J888" t="n">
        <v>0</v>
      </c>
      <c r="K888" t="n">
        <v>0</v>
      </c>
      <c r="L888" t="n">
        <v>0</v>
      </c>
      <c r="M888" t="n">
        <v>0</v>
      </c>
      <c r="N888" t="n">
        <v>0</v>
      </c>
      <c r="O888" t="n">
        <v>0</v>
      </c>
      <c r="P888" t="n">
        <v>0</v>
      </c>
      <c r="Q888" t="n">
        <v>0</v>
      </c>
      <c r="R888" s="2" t="inlineStr"/>
    </row>
    <row r="889" ht="15" customHeight="1">
      <c r="A889" t="inlineStr">
        <is>
          <t>A 4186-2026</t>
        </is>
      </c>
      <c r="B889" s="1" t="n">
        <v>46044.69216435185</v>
      </c>
      <c r="C889" s="1" t="n">
        <v>46078</v>
      </c>
      <c r="D889" t="inlineStr">
        <is>
          <t>KALMAR LÄN</t>
        </is>
      </c>
      <c r="E889" t="inlineStr">
        <is>
          <t>VÄSTERVIK</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4190-2026</t>
        </is>
      </c>
      <c r="B890" s="1" t="n">
        <v>46044.69321759259</v>
      </c>
      <c r="C890" s="1" t="n">
        <v>46078</v>
      </c>
      <c r="D890" t="inlineStr">
        <is>
          <t>KALMAR LÄN</t>
        </is>
      </c>
      <c r="E890" t="inlineStr">
        <is>
          <t>VÄSTERVIK</t>
        </is>
      </c>
      <c r="G890" t="n">
        <v>10.5</v>
      </c>
      <c r="H890" t="n">
        <v>0</v>
      </c>
      <c r="I890" t="n">
        <v>0</v>
      </c>
      <c r="J890" t="n">
        <v>0</v>
      </c>
      <c r="K890" t="n">
        <v>0</v>
      </c>
      <c r="L890" t="n">
        <v>0</v>
      </c>
      <c r="M890" t="n">
        <v>0</v>
      </c>
      <c r="N890" t="n">
        <v>0</v>
      </c>
      <c r="O890" t="n">
        <v>0</v>
      </c>
      <c r="P890" t="n">
        <v>0</v>
      </c>
      <c r="Q890" t="n">
        <v>0</v>
      </c>
      <c r="R890" s="2" t="inlineStr"/>
    </row>
    <row r="891" ht="15" customHeight="1">
      <c r="A891" t="inlineStr">
        <is>
          <t>A 48753-2025</t>
        </is>
      </c>
      <c r="B891" s="1" t="n">
        <v>45936</v>
      </c>
      <c r="C891" s="1" t="n">
        <v>46078</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c r="U891">
        <f>HYPERLINK("https://klasma.github.io/Logging_0883/knärot/A 48753-2025 karta knärot.png", "A 48753-2025")</f>
        <v/>
      </c>
      <c r="V891">
        <f>HYPERLINK("https://klasma.github.io/Logging_0883/klagomål/A 48753-2025 FSC-klagomål.docx", "A 48753-2025")</f>
        <v/>
      </c>
      <c r="W891">
        <f>HYPERLINK("https://klasma.github.io/Logging_0883/klagomålsmail/A 48753-2025 FSC-klagomål mail.docx", "A 48753-2025")</f>
        <v/>
      </c>
      <c r="X891">
        <f>HYPERLINK("https://klasma.github.io/Logging_0883/tillsyn/A 48753-2025 tillsynsbegäran.docx", "A 48753-2025")</f>
        <v/>
      </c>
      <c r="Y891">
        <f>HYPERLINK("https://klasma.github.io/Logging_0883/tillsynsmail/A 48753-2025 tillsynsbegäran mail.docx", "A 48753-2025")</f>
        <v/>
      </c>
    </row>
    <row r="892" ht="15" customHeight="1">
      <c r="A892" t="inlineStr">
        <is>
          <t>A 36888-2024</t>
        </is>
      </c>
      <c r="B892" s="1" t="n">
        <v>45538</v>
      </c>
      <c r="C892" s="1" t="n">
        <v>46078</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65-2023</t>
        </is>
      </c>
      <c r="B893" s="1" t="n">
        <v>44928.44431712963</v>
      </c>
      <c r="C893" s="1" t="n">
        <v>46078</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4911-2026</t>
        </is>
      </c>
      <c r="B894" s="1" t="n">
        <v>46048.71017361111</v>
      </c>
      <c r="C894" s="1" t="n">
        <v>46078</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23873-2024</t>
        </is>
      </c>
      <c r="B895" s="1" t="n">
        <v>45455</v>
      </c>
      <c r="C895" s="1" t="n">
        <v>46078</v>
      </c>
      <c r="D895" t="inlineStr">
        <is>
          <t>KALMAR LÄN</t>
        </is>
      </c>
      <c r="E895" t="inlineStr">
        <is>
          <t>VÄSTERVIK</t>
        </is>
      </c>
      <c r="F895" t="inlineStr">
        <is>
          <t>Övriga Aktiebolag</t>
        </is>
      </c>
      <c r="G895" t="n">
        <v>0.7</v>
      </c>
      <c r="H895" t="n">
        <v>0</v>
      </c>
      <c r="I895" t="n">
        <v>0</v>
      </c>
      <c r="J895" t="n">
        <v>0</v>
      </c>
      <c r="K895" t="n">
        <v>0</v>
      </c>
      <c r="L895" t="n">
        <v>0</v>
      </c>
      <c r="M895" t="n">
        <v>0</v>
      </c>
      <c r="N895" t="n">
        <v>0</v>
      </c>
      <c r="O895" t="n">
        <v>0</v>
      </c>
      <c r="P895" t="n">
        <v>0</v>
      </c>
      <c r="Q895" t="n">
        <v>0</v>
      </c>
      <c r="R895" s="2" t="inlineStr"/>
    </row>
    <row r="896" ht="15" customHeight="1">
      <c r="A896" t="inlineStr">
        <is>
          <t>A 14068-2025</t>
        </is>
      </c>
      <c r="B896" s="1" t="n">
        <v>45740.42127314815</v>
      </c>
      <c r="C896" s="1" t="n">
        <v>46078</v>
      </c>
      <c r="D896" t="inlineStr">
        <is>
          <t>KALMAR LÄN</t>
        </is>
      </c>
      <c r="E896" t="inlineStr">
        <is>
          <t>VÄSTERVIK</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14071-2025</t>
        </is>
      </c>
      <c r="B897" s="1" t="n">
        <v>45740.42738425926</v>
      </c>
      <c r="C897" s="1" t="n">
        <v>46078</v>
      </c>
      <c r="D897" t="inlineStr">
        <is>
          <t>KALMAR LÄN</t>
        </is>
      </c>
      <c r="E897" t="inlineStr">
        <is>
          <t>VÄSTERVIK</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14092-2025</t>
        </is>
      </c>
      <c r="B898" s="1" t="n">
        <v>45740.44686342592</v>
      </c>
      <c r="C898" s="1" t="n">
        <v>46078</v>
      </c>
      <c r="D898" t="inlineStr">
        <is>
          <t>KALMAR LÄN</t>
        </is>
      </c>
      <c r="E898" t="inlineStr">
        <is>
          <t>VÄSTERVIK</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61728-2023</t>
        </is>
      </c>
      <c r="B899" s="1" t="n">
        <v>45265</v>
      </c>
      <c r="C899" s="1" t="n">
        <v>46078</v>
      </c>
      <c r="D899" t="inlineStr">
        <is>
          <t>KALMAR LÄN</t>
        </is>
      </c>
      <c r="E899" t="inlineStr">
        <is>
          <t>VÄSTERVIK</t>
        </is>
      </c>
      <c r="G899" t="n">
        <v>1.9</v>
      </c>
      <c r="H899" t="n">
        <v>0</v>
      </c>
      <c r="I899" t="n">
        <v>0</v>
      </c>
      <c r="J899" t="n">
        <v>0</v>
      </c>
      <c r="K899" t="n">
        <v>0</v>
      </c>
      <c r="L899" t="n">
        <v>0</v>
      </c>
      <c r="M899" t="n">
        <v>0</v>
      </c>
      <c r="N899" t="n">
        <v>0</v>
      </c>
      <c r="O899" t="n">
        <v>0</v>
      </c>
      <c r="P899" t="n">
        <v>0</v>
      </c>
      <c r="Q899" t="n">
        <v>0</v>
      </c>
      <c r="R899" s="2" t="inlineStr"/>
    </row>
    <row r="900" ht="15" customHeight="1">
      <c r="A900" t="inlineStr">
        <is>
          <t>A 36725-2024</t>
        </is>
      </c>
      <c r="B900" s="1" t="n">
        <v>45537.90300925926</v>
      </c>
      <c r="C900" s="1" t="n">
        <v>46078</v>
      </c>
      <c r="D900" t="inlineStr">
        <is>
          <t>KALMAR LÄN</t>
        </is>
      </c>
      <c r="E900" t="inlineStr">
        <is>
          <t>VÄSTERVIK</t>
        </is>
      </c>
      <c r="G900" t="n">
        <v>10.1</v>
      </c>
      <c r="H900" t="n">
        <v>0</v>
      </c>
      <c r="I900" t="n">
        <v>0</v>
      </c>
      <c r="J900" t="n">
        <v>0</v>
      </c>
      <c r="K900" t="n">
        <v>0</v>
      </c>
      <c r="L900" t="n">
        <v>0</v>
      </c>
      <c r="M900" t="n">
        <v>0</v>
      </c>
      <c r="N900" t="n">
        <v>0</v>
      </c>
      <c r="O900" t="n">
        <v>0</v>
      </c>
      <c r="P900" t="n">
        <v>0</v>
      </c>
      <c r="Q900" t="n">
        <v>0</v>
      </c>
      <c r="R900" s="2" t="inlineStr"/>
    </row>
    <row r="901" ht="15" customHeight="1">
      <c r="A901" t="inlineStr">
        <is>
          <t>A 55023-2021</t>
        </is>
      </c>
      <c r="B901" s="1" t="n">
        <v>44474</v>
      </c>
      <c r="C901" s="1" t="n">
        <v>46078</v>
      </c>
      <c r="D901" t="inlineStr">
        <is>
          <t>KALMAR LÄN</t>
        </is>
      </c>
      <c r="E901" t="inlineStr">
        <is>
          <t>VÄSTERVIK</t>
        </is>
      </c>
      <c r="G901" t="n">
        <v>1.2</v>
      </c>
      <c r="H901" t="n">
        <v>0</v>
      </c>
      <c r="I901" t="n">
        <v>0</v>
      </c>
      <c r="J901" t="n">
        <v>0</v>
      </c>
      <c r="K901" t="n">
        <v>0</v>
      </c>
      <c r="L901" t="n">
        <v>0</v>
      </c>
      <c r="M901" t="n">
        <v>0</v>
      </c>
      <c r="N901" t="n">
        <v>0</v>
      </c>
      <c r="O901" t="n">
        <v>0</v>
      </c>
      <c r="P901" t="n">
        <v>0</v>
      </c>
      <c r="Q901" t="n">
        <v>0</v>
      </c>
      <c r="R901" s="2" t="inlineStr"/>
    </row>
    <row r="902" ht="15" customHeight="1">
      <c r="A902" t="inlineStr">
        <is>
          <t>A 62163-2025</t>
        </is>
      </c>
      <c r="B902" s="1" t="n">
        <v>46006.49480324074</v>
      </c>
      <c r="C902" s="1" t="n">
        <v>46078</v>
      </c>
      <c r="D902" t="inlineStr">
        <is>
          <t>KALMAR LÄN</t>
        </is>
      </c>
      <c r="E902" t="inlineStr">
        <is>
          <t>VÄSTERVIK</t>
        </is>
      </c>
      <c r="G902" t="n">
        <v>3.3</v>
      </c>
      <c r="H902" t="n">
        <v>0</v>
      </c>
      <c r="I902" t="n">
        <v>0</v>
      </c>
      <c r="J902" t="n">
        <v>0</v>
      </c>
      <c r="K902" t="n">
        <v>0</v>
      </c>
      <c r="L902" t="n">
        <v>0</v>
      </c>
      <c r="M902" t="n">
        <v>0</v>
      </c>
      <c r="N902" t="n">
        <v>0</v>
      </c>
      <c r="O902" t="n">
        <v>0</v>
      </c>
      <c r="P902" t="n">
        <v>0</v>
      </c>
      <c r="Q902" t="n">
        <v>0</v>
      </c>
      <c r="R902" s="2" t="inlineStr"/>
    </row>
    <row r="903" ht="15" customHeight="1">
      <c r="A903" t="inlineStr">
        <is>
          <t>A 5740-2026</t>
        </is>
      </c>
      <c r="B903" s="1" t="n">
        <v>46051.57940972222</v>
      </c>
      <c r="C903" s="1" t="n">
        <v>46078</v>
      </c>
      <c r="D903" t="inlineStr">
        <is>
          <t>KALMAR LÄN</t>
        </is>
      </c>
      <c r="E903" t="inlineStr">
        <is>
          <t>VÄSTERVIK</t>
        </is>
      </c>
      <c r="F903" t="inlineStr">
        <is>
          <t>Kyrkan</t>
        </is>
      </c>
      <c r="G903" t="n">
        <v>7.7</v>
      </c>
      <c r="H903" t="n">
        <v>0</v>
      </c>
      <c r="I903" t="n">
        <v>0</v>
      </c>
      <c r="J903" t="n">
        <v>0</v>
      </c>
      <c r="K903" t="n">
        <v>0</v>
      </c>
      <c r="L903" t="n">
        <v>0</v>
      </c>
      <c r="M903" t="n">
        <v>0</v>
      </c>
      <c r="N903" t="n">
        <v>0</v>
      </c>
      <c r="O903" t="n">
        <v>0</v>
      </c>
      <c r="P903" t="n">
        <v>0</v>
      </c>
      <c r="Q903" t="n">
        <v>0</v>
      </c>
      <c r="R903" s="2" t="inlineStr"/>
    </row>
    <row r="904" ht="15" customHeight="1">
      <c r="A904" t="inlineStr">
        <is>
          <t>A 19950-2025</t>
        </is>
      </c>
      <c r="B904" s="1" t="n">
        <v>45771.65724537037</v>
      </c>
      <c r="C904" s="1" t="n">
        <v>46078</v>
      </c>
      <c r="D904" t="inlineStr">
        <is>
          <t>KALMAR LÄN</t>
        </is>
      </c>
      <c r="E904" t="inlineStr">
        <is>
          <t>VÄSTERVIK</t>
        </is>
      </c>
      <c r="G904" t="n">
        <v>2.4</v>
      </c>
      <c r="H904" t="n">
        <v>0</v>
      </c>
      <c r="I904" t="n">
        <v>0</v>
      </c>
      <c r="J904" t="n">
        <v>0</v>
      </c>
      <c r="K904" t="n">
        <v>0</v>
      </c>
      <c r="L904" t="n">
        <v>0</v>
      </c>
      <c r="M904" t="n">
        <v>0</v>
      </c>
      <c r="N904" t="n">
        <v>0</v>
      </c>
      <c r="O904" t="n">
        <v>0</v>
      </c>
      <c r="P904" t="n">
        <v>0</v>
      </c>
      <c r="Q904" t="n">
        <v>0</v>
      </c>
      <c r="R904" s="2" t="inlineStr"/>
    </row>
    <row r="905" ht="15" customHeight="1">
      <c r="A905" t="inlineStr">
        <is>
          <t>A 62756-2025</t>
        </is>
      </c>
      <c r="B905" s="1" t="n">
        <v>46008.59005787037</v>
      </c>
      <c r="C905" s="1" t="n">
        <v>46078</v>
      </c>
      <c r="D905" t="inlineStr">
        <is>
          <t>KALMAR LÄN</t>
        </is>
      </c>
      <c r="E905" t="inlineStr">
        <is>
          <t>VÄSTERVIK</t>
        </is>
      </c>
      <c r="G905" t="n">
        <v>3.1</v>
      </c>
      <c r="H905" t="n">
        <v>0</v>
      </c>
      <c r="I905" t="n">
        <v>0</v>
      </c>
      <c r="J905" t="n">
        <v>0</v>
      </c>
      <c r="K905" t="n">
        <v>0</v>
      </c>
      <c r="L905" t="n">
        <v>0</v>
      </c>
      <c r="M905" t="n">
        <v>0</v>
      </c>
      <c r="N905" t="n">
        <v>0</v>
      </c>
      <c r="O905" t="n">
        <v>0</v>
      </c>
      <c r="P905" t="n">
        <v>0</v>
      </c>
      <c r="Q905" t="n">
        <v>0</v>
      </c>
      <c r="R905" s="2" t="inlineStr"/>
    </row>
    <row r="906" ht="15" customHeight="1">
      <c r="A906" t="inlineStr">
        <is>
          <t>A 62770-2025</t>
        </is>
      </c>
      <c r="B906" s="1" t="n">
        <v>46008.60042824074</v>
      </c>
      <c r="C906" s="1" t="n">
        <v>46078</v>
      </c>
      <c r="D906" t="inlineStr">
        <is>
          <t>KALMAR LÄN</t>
        </is>
      </c>
      <c r="E906" t="inlineStr">
        <is>
          <t>VÄSTERVIK</t>
        </is>
      </c>
      <c r="G906" t="n">
        <v>3.2</v>
      </c>
      <c r="H906" t="n">
        <v>0</v>
      </c>
      <c r="I906" t="n">
        <v>0</v>
      </c>
      <c r="J906" t="n">
        <v>0</v>
      </c>
      <c r="K906" t="n">
        <v>0</v>
      </c>
      <c r="L906" t="n">
        <v>0</v>
      </c>
      <c r="M906" t="n">
        <v>0</v>
      </c>
      <c r="N906" t="n">
        <v>0</v>
      </c>
      <c r="O906" t="n">
        <v>0</v>
      </c>
      <c r="P906" t="n">
        <v>0</v>
      </c>
      <c r="Q906" t="n">
        <v>0</v>
      </c>
      <c r="R906" s="2" t="inlineStr"/>
    </row>
    <row r="907" ht="15" customHeight="1">
      <c r="A907" t="inlineStr">
        <is>
          <t>A 62817-2025</t>
        </is>
      </c>
      <c r="B907" s="1" t="n">
        <v>46008.6546875</v>
      </c>
      <c r="C907" s="1" t="n">
        <v>46078</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62750-2025</t>
        </is>
      </c>
      <c r="B908" s="1" t="n">
        <v>46008.57989583333</v>
      </c>
      <c r="C908" s="1" t="n">
        <v>46078</v>
      </c>
      <c r="D908" t="inlineStr">
        <is>
          <t>KALMAR LÄN</t>
        </is>
      </c>
      <c r="E908" t="inlineStr">
        <is>
          <t>VÄSTERVIK</t>
        </is>
      </c>
      <c r="G908" t="n">
        <v>2.6</v>
      </c>
      <c r="H908" t="n">
        <v>0</v>
      </c>
      <c r="I908" t="n">
        <v>0</v>
      </c>
      <c r="J908" t="n">
        <v>0</v>
      </c>
      <c r="K908" t="n">
        <v>0</v>
      </c>
      <c r="L908" t="n">
        <v>0</v>
      </c>
      <c r="M908" t="n">
        <v>0</v>
      </c>
      <c r="N908" t="n">
        <v>0</v>
      </c>
      <c r="O908" t="n">
        <v>0</v>
      </c>
      <c r="P908" t="n">
        <v>0</v>
      </c>
      <c r="Q908" t="n">
        <v>0</v>
      </c>
      <c r="R908" s="2" t="inlineStr"/>
    </row>
    <row r="909" ht="15" customHeight="1">
      <c r="A909" t="inlineStr">
        <is>
          <t>A 62765-2025</t>
        </is>
      </c>
      <c r="B909" s="1" t="n">
        <v>46008.59494212963</v>
      </c>
      <c r="C909" s="1" t="n">
        <v>46078</v>
      </c>
      <c r="D909" t="inlineStr">
        <is>
          <t>KALMAR LÄN</t>
        </is>
      </c>
      <c r="E909" t="inlineStr">
        <is>
          <t>VÄSTERVIK</t>
        </is>
      </c>
      <c r="G909" t="n">
        <v>1.5</v>
      </c>
      <c r="H909" t="n">
        <v>0</v>
      </c>
      <c r="I909" t="n">
        <v>0</v>
      </c>
      <c r="J909" t="n">
        <v>0</v>
      </c>
      <c r="K909" t="n">
        <v>0</v>
      </c>
      <c r="L909" t="n">
        <v>0</v>
      </c>
      <c r="M909" t="n">
        <v>0</v>
      </c>
      <c r="N909" t="n">
        <v>0</v>
      </c>
      <c r="O909" t="n">
        <v>0</v>
      </c>
      <c r="P909" t="n">
        <v>0</v>
      </c>
      <c r="Q909" t="n">
        <v>0</v>
      </c>
      <c r="R909" s="2" t="inlineStr"/>
    </row>
    <row r="910" ht="15" customHeight="1">
      <c r="A910" t="inlineStr">
        <is>
          <t>A 56617-2021</t>
        </is>
      </c>
      <c r="B910" s="1" t="n">
        <v>44480</v>
      </c>
      <c r="C910" s="1" t="n">
        <v>46078</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62815-2025</t>
        </is>
      </c>
      <c r="B911" s="1" t="n">
        <v>46008.654375</v>
      </c>
      <c r="C911" s="1" t="n">
        <v>46078</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7255-2023</t>
        </is>
      </c>
      <c r="B912" s="1" t="n">
        <v>44970</v>
      </c>
      <c r="C912" s="1" t="n">
        <v>46078</v>
      </c>
      <c r="D912" t="inlineStr">
        <is>
          <t>KALMAR LÄN</t>
        </is>
      </c>
      <c r="E912" t="inlineStr">
        <is>
          <t>VÄSTERVIK</t>
        </is>
      </c>
      <c r="F912" t="inlineStr">
        <is>
          <t>Naturvårdsverket</t>
        </is>
      </c>
      <c r="G912" t="n">
        <v>0.6</v>
      </c>
      <c r="H912" t="n">
        <v>0</v>
      </c>
      <c r="I912" t="n">
        <v>0</v>
      </c>
      <c r="J912" t="n">
        <v>0</v>
      </c>
      <c r="K912" t="n">
        <v>0</v>
      </c>
      <c r="L912" t="n">
        <v>0</v>
      </c>
      <c r="M912" t="n">
        <v>0</v>
      </c>
      <c r="N912" t="n">
        <v>0</v>
      </c>
      <c r="O912" t="n">
        <v>0</v>
      </c>
      <c r="P912" t="n">
        <v>0</v>
      </c>
      <c r="Q912" t="n">
        <v>0</v>
      </c>
      <c r="R912" s="2" t="inlineStr"/>
      <c r="U912">
        <f>HYPERLINK("https://klasma.github.io/Logging_0883/knärot/A 7255-2023 karta knärot.png", "A 7255-2023")</f>
        <v/>
      </c>
      <c r="V912">
        <f>HYPERLINK("https://klasma.github.io/Logging_0883/klagomål/A 7255-2023 FSC-klagomål.docx", "A 7255-2023")</f>
        <v/>
      </c>
      <c r="W912">
        <f>HYPERLINK("https://klasma.github.io/Logging_0883/klagomålsmail/A 7255-2023 FSC-klagomål mail.docx", "A 7255-2023")</f>
        <v/>
      </c>
      <c r="X912">
        <f>HYPERLINK("https://klasma.github.io/Logging_0883/tillsyn/A 7255-2023 tillsynsbegäran.docx", "A 7255-2023")</f>
        <v/>
      </c>
      <c r="Y912">
        <f>HYPERLINK("https://klasma.github.io/Logging_0883/tillsynsmail/A 7255-2023 tillsynsbegäran mail.docx", "A 7255-2023")</f>
        <v/>
      </c>
    </row>
    <row r="913" ht="15" customHeight="1">
      <c r="A913" t="inlineStr">
        <is>
          <t>A 42746-2024</t>
        </is>
      </c>
      <c r="B913" s="1" t="n">
        <v>45566.48361111111</v>
      </c>
      <c r="C913" s="1" t="n">
        <v>46078</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62782-2025</t>
        </is>
      </c>
      <c r="B914" s="1" t="n">
        <v>46008</v>
      </c>
      <c r="C914" s="1" t="n">
        <v>46078</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62743-2025</t>
        </is>
      </c>
      <c r="B915" s="1" t="n">
        <v>46008.5749074074</v>
      </c>
      <c r="C915" s="1" t="n">
        <v>46078</v>
      </c>
      <c r="D915" t="inlineStr">
        <is>
          <t>KALMAR LÄN</t>
        </is>
      </c>
      <c r="E915" t="inlineStr">
        <is>
          <t>VÄSTERVIK</t>
        </is>
      </c>
      <c r="G915" t="n">
        <v>7.5</v>
      </c>
      <c r="H915" t="n">
        <v>0</v>
      </c>
      <c r="I915" t="n">
        <v>0</v>
      </c>
      <c r="J915" t="n">
        <v>0</v>
      </c>
      <c r="K915" t="n">
        <v>0</v>
      </c>
      <c r="L915" t="n">
        <v>0</v>
      </c>
      <c r="M915" t="n">
        <v>0</v>
      </c>
      <c r="N915" t="n">
        <v>0</v>
      </c>
      <c r="O915" t="n">
        <v>0</v>
      </c>
      <c r="P915" t="n">
        <v>0</v>
      </c>
      <c r="Q915" t="n">
        <v>0</v>
      </c>
      <c r="R915" s="2" t="inlineStr"/>
    </row>
    <row r="916" ht="15" customHeight="1">
      <c r="A916" t="inlineStr">
        <is>
          <t>A 62752-2025</t>
        </is>
      </c>
      <c r="B916" s="1" t="n">
        <v>46008.58653935185</v>
      </c>
      <c r="C916" s="1" t="n">
        <v>46078</v>
      </c>
      <c r="D916" t="inlineStr">
        <is>
          <t>KALMAR LÄN</t>
        </is>
      </c>
      <c r="E916" t="inlineStr">
        <is>
          <t>VÄSTERVIK</t>
        </is>
      </c>
      <c r="G916" t="n">
        <v>9.4</v>
      </c>
      <c r="H916" t="n">
        <v>0</v>
      </c>
      <c r="I916" t="n">
        <v>0</v>
      </c>
      <c r="J916" t="n">
        <v>0</v>
      </c>
      <c r="K916" t="n">
        <v>0</v>
      </c>
      <c r="L916" t="n">
        <v>0</v>
      </c>
      <c r="M916" t="n">
        <v>0</v>
      </c>
      <c r="N916" t="n">
        <v>0</v>
      </c>
      <c r="O916" t="n">
        <v>0</v>
      </c>
      <c r="P916" t="n">
        <v>0</v>
      </c>
      <c r="Q916" t="n">
        <v>0</v>
      </c>
      <c r="R916" s="2" t="inlineStr"/>
    </row>
    <row r="917" ht="15" customHeight="1">
      <c r="A917" t="inlineStr">
        <is>
          <t>A 62789-2025</t>
        </is>
      </c>
      <c r="B917" s="1" t="n">
        <v>46008</v>
      </c>
      <c r="C917" s="1" t="n">
        <v>46078</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24829-2022</t>
        </is>
      </c>
      <c r="B918" s="1" t="n">
        <v>44728.45674768519</v>
      </c>
      <c r="C918" s="1" t="n">
        <v>46078</v>
      </c>
      <c r="D918" t="inlineStr">
        <is>
          <t>KALMAR LÄN</t>
        </is>
      </c>
      <c r="E918" t="inlineStr">
        <is>
          <t>VÄSTERVIK</t>
        </is>
      </c>
      <c r="G918" t="n">
        <v>2.2</v>
      </c>
      <c r="H918" t="n">
        <v>0</v>
      </c>
      <c r="I918" t="n">
        <v>0</v>
      </c>
      <c r="J918" t="n">
        <v>0</v>
      </c>
      <c r="K918" t="n">
        <v>0</v>
      </c>
      <c r="L918" t="n">
        <v>0</v>
      </c>
      <c r="M918" t="n">
        <v>0</v>
      </c>
      <c r="N918" t="n">
        <v>0</v>
      </c>
      <c r="O918" t="n">
        <v>0</v>
      </c>
      <c r="P918" t="n">
        <v>0</v>
      </c>
      <c r="Q918" t="n">
        <v>0</v>
      </c>
      <c r="R918" s="2" t="inlineStr"/>
    </row>
    <row r="919" ht="15" customHeight="1">
      <c r="A919" t="inlineStr">
        <is>
          <t>A 2098-2023</t>
        </is>
      </c>
      <c r="B919" s="1" t="n">
        <v>44939</v>
      </c>
      <c r="C919" s="1" t="n">
        <v>46078</v>
      </c>
      <c r="D919" t="inlineStr">
        <is>
          <t>KALMAR LÄN</t>
        </is>
      </c>
      <c r="E919" t="inlineStr">
        <is>
          <t>VÄSTERVIK</t>
        </is>
      </c>
      <c r="G919" t="n">
        <v>1.9</v>
      </c>
      <c r="H919" t="n">
        <v>0</v>
      </c>
      <c r="I919" t="n">
        <v>0</v>
      </c>
      <c r="J919" t="n">
        <v>0</v>
      </c>
      <c r="K919" t="n">
        <v>0</v>
      </c>
      <c r="L919" t="n">
        <v>0</v>
      </c>
      <c r="M919" t="n">
        <v>0</v>
      </c>
      <c r="N919" t="n">
        <v>0</v>
      </c>
      <c r="O919" t="n">
        <v>0</v>
      </c>
      <c r="P919" t="n">
        <v>0</v>
      </c>
      <c r="Q919" t="n">
        <v>0</v>
      </c>
      <c r="R919" s="2" t="inlineStr"/>
    </row>
    <row r="920" ht="15" customHeight="1">
      <c r="A920" t="inlineStr">
        <is>
          <t>A 7381-2025</t>
        </is>
      </c>
      <c r="B920" s="1" t="n">
        <v>45705.32234953704</v>
      </c>
      <c r="C920" s="1" t="n">
        <v>46078</v>
      </c>
      <c r="D920" t="inlineStr">
        <is>
          <t>KALMAR LÄN</t>
        </is>
      </c>
      <c r="E920" t="inlineStr">
        <is>
          <t>VÄSTERVIK</t>
        </is>
      </c>
      <c r="F920" t="inlineStr">
        <is>
          <t>Kyrkan</t>
        </is>
      </c>
      <c r="G920" t="n">
        <v>4.1</v>
      </c>
      <c r="H920" t="n">
        <v>0</v>
      </c>
      <c r="I920" t="n">
        <v>0</v>
      </c>
      <c r="J920" t="n">
        <v>0</v>
      </c>
      <c r="K920" t="n">
        <v>0</v>
      </c>
      <c r="L920" t="n">
        <v>0</v>
      </c>
      <c r="M920" t="n">
        <v>0</v>
      </c>
      <c r="N920" t="n">
        <v>0</v>
      </c>
      <c r="O920" t="n">
        <v>0</v>
      </c>
      <c r="P920" t="n">
        <v>0</v>
      </c>
      <c r="Q920" t="n">
        <v>0</v>
      </c>
      <c r="R920" s="2" t="inlineStr"/>
    </row>
    <row r="921" ht="15" customHeight="1">
      <c r="A921" t="inlineStr">
        <is>
          <t>A 562-2023</t>
        </is>
      </c>
      <c r="B921" s="1" t="n">
        <v>44930</v>
      </c>
      <c r="C921" s="1" t="n">
        <v>46078</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6315-2026</t>
        </is>
      </c>
      <c r="B922" s="1" t="n">
        <v>46055.58186342593</v>
      </c>
      <c r="C922" s="1" t="n">
        <v>46078</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44705-2023</t>
        </is>
      </c>
      <c r="B923" s="1" t="n">
        <v>45190</v>
      </c>
      <c r="C923" s="1" t="n">
        <v>46078</v>
      </c>
      <c r="D923" t="inlineStr">
        <is>
          <t>KALMAR LÄN</t>
        </is>
      </c>
      <c r="E923" t="inlineStr">
        <is>
          <t>VÄSTERVIK</t>
        </is>
      </c>
      <c r="G923" t="n">
        <v>1.4</v>
      </c>
      <c r="H923" t="n">
        <v>0</v>
      </c>
      <c r="I923" t="n">
        <v>0</v>
      </c>
      <c r="J923" t="n">
        <v>0</v>
      </c>
      <c r="K923" t="n">
        <v>0</v>
      </c>
      <c r="L923" t="n">
        <v>0</v>
      </c>
      <c r="M923" t="n">
        <v>0</v>
      </c>
      <c r="N923" t="n">
        <v>0</v>
      </c>
      <c r="O923" t="n">
        <v>0</v>
      </c>
      <c r="P923" t="n">
        <v>0</v>
      </c>
      <c r="Q923" t="n">
        <v>0</v>
      </c>
      <c r="R923" s="2" t="inlineStr"/>
    </row>
    <row r="924" ht="15" customHeight="1">
      <c r="A924" t="inlineStr">
        <is>
          <t>A 48035-2024</t>
        </is>
      </c>
      <c r="B924" s="1" t="n">
        <v>45589.49168981481</v>
      </c>
      <c r="C924" s="1" t="n">
        <v>46078</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55359-2024</t>
        </is>
      </c>
      <c r="B925" s="1" t="n">
        <v>45621.82230324074</v>
      </c>
      <c r="C925" s="1" t="n">
        <v>46078</v>
      </c>
      <c r="D925" t="inlineStr">
        <is>
          <t>KALMAR LÄN</t>
        </is>
      </c>
      <c r="E925" t="inlineStr">
        <is>
          <t>VÄSTERVIK</t>
        </is>
      </c>
      <c r="F925" t="inlineStr">
        <is>
          <t>Sveaskog</t>
        </is>
      </c>
      <c r="G925" t="n">
        <v>6.8</v>
      </c>
      <c r="H925" t="n">
        <v>0</v>
      </c>
      <c r="I925" t="n">
        <v>0</v>
      </c>
      <c r="J925" t="n">
        <v>0</v>
      </c>
      <c r="K925" t="n">
        <v>0</v>
      </c>
      <c r="L925" t="n">
        <v>0</v>
      </c>
      <c r="M925" t="n">
        <v>0</v>
      </c>
      <c r="N925" t="n">
        <v>0</v>
      </c>
      <c r="O925" t="n">
        <v>0</v>
      </c>
      <c r="P925" t="n">
        <v>0</v>
      </c>
      <c r="Q925" t="n">
        <v>0</v>
      </c>
      <c r="R925" s="2" t="inlineStr"/>
    </row>
    <row r="926" ht="15" customHeight="1">
      <c r="A926" t="inlineStr">
        <is>
          <t>A 10116-2022</t>
        </is>
      </c>
      <c r="B926" s="1" t="n">
        <v>44621</v>
      </c>
      <c r="C926" s="1" t="n">
        <v>46078</v>
      </c>
      <c r="D926" t="inlineStr">
        <is>
          <t>KALMAR LÄN</t>
        </is>
      </c>
      <c r="E926" t="inlineStr">
        <is>
          <t>VÄSTERVIK</t>
        </is>
      </c>
      <c r="G926" t="n">
        <v>1.6</v>
      </c>
      <c r="H926" t="n">
        <v>0</v>
      </c>
      <c r="I926" t="n">
        <v>0</v>
      </c>
      <c r="J926" t="n">
        <v>0</v>
      </c>
      <c r="K926" t="n">
        <v>0</v>
      </c>
      <c r="L926" t="n">
        <v>0</v>
      </c>
      <c r="M926" t="n">
        <v>0</v>
      </c>
      <c r="N926" t="n">
        <v>0</v>
      </c>
      <c r="O926" t="n">
        <v>0</v>
      </c>
      <c r="P926" t="n">
        <v>0</v>
      </c>
      <c r="Q926" t="n">
        <v>0</v>
      </c>
      <c r="R926" s="2" t="inlineStr"/>
    </row>
    <row r="927" ht="15" customHeight="1">
      <c r="A927" t="inlineStr">
        <is>
          <t>A 5915-2026</t>
        </is>
      </c>
      <c r="B927" s="1" t="n">
        <v>46052.45144675926</v>
      </c>
      <c r="C927" s="1" t="n">
        <v>46078</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17652-2023</t>
        </is>
      </c>
      <c r="B928" s="1" t="n">
        <v>45036.70626157407</v>
      </c>
      <c r="C928" s="1" t="n">
        <v>46078</v>
      </c>
      <c r="D928" t="inlineStr">
        <is>
          <t>KALMAR LÄN</t>
        </is>
      </c>
      <c r="E928" t="inlineStr">
        <is>
          <t>VÄSTERVIK</t>
        </is>
      </c>
      <c r="G928" t="n">
        <v>0.2</v>
      </c>
      <c r="H928" t="n">
        <v>0</v>
      </c>
      <c r="I928" t="n">
        <v>0</v>
      </c>
      <c r="J928" t="n">
        <v>0</v>
      </c>
      <c r="K928" t="n">
        <v>0</v>
      </c>
      <c r="L928" t="n">
        <v>0</v>
      </c>
      <c r="M928" t="n">
        <v>0</v>
      </c>
      <c r="N928" t="n">
        <v>0</v>
      </c>
      <c r="O928" t="n">
        <v>0</v>
      </c>
      <c r="P928" t="n">
        <v>0</v>
      </c>
      <c r="Q928" t="n">
        <v>0</v>
      </c>
      <c r="R928" s="2" t="inlineStr"/>
    </row>
    <row r="929" ht="15" customHeight="1">
      <c r="A929" t="inlineStr">
        <is>
          <t>A 62921-2023</t>
        </is>
      </c>
      <c r="B929" s="1" t="n">
        <v>45272</v>
      </c>
      <c r="C929" s="1" t="n">
        <v>46078</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63589-2025</t>
        </is>
      </c>
      <c r="B930" s="1" t="n">
        <v>46013.80627314815</v>
      </c>
      <c r="C930" s="1" t="n">
        <v>46078</v>
      </c>
      <c r="D930" t="inlineStr">
        <is>
          <t>KALMAR LÄN</t>
        </is>
      </c>
      <c r="E930" t="inlineStr">
        <is>
          <t>VÄSTERVIK</t>
        </is>
      </c>
      <c r="F930" t="inlineStr">
        <is>
          <t>Sveaskog</t>
        </is>
      </c>
      <c r="G930" t="n">
        <v>13.2</v>
      </c>
      <c r="H930" t="n">
        <v>0</v>
      </c>
      <c r="I930" t="n">
        <v>0</v>
      </c>
      <c r="J930" t="n">
        <v>0</v>
      </c>
      <c r="K930" t="n">
        <v>0</v>
      </c>
      <c r="L930" t="n">
        <v>0</v>
      </c>
      <c r="M930" t="n">
        <v>0</v>
      </c>
      <c r="N930" t="n">
        <v>0</v>
      </c>
      <c r="O930" t="n">
        <v>0</v>
      </c>
      <c r="P930" t="n">
        <v>0</v>
      </c>
      <c r="Q930" t="n">
        <v>0</v>
      </c>
      <c r="R930" s="2" t="inlineStr"/>
    </row>
    <row r="931" ht="15" customHeight="1">
      <c r="A931" t="inlineStr">
        <is>
          <t>A 63587-2025</t>
        </is>
      </c>
      <c r="B931" s="1" t="n">
        <v>46013.80384259259</v>
      </c>
      <c r="C931" s="1" t="n">
        <v>46078</v>
      </c>
      <c r="D931" t="inlineStr">
        <is>
          <t>KALMAR LÄN</t>
        </is>
      </c>
      <c r="E931" t="inlineStr">
        <is>
          <t>VÄSTERVIK</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2951-2025</t>
        </is>
      </c>
      <c r="B932" s="1" t="n">
        <v>45678</v>
      </c>
      <c r="C932" s="1" t="n">
        <v>46078</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28390-2024</t>
        </is>
      </c>
      <c r="B933" s="1" t="n">
        <v>45477</v>
      </c>
      <c r="C933" s="1" t="n">
        <v>46078</v>
      </c>
      <c r="D933" t="inlineStr">
        <is>
          <t>KALMAR LÄN</t>
        </is>
      </c>
      <c r="E933" t="inlineStr">
        <is>
          <t>VÄSTERVIK</t>
        </is>
      </c>
      <c r="F933" t="inlineStr">
        <is>
          <t>Holmen skog AB</t>
        </is>
      </c>
      <c r="G933" t="n">
        <v>1.4</v>
      </c>
      <c r="H933" t="n">
        <v>0</v>
      </c>
      <c r="I933" t="n">
        <v>0</v>
      </c>
      <c r="J933" t="n">
        <v>0</v>
      </c>
      <c r="K933" t="n">
        <v>0</v>
      </c>
      <c r="L933" t="n">
        <v>0</v>
      </c>
      <c r="M933" t="n">
        <v>0</v>
      </c>
      <c r="N933" t="n">
        <v>0</v>
      </c>
      <c r="O933" t="n">
        <v>0</v>
      </c>
      <c r="P933" t="n">
        <v>0</v>
      </c>
      <c r="Q933" t="n">
        <v>0</v>
      </c>
      <c r="R933" s="2" t="inlineStr"/>
    </row>
    <row r="934" ht="15" customHeight="1">
      <c r="A934" t="inlineStr">
        <is>
          <t>A 27568-2024</t>
        </is>
      </c>
      <c r="B934" s="1" t="n">
        <v>45474</v>
      </c>
      <c r="C934" s="1" t="n">
        <v>46078</v>
      </c>
      <c r="D934" t="inlineStr">
        <is>
          <t>KALMAR LÄN</t>
        </is>
      </c>
      <c r="E934" t="inlineStr">
        <is>
          <t>VÄSTERVIK</t>
        </is>
      </c>
      <c r="G934" t="n">
        <v>7.7</v>
      </c>
      <c r="H934" t="n">
        <v>0</v>
      </c>
      <c r="I934" t="n">
        <v>0</v>
      </c>
      <c r="J934" t="n">
        <v>0</v>
      </c>
      <c r="K934" t="n">
        <v>0</v>
      </c>
      <c r="L934" t="n">
        <v>0</v>
      </c>
      <c r="M934" t="n">
        <v>0</v>
      </c>
      <c r="N934" t="n">
        <v>0</v>
      </c>
      <c r="O934" t="n">
        <v>0</v>
      </c>
      <c r="P934" t="n">
        <v>0</v>
      </c>
      <c r="Q934" t="n">
        <v>0</v>
      </c>
      <c r="R934" s="2" t="inlineStr"/>
    </row>
    <row r="935" ht="15" customHeight="1">
      <c r="A935" t="inlineStr">
        <is>
          <t>A 47939-2023</t>
        </is>
      </c>
      <c r="B935" s="1" t="n">
        <v>45204.56195601852</v>
      </c>
      <c r="C935" s="1" t="n">
        <v>46078</v>
      </c>
      <c r="D935" t="inlineStr">
        <is>
          <t>KALMAR LÄN</t>
        </is>
      </c>
      <c r="E935" t="inlineStr">
        <is>
          <t>VÄSTERVIK</t>
        </is>
      </c>
      <c r="G935" t="n">
        <v>3.7</v>
      </c>
      <c r="H935" t="n">
        <v>0</v>
      </c>
      <c r="I935" t="n">
        <v>0</v>
      </c>
      <c r="J935" t="n">
        <v>0</v>
      </c>
      <c r="K935" t="n">
        <v>0</v>
      </c>
      <c r="L935" t="n">
        <v>0</v>
      </c>
      <c r="M935" t="n">
        <v>0</v>
      </c>
      <c r="N935" t="n">
        <v>0</v>
      </c>
      <c r="O935" t="n">
        <v>0</v>
      </c>
      <c r="P935" t="n">
        <v>0</v>
      </c>
      <c r="Q935" t="n">
        <v>0</v>
      </c>
      <c r="R935" s="2" t="inlineStr"/>
    </row>
    <row r="936" ht="15" customHeight="1">
      <c r="A936" t="inlineStr">
        <is>
          <t>A 14055-2025</t>
        </is>
      </c>
      <c r="B936" s="1" t="n">
        <v>45740.39541666667</v>
      </c>
      <c r="C936" s="1" t="n">
        <v>46078</v>
      </c>
      <c r="D936" t="inlineStr">
        <is>
          <t>KALMAR LÄN</t>
        </is>
      </c>
      <c r="E936" t="inlineStr">
        <is>
          <t>VÄSTERVIK</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46718-2023</t>
        </is>
      </c>
      <c r="B937" s="1" t="n">
        <v>45198</v>
      </c>
      <c r="C937" s="1" t="n">
        <v>46078</v>
      </c>
      <c r="D937" t="inlineStr">
        <is>
          <t>KALMAR LÄN</t>
        </is>
      </c>
      <c r="E937" t="inlineStr">
        <is>
          <t>VÄSTERVIK</t>
        </is>
      </c>
      <c r="G937" t="n">
        <v>0.4</v>
      </c>
      <c r="H937" t="n">
        <v>0</v>
      </c>
      <c r="I937" t="n">
        <v>0</v>
      </c>
      <c r="J937" t="n">
        <v>0</v>
      </c>
      <c r="K937" t="n">
        <v>0</v>
      </c>
      <c r="L937" t="n">
        <v>0</v>
      </c>
      <c r="M937" t="n">
        <v>0</v>
      </c>
      <c r="N937" t="n">
        <v>0</v>
      </c>
      <c r="O937" t="n">
        <v>0</v>
      </c>
      <c r="P937" t="n">
        <v>0</v>
      </c>
      <c r="Q937" t="n">
        <v>0</v>
      </c>
      <c r="R937" s="2" t="inlineStr"/>
    </row>
    <row r="938" ht="15" customHeight="1">
      <c r="A938" t="inlineStr">
        <is>
          <t>A 63588-2025</t>
        </is>
      </c>
      <c r="B938" s="1" t="n">
        <v>46013.80505787037</v>
      </c>
      <c r="C938" s="1" t="n">
        <v>46078</v>
      </c>
      <c r="D938" t="inlineStr">
        <is>
          <t>KALMAR LÄN</t>
        </is>
      </c>
      <c r="E938" t="inlineStr">
        <is>
          <t>VÄSTERVIK</t>
        </is>
      </c>
      <c r="F938" t="inlineStr">
        <is>
          <t>Sveaskog</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63590-2025</t>
        </is>
      </c>
      <c r="B939" s="1" t="n">
        <v>46013.8079050926</v>
      </c>
      <c r="C939" s="1" t="n">
        <v>46078</v>
      </c>
      <c r="D939" t="inlineStr">
        <is>
          <t>KALMAR LÄN</t>
        </is>
      </c>
      <c r="E939" t="inlineStr">
        <is>
          <t>VÄSTERVIK</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63591-2025</t>
        </is>
      </c>
      <c r="B940" s="1" t="n">
        <v>46013.80930555556</v>
      </c>
      <c r="C940" s="1" t="n">
        <v>46078</v>
      </c>
      <c r="D940" t="inlineStr">
        <is>
          <t>KALMAR LÄN</t>
        </is>
      </c>
      <c r="E940" t="inlineStr">
        <is>
          <t>VÄSTERVIK</t>
        </is>
      </c>
      <c r="F940" t="inlineStr">
        <is>
          <t>Sveaskog</t>
        </is>
      </c>
      <c r="G940" t="n">
        <v>13.7</v>
      </c>
      <c r="H940" t="n">
        <v>0</v>
      </c>
      <c r="I940" t="n">
        <v>0</v>
      </c>
      <c r="J940" t="n">
        <v>0</v>
      </c>
      <c r="K940" t="n">
        <v>0</v>
      </c>
      <c r="L940" t="n">
        <v>0</v>
      </c>
      <c r="M940" t="n">
        <v>0</v>
      </c>
      <c r="N940" t="n">
        <v>0</v>
      </c>
      <c r="O940" t="n">
        <v>0</v>
      </c>
      <c r="P940" t="n">
        <v>0</v>
      </c>
      <c r="Q940" t="n">
        <v>0</v>
      </c>
      <c r="R940" s="2" t="inlineStr"/>
    </row>
    <row r="941" ht="15" customHeight="1">
      <c r="A941" t="inlineStr">
        <is>
          <t>A 13748-2024</t>
        </is>
      </c>
      <c r="B941" s="1" t="n">
        <v>45390</v>
      </c>
      <c r="C941" s="1" t="n">
        <v>46078</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1877-2025</t>
        </is>
      </c>
      <c r="B942" s="1" t="n">
        <v>45671.62141203704</v>
      </c>
      <c r="C942" s="1" t="n">
        <v>46078</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35962-2023</t>
        </is>
      </c>
      <c r="B943" s="1" t="n">
        <v>45148</v>
      </c>
      <c r="C943" s="1" t="n">
        <v>46078</v>
      </c>
      <c r="D943" t="inlineStr">
        <is>
          <t>KALMAR LÄN</t>
        </is>
      </c>
      <c r="E943" t="inlineStr">
        <is>
          <t>VÄSTERVIK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27094-2024</t>
        </is>
      </c>
      <c r="B944" s="1" t="n">
        <v>45471</v>
      </c>
      <c r="C944" s="1" t="n">
        <v>46078</v>
      </c>
      <c r="D944" t="inlineStr">
        <is>
          <t>KALMAR LÄN</t>
        </is>
      </c>
      <c r="E944" t="inlineStr">
        <is>
          <t>VÄSTERVIK</t>
        </is>
      </c>
      <c r="F944" t="inlineStr">
        <is>
          <t>Holmen skog AB</t>
        </is>
      </c>
      <c r="G944" t="n">
        <v>2.4</v>
      </c>
      <c r="H944" t="n">
        <v>0</v>
      </c>
      <c r="I944" t="n">
        <v>0</v>
      </c>
      <c r="J944" t="n">
        <v>0</v>
      </c>
      <c r="K944" t="n">
        <v>0</v>
      </c>
      <c r="L944" t="n">
        <v>0</v>
      </c>
      <c r="M944" t="n">
        <v>0</v>
      </c>
      <c r="N944" t="n">
        <v>0</v>
      </c>
      <c r="O944" t="n">
        <v>0</v>
      </c>
      <c r="P944" t="n">
        <v>0</v>
      </c>
      <c r="Q944" t="n">
        <v>0</v>
      </c>
      <c r="R944" s="2" t="inlineStr"/>
      <c r="U944">
        <f>HYPERLINK("https://klasma.github.io/Logging_0883/knärot/A 27094-2024 karta knärot.png", "A 27094-2024")</f>
        <v/>
      </c>
      <c r="V944">
        <f>HYPERLINK("https://klasma.github.io/Logging_0883/klagomål/A 27094-2024 FSC-klagomål.docx", "A 27094-2024")</f>
        <v/>
      </c>
      <c r="W944">
        <f>HYPERLINK("https://klasma.github.io/Logging_0883/klagomålsmail/A 27094-2024 FSC-klagomål mail.docx", "A 27094-2024")</f>
        <v/>
      </c>
      <c r="X944">
        <f>HYPERLINK("https://klasma.github.io/Logging_0883/tillsyn/A 27094-2024 tillsynsbegäran.docx", "A 27094-2024")</f>
        <v/>
      </c>
      <c r="Y944">
        <f>HYPERLINK("https://klasma.github.io/Logging_0883/tillsynsmail/A 27094-2024 tillsynsbegäran mail.docx", "A 27094-2024")</f>
        <v/>
      </c>
    </row>
    <row r="945" ht="15" customHeight="1">
      <c r="A945" t="inlineStr">
        <is>
          <t>A 29557-2024</t>
        </is>
      </c>
      <c r="B945" s="1" t="n">
        <v>45484.52023148148</v>
      </c>
      <c r="C945" s="1" t="n">
        <v>46078</v>
      </c>
      <c r="D945" t="inlineStr">
        <is>
          <t>KALMAR LÄN</t>
        </is>
      </c>
      <c r="E945" t="inlineStr">
        <is>
          <t>VÄSTERVIK</t>
        </is>
      </c>
      <c r="G945" t="n">
        <v>5.9</v>
      </c>
      <c r="H945" t="n">
        <v>0</v>
      </c>
      <c r="I945" t="n">
        <v>0</v>
      </c>
      <c r="J945" t="n">
        <v>0</v>
      </c>
      <c r="K945" t="n">
        <v>0</v>
      </c>
      <c r="L945" t="n">
        <v>0</v>
      </c>
      <c r="M945" t="n">
        <v>0</v>
      </c>
      <c r="N945" t="n">
        <v>0</v>
      </c>
      <c r="O945" t="n">
        <v>0</v>
      </c>
      <c r="P945" t="n">
        <v>0</v>
      </c>
      <c r="Q945" t="n">
        <v>0</v>
      </c>
      <c r="R945" s="2" t="inlineStr"/>
    </row>
    <row r="946" ht="15" customHeight="1">
      <c r="A946" t="inlineStr">
        <is>
          <t>A 7520-2026</t>
        </is>
      </c>
      <c r="B946" s="1" t="n">
        <v>46059.60134259259</v>
      </c>
      <c r="C946" s="1" t="n">
        <v>46078</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7521-2026</t>
        </is>
      </c>
      <c r="B947" s="1" t="n">
        <v>46059.60282407407</v>
      </c>
      <c r="C947" s="1" t="n">
        <v>46078</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13836-2024</t>
        </is>
      </c>
      <c r="B948" s="1" t="n">
        <v>45391.44385416667</v>
      </c>
      <c r="C948" s="1" t="n">
        <v>46078</v>
      </c>
      <c r="D948" t="inlineStr">
        <is>
          <t>KALMAR LÄN</t>
        </is>
      </c>
      <c r="E948" t="inlineStr">
        <is>
          <t>VÄSTERVIK</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4508-2023</t>
        </is>
      </c>
      <c r="B949" s="1" t="n">
        <v>44956</v>
      </c>
      <c r="C949" s="1" t="n">
        <v>46078</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8066-2026</t>
        </is>
      </c>
      <c r="B950" s="1" t="n">
        <v>46063.63578703703</v>
      </c>
      <c r="C950" s="1" t="n">
        <v>46078</v>
      </c>
      <c r="D950" t="inlineStr">
        <is>
          <t>KALMAR LÄN</t>
        </is>
      </c>
      <c r="E950" t="inlineStr">
        <is>
          <t>VÄSTERVIK</t>
        </is>
      </c>
      <c r="G950" t="n">
        <v>0.9</v>
      </c>
      <c r="H950" t="n">
        <v>0</v>
      </c>
      <c r="I950" t="n">
        <v>0</v>
      </c>
      <c r="J950" t="n">
        <v>0</v>
      </c>
      <c r="K950" t="n">
        <v>0</v>
      </c>
      <c r="L950" t="n">
        <v>0</v>
      </c>
      <c r="M950" t="n">
        <v>0</v>
      </c>
      <c r="N950" t="n">
        <v>0</v>
      </c>
      <c r="O950" t="n">
        <v>0</v>
      </c>
      <c r="P950" t="n">
        <v>0</v>
      </c>
      <c r="Q950" t="n">
        <v>0</v>
      </c>
      <c r="R950" s="2" t="inlineStr"/>
    </row>
    <row r="951" ht="15" customHeight="1">
      <c r="A951" t="inlineStr">
        <is>
          <t>A 63835-2025</t>
        </is>
      </c>
      <c r="B951" s="1" t="n">
        <v>46020.40302083334</v>
      </c>
      <c r="C951" s="1" t="n">
        <v>46078</v>
      </c>
      <c r="D951" t="inlineStr">
        <is>
          <t>KALMAR LÄN</t>
        </is>
      </c>
      <c r="E951" t="inlineStr">
        <is>
          <t>VÄSTERVIK</t>
        </is>
      </c>
      <c r="G951" t="n">
        <v>2.8</v>
      </c>
      <c r="H951" t="n">
        <v>0</v>
      </c>
      <c r="I951" t="n">
        <v>0</v>
      </c>
      <c r="J951" t="n">
        <v>0</v>
      </c>
      <c r="K951" t="n">
        <v>0</v>
      </c>
      <c r="L951" t="n">
        <v>0</v>
      </c>
      <c r="M951" t="n">
        <v>0</v>
      </c>
      <c r="N951" t="n">
        <v>0</v>
      </c>
      <c r="O951" t="n">
        <v>0</v>
      </c>
      <c r="P951" t="n">
        <v>0</v>
      </c>
      <c r="Q951" t="n">
        <v>0</v>
      </c>
      <c r="R951" s="2" t="inlineStr"/>
    </row>
    <row r="952" ht="15" customHeight="1">
      <c r="A952" t="inlineStr">
        <is>
          <t>A 24877-2023</t>
        </is>
      </c>
      <c r="B952" s="1" t="n">
        <v>45085.43271990741</v>
      </c>
      <c r="C952" s="1" t="n">
        <v>46078</v>
      </c>
      <c r="D952" t="inlineStr">
        <is>
          <t>KALMAR LÄN</t>
        </is>
      </c>
      <c r="E952" t="inlineStr">
        <is>
          <t>VÄSTERVIK</t>
        </is>
      </c>
      <c r="G952" t="n">
        <v>3.8</v>
      </c>
      <c r="H952" t="n">
        <v>0</v>
      </c>
      <c r="I952" t="n">
        <v>0</v>
      </c>
      <c r="J952" t="n">
        <v>0</v>
      </c>
      <c r="K952" t="n">
        <v>0</v>
      </c>
      <c r="L952" t="n">
        <v>0</v>
      </c>
      <c r="M952" t="n">
        <v>0</v>
      </c>
      <c r="N952" t="n">
        <v>0</v>
      </c>
      <c r="O952" t="n">
        <v>0</v>
      </c>
      <c r="P952" t="n">
        <v>0</v>
      </c>
      <c r="Q952" t="n">
        <v>0</v>
      </c>
      <c r="R952" s="2" t="inlineStr"/>
    </row>
    <row r="953" ht="15" customHeight="1">
      <c r="A953" t="inlineStr">
        <is>
          <t>A 25180-2023</t>
        </is>
      </c>
      <c r="B953" s="1" t="n">
        <v>45086</v>
      </c>
      <c r="C953" s="1" t="n">
        <v>46078</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5923-2024</t>
        </is>
      </c>
      <c r="B954" s="1" t="n">
        <v>45335</v>
      </c>
      <c r="C954" s="1" t="n">
        <v>46078</v>
      </c>
      <c r="D954" t="inlineStr">
        <is>
          <t>KALMAR LÄN</t>
        </is>
      </c>
      <c r="E954" t="inlineStr">
        <is>
          <t>VÄSTERVIK</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61556-2023</t>
        </is>
      </c>
      <c r="B955" s="1" t="n">
        <v>45261</v>
      </c>
      <c r="C955" s="1" t="n">
        <v>46078</v>
      </c>
      <c r="D955" t="inlineStr">
        <is>
          <t>KALMAR LÄN</t>
        </is>
      </c>
      <c r="E955" t="inlineStr">
        <is>
          <t>VÄSTERVIK</t>
        </is>
      </c>
      <c r="F955" t="inlineStr">
        <is>
          <t>Övriga Aktiebolag</t>
        </is>
      </c>
      <c r="G955" t="n">
        <v>13.9</v>
      </c>
      <c r="H955" t="n">
        <v>0</v>
      </c>
      <c r="I955" t="n">
        <v>0</v>
      </c>
      <c r="J955" t="n">
        <v>0</v>
      </c>
      <c r="K955" t="n">
        <v>0</v>
      </c>
      <c r="L955" t="n">
        <v>0</v>
      </c>
      <c r="M955" t="n">
        <v>0</v>
      </c>
      <c r="N955" t="n">
        <v>0</v>
      </c>
      <c r="O955" t="n">
        <v>0</v>
      </c>
      <c r="P955" t="n">
        <v>0</v>
      </c>
      <c r="Q955" t="n">
        <v>0</v>
      </c>
      <c r="R955" s="2" t="inlineStr"/>
    </row>
    <row r="956" ht="15" customHeight="1">
      <c r="A956" t="inlineStr">
        <is>
          <t>A 29404-2024</t>
        </is>
      </c>
      <c r="B956" s="1" t="n">
        <v>45483</v>
      </c>
      <c r="C956" s="1" t="n">
        <v>46078</v>
      </c>
      <c r="D956" t="inlineStr">
        <is>
          <t>KALMAR LÄN</t>
        </is>
      </c>
      <c r="E956" t="inlineStr">
        <is>
          <t>VÄSTERVIK</t>
        </is>
      </c>
      <c r="G956" t="n">
        <v>2.2</v>
      </c>
      <c r="H956" t="n">
        <v>0</v>
      </c>
      <c r="I956" t="n">
        <v>0</v>
      </c>
      <c r="J956" t="n">
        <v>0</v>
      </c>
      <c r="K956" t="n">
        <v>0</v>
      </c>
      <c r="L956" t="n">
        <v>0</v>
      </c>
      <c r="M956" t="n">
        <v>0</v>
      </c>
      <c r="N956" t="n">
        <v>0</v>
      </c>
      <c r="O956" t="n">
        <v>0</v>
      </c>
      <c r="P956" t="n">
        <v>0</v>
      </c>
      <c r="Q956" t="n">
        <v>0</v>
      </c>
      <c r="R956" s="2" t="inlineStr"/>
    </row>
    <row r="957" ht="15" customHeight="1">
      <c r="A957" t="inlineStr">
        <is>
          <t>A 25561-2024</t>
        </is>
      </c>
      <c r="B957" s="1" t="n">
        <v>45463.58467592593</v>
      </c>
      <c r="C957" s="1" t="n">
        <v>46078</v>
      </c>
      <c r="D957" t="inlineStr">
        <is>
          <t>KALMAR LÄN</t>
        </is>
      </c>
      <c r="E957" t="inlineStr">
        <is>
          <t>VÄSTERVIK</t>
        </is>
      </c>
      <c r="F957" t="inlineStr">
        <is>
          <t>Holmen skog AB</t>
        </is>
      </c>
      <c r="G957" t="n">
        <v>7.2</v>
      </c>
      <c r="H957" t="n">
        <v>0</v>
      </c>
      <c r="I957" t="n">
        <v>0</v>
      </c>
      <c r="J957" t="n">
        <v>0</v>
      </c>
      <c r="K957" t="n">
        <v>0</v>
      </c>
      <c r="L957" t="n">
        <v>0</v>
      </c>
      <c r="M957" t="n">
        <v>0</v>
      </c>
      <c r="N957" t="n">
        <v>0</v>
      </c>
      <c r="O957" t="n">
        <v>0</v>
      </c>
      <c r="P957" t="n">
        <v>0</v>
      </c>
      <c r="Q957" t="n">
        <v>0</v>
      </c>
      <c r="R957" s="2" t="inlineStr"/>
    </row>
    <row r="958" ht="15" customHeight="1">
      <c r="A958" t="inlineStr">
        <is>
          <t>A 40674-2023</t>
        </is>
      </c>
      <c r="B958" s="1" t="n">
        <v>45170.59288194445</v>
      </c>
      <c r="C958" s="1" t="n">
        <v>46078</v>
      </c>
      <c r="D958" t="inlineStr">
        <is>
          <t>KALMAR LÄN</t>
        </is>
      </c>
      <c r="E958" t="inlineStr">
        <is>
          <t>VÄSTERVIK</t>
        </is>
      </c>
      <c r="G958" t="n">
        <v>4.2</v>
      </c>
      <c r="H958" t="n">
        <v>0</v>
      </c>
      <c r="I958" t="n">
        <v>0</v>
      </c>
      <c r="J958" t="n">
        <v>0</v>
      </c>
      <c r="K958" t="n">
        <v>0</v>
      </c>
      <c r="L958" t="n">
        <v>0</v>
      </c>
      <c r="M958" t="n">
        <v>0</v>
      </c>
      <c r="N958" t="n">
        <v>0</v>
      </c>
      <c r="O958" t="n">
        <v>0</v>
      </c>
      <c r="P958" t="n">
        <v>0</v>
      </c>
      <c r="Q958" t="n">
        <v>0</v>
      </c>
      <c r="R958" s="2" t="inlineStr"/>
    </row>
    <row r="959" ht="15" customHeight="1">
      <c r="A959" t="inlineStr">
        <is>
          <t>A 40677-2023</t>
        </is>
      </c>
      <c r="B959" s="1" t="n">
        <v>45170.59443287037</v>
      </c>
      <c r="C959" s="1" t="n">
        <v>46078</v>
      </c>
      <c r="D959" t="inlineStr">
        <is>
          <t>KALMAR LÄN</t>
        </is>
      </c>
      <c r="E959" t="inlineStr">
        <is>
          <t>VÄSTERVIK</t>
        </is>
      </c>
      <c r="G959" t="n">
        <v>1</v>
      </c>
      <c r="H959" t="n">
        <v>0</v>
      </c>
      <c r="I959" t="n">
        <v>0</v>
      </c>
      <c r="J959" t="n">
        <v>0</v>
      </c>
      <c r="K959" t="n">
        <v>0</v>
      </c>
      <c r="L959" t="n">
        <v>0</v>
      </c>
      <c r="M959" t="n">
        <v>0</v>
      </c>
      <c r="N959" t="n">
        <v>0</v>
      </c>
      <c r="O959" t="n">
        <v>0</v>
      </c>
      <c r="P959" t="n">
        <v>0</v>
      </c>
      <c r="Q959" t="n">
        <v>0</v>
      </c>
      <c r="R959" s="2" t="inlineStr"/>
    </row>
    <row r="960" ht="15" customHeight="1">
      <c r="A960" t="inlineStr">
        <is>
          <t>A 32647-2023</t>
        </is>
      </c>
      <c r="B960" s="1" t="n">
        <v>45121</v>
      </c>
      <c r="C960" s="1" t="n">
        <v>46078</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33842-2025</t>
        </is>
      </c>
      <c r="B961" s="1" t="n">
        <v>45842</v>
      </c>
      <c r="C961" s="1" t="n">
        <v>46078</v>
      </c>
      <c r="D961" t="inlineStr">
        <is>
          <t>KALMAR LÄN</t>
        </is>
      </c>
      <c r="E961" t="inlineStr">
        <is>
          <t>VÄSTERVIK</t>
        </is>
      </c>
      <c r="G961" t="n">
        <v>2</v>
      </c>
      <c r="H961" t="n">
        <v>0</v>
      </c>
      <c r="I961" t="n">
        <v>0</v>
      </c>
      <c r="J961" t="n">
        <v>0</v>
      </c>
      <c r="K961" t="n">
        <v>0</v>
      </c>
      <c r="L961" t="n">
        <v>0</v>
      </c>
      <c r="M961" t="n">
        <v>0</v>
      </c>
      <c r="N961" t="n">
        <v>0</v>
      </c>
      <c r="O961" t="n">
        <v>0</v>
      </c>
      <c r="P961" t="n">
        <v>0</v>
      </c>
      <c r="Q961" t="n">
        <v>0</v>
      </c>
      <c r="R961" s="2" t="inlineStr"/>
    </row>
    <row r="962" ht="15" customHeight="1">
      <c r="A962" t="inlineStr">
        <is>
          <t>A 54629-2024</t>
        </is>
      </c>
      <c r="B962" s="1" t="n">
        <v>45617.85399305556</v>
      </c>
      <c r="C962" s="1" t="n">
        <v>46078</v>
      </c>
      <c r="D962" t="inlineStr">
        <is>
          <t>KALMAR LÄN</t>
        </is>
      </c>
      <c r="E962" t="inlineStr">
        <is>
          <t>VÄSTERVIK</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8425-2026</t>
        </is>
      </c>
      <c r="B963" s="1" t="n">
        <v>46065.37771990741</v>
      </c>
      <c r="C963" s="1" t="n">
        <v>46078</v>
      </c>
      <c r="D963" t="inlineStr">
        <is>
          <t>KALMAR LÄN</t>
        </is>
      </c>
      <c r="E963" t="inlineStr">
        <is>
          <t>VÄSTERVIK</t>
        </is>
      </c>
      <c r="G963" t="n">
        <v>2.1</v>
      </c>
      <c r="H963" t="n">
        <v>0</v>
      </c>
      <c r="I963" t="n">
        <v>0</v>
      </c>
      <c r="J963" t="n">
        <v>0</v>
      </c>
      <c r="K963" t="n">
        <v>0</v>
      </c>
      <c r="L963" t="n">
        <v>0</v>
      </c>
      <c r="M963" t="n">
        <v>0</v>
      </c>
      <c r="N963" t="n">
        <v>0</v>
      </c>
      <c r="O963" t="n">
        <v>0</v>
      </c>
      <c r="P963" t="n">
        <v>0</v>
      </c>
      <c r="Q963" t="n">
        <v>0</v>
      </c>
      <c r="R963" s="2" t="inlineStr"/>
    </row>
    <row r="964" ht="15" customHeight="1">
      <c r="A964" t="inlineStr">
        <is>
          <t>A 7164-2025</t>
        </is>
      </c>
      <c r="B964" s="1" t="n">
        <v>45702.39331018519</v>
      </c>
      <c r="C964" s="1" t="n">
        <v>46078</v>
      </c>
      <c r="D964" t="inlineStr">
        <is>
          <t>KALMAR LÄN</t>
        </is>
      </c>
      <c r="E964" t="inlineStr">
        <is>
          <t>VÄSTERVIK</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56610-2022</t>
        </is>
      </c>
      <c r="B965" s="1" t="n">
        <v>44893.5862037037</v>
      </c>
      <c r="C965" s="1" t="n">
        <v>46078</v>
      </c>
      <c r="D965" t="inlineStr">
        <is>
          <t>KALMAR LÄN</t>
        </is>
      </c>
      <c r="E965" t="inlineStr">
        <is>
          <t>VÄSTERVIK</t>
        </is>
      </c>
      <c r="G965" t="n">
        <v>0.5</v>
      </c>
      <c r="H965" t="n">
        <v>0</v>
      </c>
      <c r="I965" t="n">
        <v>0</v>
      </c>
      <c r="J965" t="n">
        <v>0</v>
      </c>
      <c r="K965" t="n">
        <v>0</v>
      </c>
      <c r="L965" t="n">
        <v>0</v>
      </c>
      <c r="M965" t="n">
        <v>0</v>
      </c>
      <c r="N965" t="n">
        <v>0</v>
      </c>
      <c r="O965" t="n">
        <v>0</v>
      </c>
      <c r="P965" t="n">
        <v>0</v>
      </c>
      <c r="Q965" t="n">
        <v>0</v>
      </c>
      <c r="R965" s="2" t="inlineStr"/>
    </row>
    <row r="966" ht="15" customHeight="1">
      <c r="A966" t="inlineStr">
        <is>
          <t>A 2314-2023</t>
        </is>
      </c>
      <c r="B966" s="1" t="n">
        <v>44942</v>
      </c>
      <c r="C966" s="1" t="n">
        <v>46078</v>
      </c>
      <c r="D966" t="inlineStr">
        <is>
          <t>KALMAR LÄN</t>
        </is>
      </c>
      <c r="E966" t="inlineStr">
        <is>
          <t>VÄSTERVIK</t>
        </is>
      </c>
      <c r="G966" t="n">
        <v>2.3</v>
      </c>
      <c r="H966" t="n">
        <v>0</v>
      </c>
      <c r="I966" t="n">
        <v>0</v>
      </c>
      <c r="J966" t="n">
        <v>0</v>
      </c>
      <c r="K966" t="n">
        <v>0</v>
      </c>
      <c r="L966" t="n">
        <v>0</v>
      </c>
      <c r="M966" t="n">
        <v>0</v>
      </c>
      <c r="N966" t="n">
        <v>0</v>
      </c>
      <c r="O966" t="n">
        <v>0</v>
      </c>
      <c r="P966" t="n">
        <v>0</v>
      </c>
      <c r="Q966" t="n">
        <v>0</v>
      </c>
      <c r="R966" s="2" t="inlineStr"/>
    </row>
    <row r="967" ht="15" customHeight="1">
      <c r="A967" t="inlineStr">
        <is>
          <t>A 13838-2024</t>
        </is>
      </c>
      <c r="B967" s="1" t="n">
        <v>45391.44646990741</v>
      </c>
      <c r="C967" s="1" t="n">
        <v>46078</v>
      </c>
      <c r="D967" t="inlineStr">
        <is>
          <t>KALMAR LÄN</t>
        </is>
      </c>
      <c r="E967" t="inlineStr">
        <is>
          <t>VÄSTERVIK</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9040-2026</t>
        </is>
      </c>
      <c r="B968" s="1" t="n">
        <v>46069.54521990741</v>
      </c>
      <c r="C968" s="1" t="n">
        <v>46078</v>
      </c>
      <c r="D968" t="inlineStr">
        <is>
          <t>KALMAR LÄN</t>
        </is>
      </c>
      <c r="E968" t="inlineStr">
        <is>
          <t>VÄSTERVIK</t>
        </is>
      </c>
      <c r="G968" t="n">
        <v>4.4</v>
      </c>
      <c r="H968" t="n">
        <v>0</v>
      </c>
      <c r="I968" t="n">
        <v>0</v>
      </c>
      <c r="J968" t="n">
        <v>0</v>
      </c>
      <c r="K968" t="n">
        <v>0</v>
      </c>
      <c r="L968" t="n">
        <v>0</v>
      </c>
      <c r="M968" t="n">
        <v>0</v>
      </c>
      <c r="N968" t="n">
        <v>0</v>
      </c>
      <c r="O968" t="n">
        <v>0</v>
      </c>
      <c r="P968" t="n">
        <v>0</v>
      </c>
      <c r="Q968" t="n">
        <v>0</v>
      </c>
      <c r="R968" s="2" t="inlineStr"/>
    </row>
    <row r="969" ht="15" customHeight="1">
      <c r="A969" t="inlineStr">
        <is>
          <t>A 8654-2026</t>
        </is>
      </c>
      <c r="B969" s="1" t="n">
        <v>46066.3687037037</v>
      </c>
      <c r="C969" s="1" t="n">
        <v>46078</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47527-2021</t>
        </is>
      </c>
      <c r="B970" s="1" t="n">
        <v>44447</v>
      </c>
      <c r="C970" s="1" t="n">
        <v>46078</v>
      </c>
      <c r="D970" t="inlineStr">
        <is>
          <t>KALMAR LÄN</t>
        </is>
      </c>
      <c r="E970" t="inlineStr">
        <is>
          <t>VÄSTERVIK</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36418-2023</t>
        </is>
      </c>
      <c r="B971" s="1" t="n">
        <v>45152</v>
      </c>
      <c r="C971" s="1" t="n">
        <v>46078</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c r="U971">
        <f>HYPERLINK("https://klasma.github.io/Logging_0883/knärot/A 36418-2023 karta knärot.png", "A 36418-2023")</f>
        <v/>
      </c>
      <c r="V971">
        <f>HYPERLINK("https://klasma.github.io/Logging_0883/klagomål/A 36418-2023 FSC-klagomål.docx", "A 36418-2023")</f>
        <v/>
      </c>
      <c r="W971">
        <f>HYPERLINK("https://klasma.github.io/Logging_0883/klagomålsmail/A 36418-2023 FSC-klagomål mail.docx", "A 36418-2023")</f>
        <v/>
      </c>
      <c r="X971">
        <f>HYPERLINK("https://klasma.github.io/Logging_0883/tillsyn/A 36418-2023 tillsynsbegäran.docx", "A 36418-2023")</f>
        <v/>
      </c>
      <c r="Y971">
        <f>HYPERLINK("https://klasma.github.io/Logging_0883/tillsynsmail/A 36418-2023 tillsynsbegäran mail.docx", "A 36418-2023")</f>
        <v/>
      </c>
    </row>
    <row r="972" ht="15" customHeight="1">
      <c r="A972" t="inlineStr">
        <is>
          <t>A 35959-2023</t>
        </is>
      </c>
      <c r="B972" s="1" t="n">
        <v>45148.84875</v>
      </c>
      <c r="C972" s="1" t="n">
        <v>46078</v>
      </c>
      <c r="D972" t="inlineStr">
        <is>
          <t>KALMAR LÄN</t>
        </is>
      </c>
      <c r="E972" t="inlineStr">
        <is>
          <t>VÄSTERVIK</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7934-2023</t>
        </is>
      </c>
      <c r="B973" s="1" t="n">
        <v>44973.65422453704</v>
      </c>
      <c r="C973" s="1" t="n">
        <v>46078</v>
      </c>
      <c r="D973" t="inlineStr">
        <is>
          <t>KALMAR LÄN</t>
        </is>
      </c>
      <c r="E973" t="inlineStr">
        <is>
          <t>VÄSTERVIK</t>
        </is>
      </c>
      <c r="G973" t="n">
        <v>4.1</v>
      </c>
      <c r="H973" t="n">
        <v>0</v>
      </c>
      <c r="I973" t="n">
        <v>0</v>
      </c>
      <c r="J973" t="n">
        <v>0</v>
      </c>
      <c r="K973" t="n">
        <v>0</v>
      </c>
      <c r="L973" t="n">
        <v>0</v>
      </c>
      <c r="M973" t="n">
        <v>0</v>
      </c>
      <c r="N973" t="n">
        <v>0</v>
      </c>
      <c r="O973" t="n">
        <v>0</v>
      </c>
      <c r="P973" t="n">
        <v>0</v>
      </c>
      <c r="Q973" t="n">
        <v>0</v>
      </c>
      <c r="R973" s="2" t="inlineStr"/>
    </row>
    <row r="974" ht="15" customHeight="1">
      <c r="A974" t="inlineStr">
        <is>
          <t>A 49286-2022</t>
        </is>
      </c>
      <c r="B974" s="1" t="n">
        <v>44861.45876157407</v>
      </c>
      <c r="C974" s="1" t="n">
        <v>46078</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57366-2023</t>
        </is>
      </c>
      <c r="B975" s="1" t="n">
        <v>45245</v>
      </c>
      <c r="C975" s="1" t="n">
        <v>46078</v>
      </c>
      <c r="D975" t="inlineStr">
        <is>
          <t>KALMAR LÄN</t>
        </is>
      </c>
      <c r="E975" t="inlineStr">
        <is>
          <t>VÄSTERVIK</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8005-2023</t>
        </is>
      </c>
      <c r="B976" s="1" t="n">
        <v>44973.88452546296</v>
      </c>
      <c r="C976" s="1" t="n">
        <v>46078</v>
      </c>
      <c r="D976" t="inlineStr">
        <is>
          <t>KALMAR LÄN</t>
        </is>
      </c>
      <c r="E976" t="inlineStr">
        <is>
          <t>VÄSTERVIK</t>
        </is>
      </c>
      <c r="G976" t="n">
        <v>2</v>
      </c>
      <c r="H976" t="n">
        <v>0</v>
      </c>
      <c r="I976" t="n">
        <v>0</v>
      </c>
      <c r="J976" t="n">
        <v>0</v>
      </c>
      <c r="K976" t="n">
        <v>0</v>
      </c>
      <c r="L976" t="n">
        <v>0</v>
      </c>
      <c r="M976" t="n">
        <v>0</v>
      </c>
      <c r="N976" t="n">
        <v>0</v>
      </c>
      <c r="O976" t="n">
        <v>0</v>
      </c>
      <c r="P976" t="n">
        <v>0</v>
      </c>
      <c r="Q976" t="n">
        <v>0</v>
      </c>
      <c r="R976" s="2" t="inlineStr"/>
    </row>
    <row r="977" ht="15" customHeight="1">
      <c r="A977" t="inlineStr">
        <is>
          <t>A 742-2026</t>
        </is>
      </c>
      <c r="B977" s="1" t="n">
        <v>46029.6646875</v>
      </c>
      <c r="C977" s="1" t="n">
        <v>46078</v>
      </c>
      <c r="D977" t="inlineStr">
        <is>
          <t>KALMAR LÄN</t>
        </is>
      </c>
      <c r="E977" t="inlineStr">
        <is>
          <t>VÄSTERVIK</t>
        </is>
      </c>
      <c r="G977" t="n">
        <v>2.6</v>
      </c>
      <c r="H977" t="n">
        <v>0</v>
      </c>
      <c r="I977" t="n">
        <v>0</v>
      </c>
      <c r="J977" t="n">
        <v>0</v>
      </c>
      <c r="K977" t="n">
        <v>0</v>
      </c>
      <c r="L977" t="n">
        <v>0</v>
      </c>
      <c r="M977" t="n">
        <v>0</v>
      </c>
      <c r="N977" t="n">
        <v>0</v>
      </c>
      <c r="O977" t="n">
        <v>0</v>
      </c>
      <c r="P977" t="n">
        <v>0</v>
      </c>
      <c r="Q977" t="n">
        <v>0</v>
      </c>
      <c r="R977" s="2" t="inlineStr"/>
    </row>
    <row r="978" ht="15" customHeight="1">
      <c r="A978" t="inlineStr">
        <is>
          <t>A 45721-2022</t>
        </is>
      </c>
      <c r="B978" s="1" t="n">
        <v>44845</v>
      </c>
      <c r="C978" s="1" t="n">
        <v>46078</v>
      </c>
      <c r="D978" t="inlineStr">
        <is>
          <t>KALMAR LÄN</t>
        </is>
      </c>
      <c r="E978" t="inlineStr">
        <is>
          <t>VÄSTERVIK</t>
        </is>
      </c>
      <c r="F978" t="inlineStr">
        <is>
          <t>Holmen skog AB</t>
        </is>
      </c>
      <c r="G978" t="n">
        <v>3.3</v>
      </c>
      <c r="H978" t="n">
        <v>0</v>
      </c>
      <c r="I978" t="n">
        <v>0</v>
      </c>
      <c r="J978" t="n">
        <v>0</v>
      </c>
      <c r="K978" t="n">
        <v>0</v>
      </c>
      <c r="L978" t="n">
        <v>0</v>
      </c>
      <c r="M978" t="n">
        <v>0</v>
      </c>
      <c r="N978" t="n">
        <v>0</v>
      </c>
      <c r="O978" t="n">
        <v>0</v>
      </c>
      <c r="P978" t="n">
        <v>0</v>
      </c>
      <c r="Q978" t="n">
        <v>0</v>
      </c>
      <c r="R978" s="2" t="inlineStr"/>
      <c r="U978">
        <f>HYPERLINK("https://klasma.github.io/Logging_0883/knärot/A 45721-2022 karta knärot.png", "A 45721-2022")</f>
        <v/>
      </c>
      <c r="V978">
        <f>HYPERLINK("https://klasma.github.io/Logging_0883/klagomål/A 45721-2022 FSC-klagomål.docx", "A 45721-2022")</f>
        <v/>
      </c>
      <c r="W978">
        <f>HYPERLINK("https://klasma.github.io/Logging_0883/klagomålsmail/A 45721-2022 FSC-klagomål mail.docx", "A 45721-2022")</f>
        <v/>
      </c>
      <c r="X978">
        <f>HYPERLINK("https://klasma.github.io/Logging_0883/tillsyn/A 45721-2022 tillsynsbegäran.docx", "A 45721-2022")</f>
        <v/>
      </c>
      <c r="Y978">
        <f>HYPERLINK("https://klasma.github.io/Logging_0883/tillsynsmail/A 45721-2022 tillsynsbegäran mail.docx", "A 45721-2022")</f>
        <v/>
      </c>
    </row>
    <row r="979" ht="15" customHeight="1">
      <c r="A979" t="inlineStr">
        <is>
          <t>A 47267-2023</t>
        </is>
      </c>
      <c r="B979" s="1" t="n">
        <v>45202.42667824074</v>
      </c>
      <c r="C979" s="1" t="n">
        <v>46078</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33814-2023</t>
        </is>
      </c>
      <c r="B980" s="1" t="n">
        <v>45133.59230324074</v>
      </c>
      <c r="C980" s="1" t="n">
        <v>46078</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440-2026</t>
        </is>
      </c>
      <c r="B981" s="1" t="n">
        <v>46029.34443287037</v>
      </c>
      <c r="C981" s="1" t="n">
        <v>46078</v>
      </c>
      <c r="D981" t="inlineStr">
        <is>
          <t>KALMAR LÄN</t>
        </is>
      </c>
      <c r="E981" t="inlineStr">
        <is>
          <t>VÄSTERVIK</t>
        </is>
      </c>
      <c r="G981" t="n">
        <v>3.9</v>
      </c>
      <c r="H981" t="n">
        <v>0</v>
      </c>
      <c r="I981" t="n">
        <v>0</v>
      </c>
      <c r="J981" t="n">
        <v>0</v>
      </c>
      <c r="K981" t="n">
        <v>0</v>
      </c>
      <c r="L981" t="n">
        <v>0</v>
      </c>
      <c r="M981" t="n">
        <v>0</v>
      </c>
      <c r="N981" t="n">
        <v>0</v>
      </c>
      <c r="O981" t="n">
        <v>0</v>
      </c>
      <c r="P981" t="n">
        <v>0</v>
      </c>
      <c r="Q981" t="n">
        <v>0</v>
      </c>
      <c r="R981" s="2" t="inlineStr"/>
    </row>
    <row r="982" ht="15" customHeight="1">
      <c r="A982" t="inlineStr">
        <is>
          <t>A 445-2026</t>
        </is>
      </c>
      <c r="B982" s="1" t="n">
        <v>46029.34517361111</v>
      </c>
      <c r="C982" s="1" t="n">
        <v>46078</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8382-2023</t>
        </is>
      </c>
      <c r="B983" s="1" t="n">
        <v>44977.40112268519</v>
      </c>
      <c r="C983" s="1" t="n">
        <v>46078</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55565-2024</t>
        </is>
      </c>
      <c r="B984" s="1" t="n">
        <v>45622.54515046296</v>
      </c>
      <c r="C984" s="1" t="n">
        <v>46078</v>
      </c>
      <c r="D984" t="inlineStr">
        <is>
          <t>KALMAR LÄN</t>
        </is>
      </c>
      <c r="E984" t="inlineStr">
        <is>
          <t>VÄSTERVIK</t>
        </is>
      </c>
      <c r="G984" t="n">
        <v>2.2</v>
      </c>
      <c r="H984" t="n">
        <v>0</v>
      </c>
      <c r="I984" t="n">
        <v>0</v>
      </c>
      <c r="J984" t="n">
        <v>0</v>
      </c>
      <c r="K984" t="n">
        <v>0</v>
      </c>
      <c r="L984" t="n">
        <v>0</v>
      </c>
      <c r="M984" t="n">
        <v>0</v>
      </c>
      <c r="N984" t="n">
        <v>0</v>
      </c>
      <c r="O984" t="n">
        <v>0</v>
      </c>
      <c r="P984" t="n">
        <v>0</v>
      </c>
      <c r="Q984" t="n">
        <v>0</v>
      </c>
      <c r="R984" s="2" t="inlineStr"/>
    </row>
    <row r="985" ht="15" customHeight="1">
      <c r="A985" t="inlineStr">
        <is>
          <t>A 10515-2024</t>
        </is>
      </c>
      <c r="B985" s="1" t="n">
        <v>45366</v>
      </c>
      <c r="C985" s="1" t="n">
        <v>46078</v>
      </c>
      <c r="D985" t="inlineStr">
        <is>
          <t>KALMAR LÄN</t>
        </is>
      </c>
      <c r="E985" t="inlineStr">
        <is>
          <t>VÄSTERVIK</t>
        </is>
      </c>
      <c r="F985" t="inlineStr">
        <is>
          <t>Kyrkan</t>
        </is>
      </c>
      <c r="G985" t="n">
        <v>3.5</v>
      </c>
      <c r="H985" t="n">
        <v>0</v>
      </c>
      <c r="I985" t="n">
        <v>0</v>
      </c>
      <c r="J985" t="n">
        <v>0</v>
      </c>
      <c r="K985" t="n">
        <v>0</v>
      </c>
      <c r="L985" t="n">
        <v>0</v>
      </c>
      <c r="M985" t="n">
        <v>0</v>
      </c>
      <c r="N985" t="n">
        <v>0</v>
      </c>
      <c r="O985" t="n">
        <v>0</v>
      </c>
      <c r="P985" t="n">
        <v>0</v>
      </c>
      <c r="Q985" t="n">
        <v>0</v>
      </c>
      <c r="R985" s="2" t="inlineStr"/>
    </row>
    <row r="986" ht="15" customHeight="1">
      <c r="A986" t="inlineStr">
        <is>
          <t>A 29786-2024</t>
        </is>
      </c>
      <c r="B986" s="1" t="n">
        <v>45485.46388888889</v>
      </c>
      <c r="C986" s="1" t="n">
        <v>46078</v>
      </c>
      <c r="D986" t="inlineStr">
        <is>
          <t>KALMAR LÄN</t>
        </is>
      </c>
      <c r="E986" t="inlineStr">
        <is>
          <t>VÄSTERVIK</t>
        </is>
      </c>
      <c r="G986" t="n">
        <v>2.1</v>
      </c>
      <c r="H986" t="n">
        <v>0</v>
      </c>
      <c r="I986" t="n">
        <v>0</v>
      </c>
      <c r="J986" t="n">
        <v>0</v>
      </c>
      <c r="K986" t="n">
        <v>0</v>
      </c>
      <c r="L986" t="n">
        <v>0</v>
      </c>
      <c r="M986" t="n">
        <v>0</v>
      </c>
      <c r="N986" t="n">
        <v>0</v>
      </c>
      <c r="O986" t="n">
        <v>0</v>
      </c>
      <c r="P986" t="n">
        <v>0</v>
      </c>
      <c r="Q986" t="n">
        <v>0</v>
      </c>
      <c r="R986" s="2" t="inlineStr"/>
    </row>
    <row r="987" ht="15" customHeight="1">
      <c r="A987" t="inlineStr">
        <is>
          <t>A 949-2024</t>
        </is>
      </c>
      <c r="B987" s="1" t="n">
        <v>45301</v>
      </c>
      <c r="C987" s="1" t="n">
        <v>46078</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2859-2025</t>
        </is>
      </c>
      <c r="B988" s="1" t="n">
        <v>45677.67003472222</v>
      </c>
      <c r="C988" s="1" t="n">
        <v>46078</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2870-2025</t>
        </is>
      </c>
      <c r="B989" s="1" t="n">
        <v>45677.68149305556</v>
      </c>
      <c r="C989" s="1" t="n">
        <v>46078</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407-2026</t>
        </is>
      </c>
      <c r="B990" s="1" t="n">
        <v>46028.68821759259</v>
      </c>
      <c r="C990" s="1" t="n">
        <v>46078</v>
      </c>
      <c r="D990" t="inlineStr">
        <is>
          <t>KALMAR LÄN</t>
        </is>
      </c>
      <c r="E990" t="inlineStr">
        <is>
          <t>VÄSTERVIK</t>
        </is>
      </c>
      <c r="G990" t="n">
        <v>4.6</v>
      </c>
      <c r="H990" t="n">
        <v>0</v>
      </c>
      <c r="I990" t="n">
        <v>0</v>
      </c>
      <c r="J990" t="n">
        <v>0</v>
      </c>
      <c r="K990" t="n">
        <v>0</v>
      </c>
      <c r="L990" t="n">
        <v>0</v>
      </c>
      <c r="M990" t="n">
        <v>0</v>
      </c>
      <c r="N990" t="n">
        <v>0</v>
      </c>
      <c r="O990" t="n">
        <v>0</v>
      </c>
      <c r="P990" t="n">
        <v>0</v>
      </c>
      <c r="Q990" t="n">
        <v>0</v>
      </c>
      <c r="R990" s="2" t="inlineStr"/>
    </row>
    <row r="991" ht="15" customHeight="1">
      <c r="A991" t="inlineStr">
        <is>
          <t>A 447-2026</t>
        </is>
      </c>
      <c r="B991" s="1" t="n">
        <v>46029.345625</v>
      </c>
      <c r="C991" s="1" t="n">
        <v>46078</v>
      </c>
      <c r="D991" t="inlineStr">
        <is>
          <t>KALMAR LÄN</t>
        </is>
      </c>
      <c r="E991" t="inlineStr">
        <is>
          <t>VÄSTERVIK</t>
        </is>
      </c>
      <c r="G991" t="n">
        <v>2.4</v>
      </c>
      <c r="H991" t="n">
        <v>0</v>
      </c>
      <c r="I991" t="n">
        <v>0</v>
      </c>
      <c r="J991" t="n">
        <v>0</v>
      </c>
      <c r="K991" t="n">
        <v>0</v>
      </c>
      <c r="L991" t="n">
        <v>0</v>
      </c>
      <c r="M991" t="n">
        <v>0</v>
      </c>
      <c r="N991" t="n">
        <v>0</v>
      </c>
      <c r="O991" t="n">
        <v>0</v>
      </c>
      <c r="P991" t="n">
        <v>0</v>
      </c>
      <c r="Q991" t="n">
        <v>0</v>
      </c>
      <c r="R991" s="2" t="inlineStr"/>
    </row>
    <row r="992" ht="15" customHeight="1">
      <c r="A992" t="inlineStr">
        <is>
          <t>A 60710-2022</t>
        </is>
      </c>
      <c r="B992" s="1" t="n">
        <v>44912</v>
      </c>
      <c r="C992" s="1" t="n">
        <v>46078</v>
      </c>
      <c r="D992" t="inlineStr">
        <is>
          <t>KALMAR LÄN</t>
        </is>
      </c>
      <c r="E992" t="inlineStr">
        <is>
          <t>VÄSTERVIK</t>
        </is>
      </c>
      <c r="F992" t="inlineStr">
        <is>
          <t>Övriga Aktiebolag</t>
        </is>
      </c>
      <c r="G992" t="n">
        <v>0.6</v>
      </c>
      <c r="H992" t="n">
        <v>0</v>
      </c>
      <c r="I992" t="n">
        <v>0</v>
      </c>
      <c r="J992" t="n">
        <v>0</v>
      </c>
      <c r="K992" t="n">
        <v>0</v>
      </c>
      <c r="L992" t="n">
        <v>0</v>
      </c>
      <c r="M992" t="n">
        <v>0</v>
      </c>
      <c r="N992" t="n">
        <v>0</v>
      </c>
      <c r="O992" t="n">
        <v>0</v>
      </c>
      <c r="P992" t="n">
        <v>0</v>
      </c>
      <c r="Q992" t="n">
        <v>0</v>
      </c>
      <c r="R992" s="2" t="inlineStr"/>
    </row>
    <row r="993" ht="15" customHeight="1">
      <c r="A993" t="inlineStr">
        <is>
          <t>A 719-2026</t>
        </is>
      </c>
      <c r="B993" s="1" t="n">
        <v>46029.6319212963</v>
      </c>
      <c r="C993" s="1" t="n">
        <v>46078</v>
      </c>
      <c r="D993" t="inlineStr">
        <is>
          <t>KALMAR LÄN</t>
        </is>
      </c>
      <c r="E993" t="inlineStr">
        <is>
          <t>VÄSTERVIK</t>
        </is>
      </c>
      <c r="G993" t="n">
        <v>2.2</v>
      </c>
      <c r="H993" t="n">
        <v>0</v>
      </c>
      <c r="I993" t="n">
        <v>0</v>
      </c>
      <c r="J993" t="n">
        <v>0</v>
      </c>
      <c r="K993" t="n">
        <v>0</v>
      </c>
      <c r="L993" t="n">
        <v>0</v>
      </c>
      <c r="M993" t="n">
        <v>0</v>
      </c>
      <c r="N993" t="n">
        <v>0</v>
      </c>
      <c r="O993" t="n">
        <v>0</v>
      </c>
      <c r="P993" t="n">
        <v>0</v>
      </c>
      <c r="Q993" t="n">
        <v>0</v>
      </c>
      <c r="R993" s="2" t="inlineStr"/>
    </row>
    <row r="994" ht="15" customHeight="1">
      <c r="A994" t="inlineStr">
        <is>
          <t>A 740-2026</t>
        </is>
      </c>
      <c r="B994" s="1" t="n">
        <v>46029.66045138889</v>
      </c>
      <c r="C994" s="1" t="n">
        <v>46078</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55958-2023</t>
        </is>
      </c>
      <c r="B995" s="1" t="n">
        <v>45240.34900462963</v>
      </c>
      <c r="C995" s="1" t="n">
        <v>46078</v>
      </c>
      <c r="D995" t="inlineStr">
        <is>
          <t>KALMAR LÄN</t>
        </is>
      </c>
      <c r="E995" t="inlineStr">
        <is>
          <t>VÄSTERVIK</t>
        </is>
      </c>
      <c r="G995" t="n">
        <v>1.6</v>
      </c>
      <c r="H995" t="n">
        <v>0</v>
      </c>
      <c r="I995" t="n">
        <v>0</v>
      </c>
      <c r="J995" t="n">
        <v>0</v>
      </c>
      <c r="K995" t="n">
        <v>0</v>
      </c>
      <c r="L995" t="n">
        <v>0</v>
      </c>
      <c r="M995" t="n">
        <v>0</v>
      </c>
      <c r="N995" t="n">
        <v>0</v>
      </c>
      <c r="O995" t="n">
        <v>0</v>
      </c>
      <c r="P995" t="n">
        <v>0</v>
      </c>
      <c r="Q995" t="n">
        <v>0</v>
      </c>
      <c r="R995" s="2" t="inlineStr"/>
    </row>
    <row r="996" ht="15" customHeight="1">
      <c r="A996" t="inlineStr">
        <is>
          <t>A 55047-2024</t>
        </is>
      </c>
      <c r="B996" s="1" t="n">
        <v>45621.39516203704</v>
      </c>
      <c r="C996" s="1" t="n">
        <v>46078</v>
      </c>
      <c r="D996" t="inlineStr">
        <is>
          <t>KALMAR LÄN</t>
        </is>
      </c>
      <c r="E996" t="inlineStr">
        <is>
          <t>VÄSTERVIK</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5769-2023</t>
        </is>
      </c>
      <c r="B997" s="1" t="n">
        <v>44963.37194444444</v>
      </c>
      <c r="C997" s="1" t="n">
        <v>46078</v>
      </c>
      <c r="D997" t="inlineStr">
        <is>
          <t>KALMAR LÄN</t>
        </is>
      </c>
      <c r="E997" t="inlineStr">
        <is>
          <t>VÄSTERVIK</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895-2026</t>
        </is>
      </c>
      <c r="B998" s="1" t="n">
        <v>46030.45925925926</v>
      </c>
      <c r="C998" s="1" t="n">
        <v>46078</v>
      </c>
      <c r="D998" t="inlineStr">
        <is>
          <t>KALMAR LÄN</t>
        </is>
      </c>
      <c r="E998" t="inlineStr">
        <is>
          <t>VÄSTERVIK</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34471-2024</t>
        </is>
      </c>
      <c r="B999" s="1" t="n">
        <v>45525.59111111111</v>
      </c>
      <c r="C999" s="1" t="n">
        <v>46078</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60263-2022</t>
        </is>
      </c>
      <c r="B1000" s="1" t="n">
        <v>44910.48520833333</v>
      </c>
      <c r="C1000" s="1" t="n">
        <v>46078</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31691-2023</t>
        </is>
      </c>
      <c r="B1001" s="1" t="n">
        <v>45117.72543981481</v>
      </c>
      <c r="C1001" s="1" t="n">
        <v>46078</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5348-2024</t>
        </is>
      </c>
      <c r="B1002" s="1" t="n">
        <v>45331</v>
      </c>
      <c r="C1002" s="1" t="n">
        <v>46078</v>
      </c>
      <c r="D1002" t="inlineStr">
        <is>
          <t>KALMAR LÄN</t>
        </is>
      </c>
      <c r="E1002" t="inlineStr">
        <is>
          <t>VÄSTERVIK</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10807-2023</t>
        </is>
      </c>
      <c r="B1003" s="1" t="n">
        <v>44989.64261574074</v>
      </c>
      <c r="C1003" s="1" t="n">
        <v>46078</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30035-2023</t>
        </is>
      </c>
      <c r="B1004" s="1" t="n">
        <v>45110</v>
      </c>
      <c r="C1004" s="1" t="n">
        <v>46078</v>
      </c>
      <c r="D1004" t="inlineStr">
        <is>
          <t>KALMAR LÄN</t>
        </is>
      </c>
      <c r="E1004" t="inlineStr">
        <is>
          <t>VÄSTERVIK</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32822-2021</t>
        </is>
      </c>
      <c r="B1005" s="1" t="n">
        <v>44375</v>
      </c>
      <c r="C1005" s="1" t="n">
        <v>46078</v>
      </c>
      <c r="D1005" t="inlineStr">
        <is>
          <t>KALMAR LÄN</t>
        </is>
      </c>
      <c r="E1005" t="inlineStr">
        <is>
          <t>VÄSTERVIK</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1872-2026</t>
        </is>
      </c>
      <c r="B1006" s="1" t="n">
        <v>46035.46219907407</v>
      </c>
      <c r="C1006" s="1" t="n">
        <v>46078</v>
      </c>
      <c r="D1006" t="inlineStr">
        <is>
          <t>KALMAR LÄN</t>
        </is>
      </c>
      <c r="E1006" t="inlineStr">
        <is>
          <t>VÄSTERVIK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1486-2026</t>
        </is>
      </c>
      <c r="B1007" s="1" t="n">
        <v>46034.26603009259</v>
      </c>
      <c r="C1007" s="1" t="n">
        <v>46078</v>
      </c>
      <c r="D1007" t="inlineStr">
        <is>
          <t>KALMAR LÄN</t>
        </is>
      </c>
      <c r="E1007" t="inlineStr">
        <is>
          <t>VÄSTERVIK</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1487-2026</t>
        </is>
      </c>
      <c r="B1008" s="1" t="n">
        <v>46034.26645833333</v>
      </c>
      <c r="C1008" s="1" t="n">
        <v>46078</v>
      </c>
      <c r="D1008" t="inlineStr">
        <is>
          <t>KALMAR LÄN</t>
        </is>
      </c>
      <c r="E1008" t="inlineStr">
        <is>
          <t>VÄSTERVIK</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1874-2026</t>
        </is>
      </c>
      <c r="B1009" s="1" t="n">
        <v>46035.46372685185</v>
      </c>
      <c r="C1009" s="1" t="n">
        <v>46078</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1489-2026</t>
        </is>
      </c>
      <c r="B1010" s="1" t="n">
        <v>46034.26715277778</v>
      </c>
      <c r="C1010" s="1" t="n">
        <v>46078</v>
      </c>
      <c r="D1010" t="inlineStr">
        <is>
          <t>KALMAR LÄN</t>
        </is>
      </c>
      <c r="E1010" t="inlineStr">
        <is>
          <t>VÄSTERVIK</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61580-2022</t>
        </is>
      </c>
      <c r="B1011" s="1" t="n">
        <v>44916.62880787037</v>
      </c>
      <c r="C1011" s="1" t="n">
        <v>46078</v>
      </c>
      <c r="D1011" t="inlineStr">
        <is>
          <t>KALMAR LÄN</t>
        </is>
      </c>
      <c r="E1011" t="inlineStr">
        <is>
          <t>VÄSTERVIK</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21255-2021</t>
        </is>
      </c>
      <c r="B1012" s="1" t="n">
        <v>44320.5672337963</v>
      </c>
      <c r="C1012" s="1" t="n">
        <v>46078</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59695-2023</t>
        </is>
      </c>
      <c r="B1013" s="1" t="n">
        <v>45256.85107638889</v>
      </c>
      <c r="C1013" s="1" t="n">
        <v>46078</v>
      </c>
      <c r="D1013" t="inlineStr">
        <is>
          <t>KALMAR LÄN</t>
        </is>
      </c>
      <c r="E1013" t="inlineStr">
        <is>
          <t>VÄSTERVIK</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1488-2026</t>
        </is>
      </c>
      <c r="B1014" s="1" t="n">
        <v>46034.26685185185</v>
      </c>
      <c r="C1014" s="1" t="n">
        <v>46078</v>
      </c>
      <c r="D1014" t="inlineStr">
        <is>
          <t>KALMAR LÄN</t>
        </is>
      </c>
      <c r="E1014" t="inlineStr">
        <is>
          <t>VÄSTERVIK</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11189-2024</t>
        </is>
      </c>
      <c r="B1015" s="1" t="n">
        <v>45371</v>
      </c>
      <c r="C1015" s="1" t="n">
        <v>46078</v>
      </c>
      <c r="D1015" t="inlineStr">
        <is>
          <t>KALMAR LÄN</t>
        </is>
      </c>
      <c r="E1015" t="inlineStr">
        <is>
          <t>VÄSTERVIK</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408-2026</t>
        </is>
      </c>
      <c r="B1016" s="1" t="n">
        <v>46028.6896412037</v>
      </c>
      <c r="C1016" s="1" t="n">
        <v>46078</v>
      </c>
      <c r="D1016" t="inlineStr">
        <is>
          <t>KALMAR LÄN</t>
        </is>
      </c>
      <c r="E1016" t="inlineStr">
        <is>
          <t>VÄSTERVIK</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1873-2026</t>
        </is>
      </c>
      <c r="B1017" s="1" t="n">
        <v>46035.46318287037</v>
      </c>
      <c r="C1017" s="1" t="n">
        <v>46078</v>
      </c>
      <c r="D1017" t="inlineStr">
        <is>
          <t>KALMAR LÄN</t>
        </is>
      </c>
      <c r="E1017" t="inlineStr">
        <is>
          <t>VÄSTERVIK</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71114-2021</t>
        </is>
      </c>
      <c r="B1018" s="1" t="n">
        <v>44539.37123842593</v>
      </c>
      <c r="C1018" s="1" t="n">
        <v>46078</v>
      </c>
      <c r="D1018" t="inlineStr">
        <is>
          <t>KALMAR LÄN</t>
        </is>
      </c>
      <c r="E1018" t="inlineStr">
        <is>
          <t>VÄSTERVIK</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42868-2025</t>
        </is>
      </c>
      <c r="B1019" s="1" t="n">
        <v>45908</v>
      </c>
      <c r="C1019" s="1" t="n">
        <v>46078</v>
      </c>
      <c r="D1019" t="inlineStr">
        <is>
          <t>KALMAR LÄN</t>
        </is>
      </c>
      <c r="E1019" t="inlineStr">
        <is>
          <t>VÄSTERVIK</t>
        </is>
      </c>
      <c r="F1019" t="inlineStr">
        <is>
          <t>Holmen skog AB</t>
        </is>
      </c>
      <c r="G1019" t="n">
        <v>3.7</v>
      </c>
      <c r="H1019" t="n">
        <v>0</v>
      </c>
      <c r="I1019" t="n">
        <v>0</v>
      </c>
      <c r="J1019" t="n">
        <v>0</v>
      </c>
      <c r="K1019" t="n">
        <v>0</v>
      </c>
      <c r="L1019" t="n">
        <v>0</v>
      </c>
      <c r="M1019" t="n">
        <v>0</v>
      </c>
      <c r="N1019" t="n">
        <v>0</v>
      </c>
      <c r="O1019" t="n">
        <v>0</v>
      </c>
      <c r="P1019" t="n">
        <v>0</v>
      </c>
      <c r="Q1019" t="n">
        <v>0</v>
      </c>
      <c r="R1019" s="2" t="inlineStr"/>
      <c r="U1019">
        <f>HYPERLINK("https://klasma.github.io/Logging_0883/knärot/A 42868-2025 karta knärot.png", "A 42868-2025")</f>
        <v/>
      </c>
      <c r="V1019">
        <f>HYPERLINK("https://klasma.github.io/Logging_0883/klagomål/A 42868-2025 FSC-klagomål.docx", "A 42868-2025")</f>
        <v/>
      </c>
      <c r="W1019">
        <f>HYPERLINK("https://klasma.github.io/Logging_0883/klagomålsmail/A 42868-2025 FSC-klagomål mail.docx", "A 42868-2025")</f>
        <v/>
      </c>
      <c r="X1019">
        <f>HYPERLINK("https://klasma.github.io/Logging_0883/tillsyn/A 42868-2025 tillsynsbegäran.docx", "A 42868-2025")</f>
        <v/>
      </c>
      <c r="Y1019">
        <f>HYPERLINK("https://klasma.github.io/Logging_0883/tillsynsmail/A 42868-2025 tillsynsbegäran mail.docx", "A 42868-2025")</f>
        <v/>
      </c>
    </row>
    <row r="1020" ht="15" customHeight="1">
      <c r="A1020" t="inlineStr">
        <is>
          <t>A 59212-2022</t>
        </is>
      </c>
      <c r="B1020" s="1" t="n">
        <v>44904.52560185185</v>
      </c>
      <c r="C1020" s="1" t="n">
        <v>46078</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59227-2022</t>
        </is>
      </c>
      <c r="B1021" s="1" t="n">
        <v>44904</v>
      </c>
      <c r="C1021" s="1" t="n">
        <v>46078</v>
      </c>
      <c r="D1021" t="inlineStr">
        <is>
          <t>KALMAR LÄN</t>
        </is>
      </c>
      <c r="E1021" t="inlineStr">
        <is>
          <t>VÄSTERVIK</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47945-2023</t>
        </is>
      </c>
      <c r="B1022" s="1" t="n">
        <v>45204.5684837963</v>
      </c>
      <c r="C1022" s="1" t="n">
        <v>46078</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12520-2021</t>
        </is>
      </c>
      <c r="B1023" s="1" t="n">
        <v>44269</v>
      </c>
      <c r="C1023" s="1" t="n">
        <v>46078</v>
      </c>
      <c r="D1023" t="inlineStr">
        <is>
          <t>KALMAR LÄN</t>
        </is>
      </c>
      <c r="E1023" t="inlineStr">
        <is>
          <t>VÄSTERVIK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35652-2023</t>
        </is>
      </c>
      <c r="B1024" s="1" t="n">
        <v>45147.59215277778</v>
      </c>
      <c r="C1024" s="1" t="n">
        <v>46078</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18068-2023</t>
        </is>
      </c>
      <c r="B1025" s="1" t="n">
        <v>45040</v>
      </c>
      <c r="C1025" s="1" t="n">
        <v>46078</v>
      </c>
      <c r="D1025" t="inlineStr">
        <is>
          <t>KALMAR LÄN</t>
        </is>
      </c>
      <c r="E1025" t="inlineStr">
        <is>
          <t>VÄSTERVIK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18143-2024</t>
        </is>
      </c>
      <c r="B1026" s="1" t="n">
        <v>45420</v>
      </c>
      <c r="C1026" s="1" t="n">
        <v>46078</v>
      </c>
      <c r="D1026" t="inlineStr">
        <is>
          <t>KALMAR LÄN</t>
        </is>
      </c>
      <c r="E1026" t="inlineStr">
        <is>
          <t>VÄSTERVIK</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21942-2023</t>
        </is>
      </c>
      <c r="B1027" s="1" t="n">
        <v>45068</v>
      </c>
      <c r="C1027" s="1" t="n">
        <v>46078</v>
      </c>
      <c r="D1027" t="inlineStr">
        <is>
          <t>KALMAR LÄN</t>
        </is>
      </c>
      <c r="E1027" t="inlineStr">
        <is>
          <t>VÄSTERVIK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58216-2022</t>
        </is>
      </c>
      <c r="B1028" s="1" t="n">
        <v>44901.36292824074</v>
      </c>
      <c r="C1028" s="1" t="n">
        <v>46078</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15379-2025</t>
        </is>
      </c>
      <c r="B1029" s="1" t="n">
        <v>45747.40813657407</v>
      </c>
      <c r="C1029" s="1" t="n">
        <v>46078</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11791-2024</t>
        </is>
      </c>
      <c r="B1030" s="1" t="n">
        <v>45374.97038194445</v>
      </c>
      <c r="C1030" s="1" t="n">
        <v>46078</v>
      </c>
      <c r="D1030" t="inlineStr">
        <is>
          <t>KALMAR LÄN</t>
        </is>
      </c>
      <c r="E1030" t="inlineStr">
        <is>
          <t>VÄSTERVIK</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6938-2025</t>
        </is>
      </c>
      <c r="B1031" s="1" t="n">
        <v>45701.46288194445</v>
      </c>
      <c r="C1031" s="1" t="n">
        <v>46078</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58764-2024</t>
        </is>
      </c>
      <c r="B1032" s="1" t="n">
        <v>45635.72293981481</v>
      </c>
      <c r="C1032" s="1" t="n">
        <v>46078</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925-2024</t>
        </is>
      </c>
      <c r="B1033" s="1" t="n">
        <v>45301</v>
      </c>
      <c r="C1033" s="1" t="n">
        <v>46078</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24881-2023</t>
        </is>
      </c>
      <c r="B1034" s="1" t="n">
        <v>45085</v>
      </c>
      <c r="C1034" s="1" t="n">
        <v>46078</v>
      </c>
      <c r="D1034" t="inlineStr">
        <is>
          <t>KALMAR LÄN</t>
        </is>
      </c>
      <c r="E1034" t="inlineStr">
        <is>
          <t>VÄSTERVIK</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39982-2024</t>
        </is>
      </c>
      <c r="B1035" s="1" t="n">
        <v>45553.61355324074</v>
      </c>
      <c r="C1035" s="1" t="n">
        <v>46078</v>
      </c>
      <c r="D1035" t="inlineStr">
        <is>
          <t>KALMAR LÄN</t>
        </is>
      </c>
      <c r="E1035" t="inlineStr">
        <is>
          <t>VÄSTERVIK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28895-2023</t>
        </is>
      </c>
      <c r="B1036" s="1" t="n">
        <v>45104</v>
      </c>
      <c r="C1036" s="1" t="n">
        <v>46078</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25488-2023</t>
        </is>
      </c>
      <c r="B1037" s="1" t="n">
        <v>45089</v>
      </c>
      <c r="C1037" s="1" t="n">
        <v>46078</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15875-2023</t>
        </is>
      </c>
      <c r="B1038" s="1" t="n">
        <v>45022.41916666667</v>
      </c>
      <c r="C1038" s="1" t="n">
        <v>46078</v>
      </c>
      <c r="D1038" t="inlineStr">
        <is>
          <t>KALMAR LÄN</t>
        </is>
      </c>
      <c r="E1038" t="inlineStr">
        <is>
          <t>VÄSTERVIK</t>
        </is>
      </c>
      <c r="F1038" t="inlineStr">
        <is>
          <t>Kyrkan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58090-2021</t>
        </is>
      </c>
      <c r="B1039" s="1" t="n">
        <v>44487.50277777778</v>
      </c>
      <c r="C1039" s="1" t="n">
        <v>46078</v>
      </c>
      <c r="D1039" t="inlineStr">
        <is>
          <t>KALMAR LÄN</t>
        </is>
      </c>
      <c r="E1039" t="inlineStr">
        <is>
          <t>VÄSTERVIK</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17052-2025</t>
        </is>
      </c>
      <c r="B1040" s="1" t="n">
        <v>45755.60236111111</v>
      </c>
      <c r="C1040" s="1" t="n">
        <v>46078</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17054-2025</t>
        </is>
      </c>
      <c r="B1041" s="1" t="n">
        <v>45755.60278935185</v>
      </c>
      <c r="C1041" s="1" t="n">
        <v>46078</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23743-2022</t>
        </is>
      </c>
      <c r="B1042" s="1" t="n">
        <v>44722.35611111111</v>
      </c>
      <c r="C1042" s="1" t="n">
        <v>46078</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37326-2024</t>
        </is>
      </c>
      <c r="B1043" s="1" t="n">
        <v>45540</v>
      </c>
      <c r="C1043" s="1" t="n">
        <v>46078</v>
      </c>
      <c r="D1043" t="inlineStr">
        <is>
          <t>KALMAR LÄN</t>
        </is>
      </c>
      <c r="E1043" t="inlineStr">
        <is>
          <t>VÄSTERVIK</t>
        </is>
      </c>
      <c r="F1043" t="inlineStr">
        <is>
          <t>Holmen skog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29789-2024</t>
        </is>
      </c>
      <c r="B1044" s="1" t="n">
        <v>45485.46721064814</v>
      </c>
      <c r="C1044" s="1" t="n">
        <v>46078</v>
      </c>
      <c r="D1044" t="inlineStr">
        <is>
          <t>KALMAR LÄN</t>
        </is>
      </c>
      <c r="E1044" t="inlineStr">
        <is>
          <t>VÄSTERVIK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59675-2022</t>
        </is>
      </c>
      <c r="B1045" s="1" t="n">
        <v>44908</v>
      </c>
      <c r="C1045" s="1" t="n">
        <v>46078</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50911-2022</t>
        </is>
      </c>
      <c r="B1046" s="1" t="n">
        <v>44867.62262731481</v>
      </c>
      <c r="C1046" s="1" t="n">
        <v>46078</v>
      </c>
      <c r="D1046" t="inlineStr">
        <is>
          <t>KALMAR LÄN</t>
        </is>
      </c>
      <c r="E1046" t="inlineStr">
        <is>
          <t>VÄSTERVIK</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26061-2024</t>
        </is>
      </c>
      <c r="B1047" s="1" t="n">
        <v>45468.35030092593</v>
      </c>
      <c r="C1047" s="1" t="n">
        <v>46078</v>
      </c>
      <c r="D1047" t="inlineStr">
        <is>
          <t>KALMAR LÄN</t>
        </is>
      </c>
      <c r="E1047" t="inlineStr">
        <is>
          <t>VÄSTERVIK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26066-2024</t>
        </is>
      </c>
      <c r="B1048" s="1" t="n">
        <v>45468.35390046296</v>
      </c>
      <c r="C1048" s="1" t="n">
        <v>46078</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54951-2023</t>
        </is>
      </c>
      <c r="B1049" s="1" t="n">
        <v>45236.82902777778</v>
      </c>
      <c r="C1049" s="1" t="n">
        <v>46078</v>
      </c>
      <c r="D1049" t="inlineStr">
        <is>
          <t>KALMAR LÄN</t>
        </is>
      </c>
      <c r="E1049" t="inlineStr">
        <is>
          <t>VÄSTERVIK</t>
        </is>
      </c>
      <c r="F1049" t="inlineStr">
        <is>
          <t>Övriga Aktiebolag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23411-2022</t>
        </is>
      </c>
      <c r="B1050" s="1" t="n">
        <v>44720.70361111111</v>
      </c>
      <c r="C1050" s="1" t="n">
        <v>46078</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14080-2025</t>
        </is>
      </c>
      <c r="B1051" s="1" t="n">
        <v>45740.43785879629</v>
      </c>
      <c r="C1051" s="1" t="n">
        <v>46078</v>
      </c>
      <c r="D1051" t="inlineStr">
        <is>
          <t>KALMAR LÄN</t>
        </is>
      </c>
      <c r="E1051" t="inlineStr">
        <is>
          <t>VÄSTERVIK</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4496-2022</t>
        </is>
      </c>
      <c r="B1052" s="1" t="n">
        <v>44589.67060185185</v>
      </c>
      <c r="C1052" s="1" t="n">
        <v>46078</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9037-2023</t>
        </is>
      </c>
      <c r="B1053" s="1" t="n">
        <v>44979.65015046296</v>
      </c>
      <c r="C1053" s="1" t="n">
        <v>46078</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1798-2023</t>
        </is>
      </c>
      <c r="B1054" s="1" t="n">
        <v>44938</v>
      </c>
      <c r="C1054" s="1" t="n">
        <v>46078</v>
      </c>
      <c r="D1054" t="inlineStr">
        <is>
          <t>KALMAR LÄN</t>
        </is>
      </c>
      <c r="E1054" t="inlineStr">
        <is>
          <t>VÄSTERVIK</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28291-2024</t>
        </is>
      </c>
      <c r="B1055" s="1" t="n">
        <v>45477</v>
      </c>
      <c r="C1055" s="1" t="n">
        <v>46078</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56440-2024</t>
        </is>
      </c>
      <c r="B1056" s="1" t="n">
        <v>45625.41949074074</v>
      </c>
      <c r="C1056" s="1" t="n">
        <v>46078</v>
      </c>
      <c r="D1056" t="inlineStr">
        <is>
          <t>KALMAR LÄN</t>
        </is>
      </c>
      <c r="E1056" t="inlineStr">
        <is>
          <t>VÄSTERVIK</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28344-2024</t>
        </is>
      </c>
      <c r="B1057" s="1" t="n">
        <v>45477.55280092593</v>
      </c>
      <c r="C1057" s="1" t="n">
        <v>46078</v>
      </c>
      <c r="D1057" t="inlineStr">
        <is>
          <t>KALMAR LÄN</t>
        </is>
      </c>
      <c r="E1057" t="inlineStr">
        <is>
          <t>VÄSTERVIK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9269-2025</t>
        </is>
      </c>
      <c r="B1058" s="1" t="n">
        <v>45714.61543981481</v>
      </c>
      <c r="C1058" s="1" t="n">
        <v>46078</v>
      </c>
      <c r="D1058" t="inlineStr">
        <is>
          <t>KALMAR LÄN</t>
        </is>
      </c>
      <c r="E1058" t="inlineStr">
        <is>
          <t>VÄSTERVIK</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12433-2024</t>
        </is>
      </c>
      <c r="B1059" s="1" t="n">
        <v>45379.44450231481</v>
      </c>
      <c r="C1059" s="1" t="n">
        <v>46078</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10441-2022</t>
        </is>
      </c>
      <c r="B1060" s="1" t="n">
        <v>44623</v>
      </c>
      <c r="C1060" s="1" t="n">
        <v>46078</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16689-2025</t>
        </is>
      </c>
      <c r="B1061" s="1" t="n">
        <v>45754.45739583333</v>
      </c>
      <c r="C1061" s="1" t="n">
        <v>46078</v>
      </c>
      <c r="D1061" t="inlineStr">
        <is>
          <t>KALMAR LÄN</t>
        </is>
      </c>
      <c r="E1061" t="inlineStr">
        <is>
          <t>VÄSTERVIK</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16693-2025</t>
        </is>
      </c>
      <c r="B1062" s="1" t="n">
        <v>45754.4644675926</v>
      </c>
      <c r="C1062" s="1" t="n">
        <v>46078</v>
      </c>
      <c r="D1062" t="inlineStr">
        <is>
          <t>KALMAR LÄN</t>
        </is>
      </c>
      <c r="E1062" t="inlineStr">
        <is>
          <t>VÄSTERVIK</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46070-2023</t>
        </is>
      </c>
      <c r="B1063" s="1" t="n">
        <v>45196</v>
      </c>
      <c r="C1063" s="1" t="n">
        <v>46078</v>
      </c>
      <c r="D1063" t="inlineStr">
        <is>
          <t>KALMAR LÄN</t>
        </is>
      </c>
      <c r="E1063" t="inlineStr">
        <is>
          <t>VÄSTERVIK</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63361-2023</t>
        </is>
      </c>
      <c r="B1064" s="1" t="n">
        <v>45274.46324074074</v>
      </c>
      <c r="C1064" s="1" t="n">
        <v>46078</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35961-2023</t>
        </is>
      </c>
      <c r="B1065" s="1" t="n">
        <v>45148.85041666667</v>
      </c>
      <c r="C1065" s="1" t="n">
        <v>46078</v>
      </c>
      <c r="D1065" t="inlineStr">
        <is>
          <t>KALMAR LÄN</t>
        </is>
      </c>
      <c r="E1065" t="inlineStr">
        <is>
          <t>VÄSTERVIK</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28952-2023</t>
        </is>
      </c>
      <c r="B1066" s="1" t="n">
        <v>45104</v>
      </c>
      <c r="C1066" s="1" t="n">
        <v>46078</v>
      </c>
      <c r="D1066" t="inlineStr">
        <is>
          <t>KALMAR LÄN</t>
        </is>
      </c>
      <c r="E1066" t="inlineStr">
        <is>
          <t>VÄSTERVIK</t>
        </is>
      </c>
      <c r="F1066" t="inlineStr">
        <is>
          <t>Holmen skog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23992-2021</t>
        </is>
      </c>
      <c r="B1067" s="1" t="n">
        <v>44335</v>
      </c>
      <c r="C1067" s="1" t="n">
        <v>46078</v>
      </c>
      <c r="D1067" t="inlineStr">
        <is>
          <t>KALMAR LÄN</t>
        </is>
      </c>
      <c r="E1067" t="inlineStr">
        <is>
          <t>VÄSTERVIK</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7925-2023</t>
        </is>
      </c>
      <c r="B1068" s="1" t="n">
        <v>44973.64606481481</v>
      </c>
      <c r="C1068" s="1" t="n">
        <v>46078</v>
      </c>
      <c r="D1068" t="inlineStr">
        <is>
          <t>KALMAR LÄN</t>
        </is>
      </c>
      <c r="E1068" t="inlineStr">
        <is>
          <t>VÄSTERVIK</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28222-2024</t>
        </is>
      </c>
      <c r="B1069" s="1" t="n">
        <v>45477.36993055556</v>
      </c>
      <c r="C1069" s="1" t="n">
        <v>46078</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15553-2024</t>
        </is>
      </c>
      <c r="B1070" s="1" t="n">
        <v>45401.63736111111</v>
      </c>
      <c r="C1070" s="1" t="n">
        <v>46078</v>
      </c>
      <c r="D1070" t="inlineStr">
        <is>
          <t>KALMAR LÄN</t>
        </is>
      </c>
      <c r="E1070" t="inlineStr">
        <is>
          <t>VÄSTERVIK</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38045-2023</t>
        </is>
      </c>
      <c r="B1071" s="1" t="n">
        <v>45160.67251157408</v>
      </c>
      <c r="C1071" s="1" t="n">
        <v>46078</v>
      </c>
      <c r="D1071" t="inlineStr">
        <is>
          <t>KALMAR LÄN</t>
        </is>
      </c>
      <c r="E1071" t="inlineStr">
        <is>
          <t>VÄSTERVIK</t>
        </is>
      </c>
      <c r="F1071" t="inlineStr">
        <is>
          <t>Sveaskog</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9770-2023</t>
        </is>
      </c>
      <c r="B1072" s="1" t="n">
        <v>44984</v>
      </c>
      <c r="C1072" s="1" t="n">
        <v>46078</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62422-2022</t>
        </is>
      </c>
      <c r="B1073" s="1" t="n">
        <v>44924</v>
      </c>
      <c r="C1073" s="1" t="n">
        <v>46078</v>
      </c>
      <c r="D1073" t="inlineStr">
        <is>
          <t>KALMAR LÄN</t>
        </is>
      </c>
      <c r="E1073" t="inlineStr">
        <is>
          <t>VÄSTERVIK</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24567-2024</t>
        </is>
      </c>
      <c r="B1074" s="1" t="n">
        <v>45460.44732638889</v>
      </c>
      <c r="C1074" s="1" t="n">
        <v>46078</v>
      </c>
      <c r="D1074" t="inlineStr">
        <is>
          <t>KALMAR LÄN</t>
        </is>
      </c>
      <c r="E1074" t="inlineStr">
        <is>
          <t>VÄSTERVIK</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23316-2023</t>
        </is>
      </c>
      <c r="B1075" s="1" t="n">
        <v>45076.02563657407</v>
      </c>
      <c r="C1075" s="1" t="n">
        <v>46078</v>
      </c>
      <c r="D1075" t="inlineStr">
        <is>
          <t>KALMAR LÄN</t>
        </is>
      </c>
      <c r="E1075" t="inlineStr">
        <is>
          <t>VÄSTERVIK</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16680-2025</t>
        </is>
      </c>
      <c r="B1076" s="1" t="n">
        <v>45754.44952546297</v>
      </c>
      <c r="C1076" s="1" t="n">
        <v>46078</v>
      </c>
      <c r="D1076" t="inlineStr">
        <is>
          <t>KALMAR LÄN</t>
        </is>
      </c>
      <c r="E1076" t="inlineStr">
        <is>
          <t>VÄSTERVIK</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16683-2025</t>
        </is>
      </c>
      <c r="B1077" s="1" t="n">
        <v>45754.45234953704</v>
      </c>
      <c r="C1077" s="1" t="n">
        <v>46078</v>
      </c>
      <c r="D1077" t="inlineStr">
        <is>
          <t>KALMAR LÄN</t>
        </is>
      </c>
      <c r="E1077" t="inlineStr">
        <is>
          <t>VÄSTERVIK</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16686-2025</t>
        </is>
      </c>
      <c r="B1078" s="1" t="n">
        <v>45754.45355324074</v>
      </c>
      <c r="C1078" s="1" t="n">
        <v>46078</v>
      </c>
      <c r="D1078" t="inlineStr">
        <is>
          <t>KALMAR LÄN</t>
        </is>
      </c>
      <c r="E1078" t="inlineStr">
        <is>
          <t>VÄSTERVIK</t>
        </is>
      </c>
      <c r="F1078" t="inlineStr">
        <is>
          <t>Sveaskog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46130-2023</t>
        </is>
      </c>
      <c r="B1079" s="1" t="n">
        <v>45196.55849537037</v>
      </c>
      <c r="C1079" s="1" t="n">
        <v>46078</v>
      </c>
      <c r="D1079" t="inlineStr">
        <is>
          <t>KALMAR LÄN</t>
        </is>
      </c>
      <c r="E1079" t="inlineStr">
        <is>
          <t>VÄSTERVIK</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56033-2023</t>
        </is>
      </c>
      <c r="B1080" s="1" t="n">
        <v>45240.43778935185</v>
      </c>
      <c r="C1080" s="1" t="n">
        <v>46078</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8594-2023</t>
        </is>
      </c>
      <c r="B1081" s="1" t="n">
        <v>44977</v>
      </c>
      <c r="C1081" s="1" t="n">
        <v>46078</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60056-2023</t>
        </is>
      </c>
      <c r="B1082" s="1" t="n">
        <v>45258</v>
      </c>
      <c r="C1082" s="1" t="n">
        <v>46078</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59196-2024</t>
        </is>
      </c>
      <c r="B1083" s="1" t="n">
        <v>45637.54589120371</v>
      </c>
      <c r="C1083" s="1" t="n">
        <v>46078</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944-2024</t>
        </is>
      </c>
      <c r="B1084" s="1" t="n">
        <v>45301.54230324074</v>
      </c>
      <c r="C1084" s="1" t="n">
        <v>46078</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946-2024</t>
        </is>
      </c>
      <c r="B1085" s="1" t="n">
        <v>45301.54412037037</v>
      </c>
      <c r="C1085" s="1" t="n">
        <v>46078</v>
      </c>
      <c r="D1085" t="inlineStr">
        <is>
          <t>KALMAR LÄN</t>
        </is>
      </c>
      <c r="E1085" t="inlineStr">
        <is>
          <t>VÄSTERVIK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5982-2023</t>
        </is>
      </c>
      <c r="B1086" s="1" t="n">
        <v>44964.35730324074</v>
      </c>
      <c r="C1086" s="1" t="n">
        <v>46078</v>
      </c>
      <c r="D1086" t="inlineStr">
        <is>
          <t>KALMAR LÄN</t>
        </is>
      </c>
      <c r="E1086" t="inlineStr">
        <is>
          <t>VÄSTERVIK</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39980-2024</t>
        </is>
      </c>
      <c r="B1087" s="1" t="n">
        <v>45553.61098379629</v>
      </c>
      <c r="C1087" s="1" t="n">
        <v>46078</v>
      </c>
      <c r="D1087" t="inlineStr">
        <is>
          <t>KALMAR LÄN</t>
        </is>
      </c>
      <c r="E1087" t="inlineStr">
        <is>
          <t>VÄSTERVIK</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3467-2025</t>
        </is>
      </c>
      <c r="B1088" s="1" t="n">
        <v>45680.50885416667</v>
      </c>
      <c r="C1088" s="1" t="n">
        <v>46078</v>
      </c>
      <c r="D1088" t="inlineStr">
        <is>
          <t>KALMAR LÄN</t>
        </is>
      </c>
      <c r="E1088" t="inlineStr">
        <is>
          <t>VÄSTERVIK</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3776-2024</t>
        </is>
      </c>
      <c r="B1089" s="1" t="n">
        <v>45321.58569444445</v>
      </c>
      <c r="C1089" s="1" t="n">
        <v>46078</v>
      </c>
      <c r="D1089" t="inlineStr">
        <is>
          <t>KALMAR LÄN</t>
        </is>
      </c>
      <c r="E1089" t="inlineStr">
        <is>
          <t>VÄSTERVIK</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3828-2024</t>
        </is>
      </c>
      <c r="B1090" s="1" t="n">
        <v>45321</v>
      </c>
      <c r="C1090" s="1" t="n">
        <v>46078</v>
      </c>
      <c r="D1090" t="inlineStr">
        <is>
          <t>KALMAR LÄN</t>
        </is>
      </c>
      <c r="E1090" t="inlineStr">
        <is>
          <t>VÄSTERVIK</t>
        </is>
      </c>
      <c r="F1090" t="inlineStr">
        <is>
          <t>Holmen skog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13837-2024</t>
        </is>
      </c>
      <c r="B1091" s="1" t="n">
        <v>45391.4450462963</v>
      </c>
      <c r="C1091" s="1" t="n">
        <v>46078</v>
      </c>
      <c r="D1091" t="inlineStr">
        <is>
          <t>KALMAR LÄN</t>
        </is>
      </c>
      <c r="E1091" t="inlineStr">
        <is>
          <t>VÄSTERVIK</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13839-2024</t>
        </is>
      </c>
      <c r="B1092" s="1" t="n">
        <v>45391.44789351852</v>
      </c>
      <c r="C1092" s="1" t="n">
        <v>46078</v>
      </c>
      <c r="D1092" t="inlineStr">
        <is>
          <t>KALMAR LÄN</t>
        </is>
      </c>
      <c r="E1092" t="inlineStr">
        <is>
          <t>VÄSTERVIK</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13843-2024</t>
        </is>
      </c>
      <c r="B1093" s="1" t="n">
        <v>45391.45087962963</v>
      </c>
      <c r="C1093" s="1" t="n">
        <v>46078</v>
      </c>
      <c r="D1093" t="inlineStr">
        <is>
          <t>KALMAR LÄN</t>
        </is>
      </c>
      <c r="E1093" t="inlineStr">
        <is>
          <t>VÄSTERVIK</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25714-2023</t>
        </is>
      </c>
      <c r="B1094" s="1" t="n">
        <v>45089</v>
      </c>
      <c r="C1094" s="1" t="n">
        <v>46078</v>
      </c>
      <c r="D1094" t="inlineStr">
        <is>
          <t>KALMAR LÄN</t>
        </is>
      </c>
      <c r="E1094" t="inlineStr">
        <is>
          <t>VÄSTERVIK</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52035-2023</t>
        </is>
      </c>
      <c r="B1095" s="1" t="n">
        <v>45216</v>
      </c>
      <c r="C1095" s="1" t="n">
        <v>46078</v>
      </c>
      <c r="D1095" t="inlineStr">
        <is>
          <t>KALMAR LÄN</t>
        </is>
      </c>
      <c r="E1095" t="inlineStr">
        <is>
          <t>VÄSTERVIK</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49708-2024</t>
        </is>
      </c>
      <c r="B1096" s="1" t="n">
        <v>45596.69846064815</v>
      </c>
      <c r="C1096" s="1" t="n">
        <v>46078</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10803-2025</t>
        </is>
      </c>
      <c r="B1097" s="1" t="n">
        <v>45722.52284722222</v>
      </c>
      <c r="C1097" s="1" t="n">
        <v>46078</v>
      </c>
      <c r="D1097" t="inlineStr">
        <is>
          <t>KALMAR LÄN</t>
        </is>
      </c>
      <c r="E1097" t="inlineStr">
        <is>
          <t>VÄSTERVIK</t>
        </is>
      </c>
      <c r="F1097" t="inlineStr">
        <is>
          <t>Övriga Aktiebolag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54569-2023</t>
        </is>
      </c>
      <c r="B1098" s="1" t="n">
        <v>45233.65532407408</v>
      </c>
      <c r="C1098" s="1" t="n">
        <v>46078</v>
      </c>
      <c r="D1098" t="inlineStr">
        <is>
          <t>KALMAR LÄN</t>
        </is>
      </c>
      <c r="E1098" t="inlineStr">
        <is>
          <t>VÄSTERVIK</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12435-2024</t>
        </is>
      </c>
      <c r="B1099" s="1" t="n">
        <v>45379.4459375</v>
      </c>
      <c r="C1099" s="1" t="n">
        <v>46078</v>
      </c>
      <c r="D1099" t="inlineStr">
        <is>
          <t>KALMAR LÄN</t>
        </is>
      </c>
      <c r="E1099" t="inlineStr">
        <is>
          <t>VÄSTERVIK</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14529-2022</t>
        </is>
      </c>
      <c r="B1100" s="1" t="n">
        <v>44655</v>
      </c>
      <c r="C1100" s="1" t="n">
        <v>46078</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9792-2023</t>
        </is>
      </c>
      <c r="B1101" s="1" t="n">
        <v>44984.64269675926</v>
      </c>
      <c r="C1101" s="1" t="n">
        <v>46078</v>
      </c>
      <c r="D1101" t="inlineStr">
        <is>
          <t>KALMAR LÄN</t>
        </is>
      </c>
      <c r="E1101" t="inlineStr">
        <is>
          <t>VÄSTERVIK</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37033-2021</t>
        </is>
      </c>
      <c r="B1102" s="1" t="n">
        <v>44393</v>
      </c>
      <c r="C1102" s="1" t="n">
        <v>46078</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21831-2023</t>
        </is>
      </c>
      <c r="B1103" s="1" t="n">
        <v>45068</v>
      </c>
      <c r="C1103" s="1" t="n">
        <v>46078</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10419-2023</t>
        </is>
      </c>
      <c r="B1104" s="1" t="n">
        <v>44987</v>
      </c>
      <c r="C1104" s="1" t="n">
        <v>46078</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46560-2022</t>
        </is>
      </c>
      <c r="B1105" s="1" t="n">
        <v>44848</v>
      </c>
      <c r="C1105" s="1" t="n">
        <v>46078</v>
      </c>
      <c r="D1105" t="inlineStr">
        <is>
          <t>KALMAR LÄN</t>
        </is>
      </c>
      <c r="E1105" t="inlineStr">
        <is>
          <t>VÄSTERVIK</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170-2022</t>
        </is>
      </c>
      <c r="B1106" s="1" t="n">
        <v>44564.62540509259</v>
      </c>
      <c r="C1106" s="1" t="n">
        <v>46078</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174-2022</t>
        </is>
      </c>
      <c r="B1107" s="1" t="n">
        <v>44564.62763888889</v>
      </c>
      <c r="C1107" s="1" t="n">
        <v>46078</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31318-2021</t>
        </is>
      </c>
      <c r="B1108" s="1" t="n">
        <v>44368</v>
      </c>
      <c r="C1108" s="1" t="n">
        <v>46078</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14685-2025</t>
        </is>
      </c>
      <c r="B1109" s="1" t="n">
        <v>45742.57653935185</v>
      </c>
      <c r="C1109" s="1" t="n">
        <v>46078</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19333-2023</t>
        </is>
      </c>
      <c r="B1110" s="1" t="n">
        <v>45049.566875</v>
      </c>
      <c r="C1110" s="1" t="n">
        <v>46078</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32388-2024</t>
        </is>
      </c>
      <c r="B1111" s="1" t="n">
        <v>45512.63465277778</v>
      </c>
      <c r="C1111" s="1" t="n">
        <v>46078</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32389-2024</t>
        </is>
      </c>
      <c r="B1112" s="1" t="n">
        <v>45512.63642361111</v>
      </c>
      <c r="C1112" s="1" t="n">
        <v>46078</v>
      </c>
      <c r="D1112" t="inlineStr">
        <is>
          <t>KALMAR LÄN</t>
        </is>
      </c>
      <c r="E1112" t="inlineStr">
        <is>
          <t>VÄSTERVIK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17315-2023</t>
        </is>
      </c>
      <c r="B1113" s="1" t="n">
        <v>45035.54475694444</v>
      </c>
      <c r="C1113" s="1" t="n">
        <v>46078</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9110-2023</t>
        </is>
      </c>
      <c r="B1114" s="1" t="n">
        <v>44979</v>
      </c>
      <c r="C1114" s="1" t="n">
        <v>46078</v>
      </c>
      <c r="D1114" t="inlineStr">
        <is>
          <t>KALMAR LÄN</t>
        </is>
      </c>
      <c r="E1114" t="inlineStr">
        <is>
          <t>VÄSTERVIK</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9112-2023</t>
        </is>
      </c>
      <c r="B1115" s="1" t="n">
        <v>44979</v>
      </c>
      <c r="C1115" s="1" t="n">
        <v>46078</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15021-2025</t>
        </is>
      </c>
      <c r="B1116" s="1" t="n">
        <v>45743.64482638889</v>
      </c>
      <c r="C1116" s="1" t="n">
        <v>46078</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52049-2023</t>
        </is>
      </c>
      <c r="B1117" s="1" t="n">
        <v>45216</v>
      </c>
      <c r="C1117" s="1" t="n">
        <v>46078</v>
      </c>
      <c r="D1117" t="inlineStr">
        <is>
          <t>KALMAR LÄN</t>
        </is>
      </c>
      <c r="E1117" t="inlineStr">
        <is>
          <t>VÄSTERVIK</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34646-2023</t>
        </is>
      </c>
      <c r="B1118" s="1" t="n">
        <v>45140</v>
      </c>
      <c r="C1118" s="1" t="n">
        <v>46078</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14212-2022</t>
        </is>
      </c>
      <c r="B1119" s="1" t="n">
        <v>44651</v>
      </c>
      <c r="C1119" s="1" t="n">
        <v>46078</v>
      </c>
      <c r="D1119" t="inlineStr">
        <is>
          <t>KALMAR LÄN</t>
        </is>
      </c>
      <c r="E1119" t="inlineStr">
        <is>
          <t>VÄSTERVIK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21752-2024</t>
        </is>
      </c>
      <c r="B1120" s="1" t="n">
        <v>45442.58048611111</v>
      </c>
      <c r="C1120" s="1" t="n">
        <v>46078</v>
      </c>
      <c r="D1120" t="inlineStr">
        <is>
          <t>KALMAR LÄN</t>
        </is>
      </c>
      <c r="E1120" t="inlineStr">
        <is>
          <t>VÄSTERVIK</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33204-2022</t>
        </is>
      </c>
      <c r="B1121" s="1" t="n">
        <v>44785</v>
      </c>
      <c r="C1121" s="1" t="n">
        <v>46078</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9263-2025</t>
        </is>
      </c>
      <c r="B1122" s="1" t="n">
        <v>45714.60927083333</v>
      </c>
      <c r="C1122" s="1" t="n">
        <v>46078</v>
      </c>
      <c r="D1122" t="inlineStr">
        <is>
          <t>KALMAR LÄN</t>
        </is>
      </c>
      <c r="E1122" t="inlineStr">
        <is>
          <t>VÄSTERVIK</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33210-2022</t>
        </is>
      </c>
      <c r="B1123" s="1" t="n">
        <v>44785.74811342593</v>
      </c>
      <c r="C1123" s="1" t="n">
        <v>46078</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352-2023</t>
        </is>
      </c>
      <c r="B1124" s="1" t="n">
        <v>44929.51619212963</v>
      </c>
      <c r="C1124" s="1" t="n">
        <v>46078</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25238-2021</t>
        </is>
      </c>
      <c r="B1125" s="1" t="n">
        <v>44342</v>
      </c>
      <c r="C1125" s="1" t="n">
        <v>46078</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63812-2021</t>
        </is>
      </c>
      <c r="B1126" s="1" t="n">
        <v>44509.56346064815</v>
      </c>
      <c r="C1126" s="1" t="n">
        <v>46078</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10771-2025</t>
        </is>
      </c>
      <c r="B1127" s="1" t="n">
        <v>45722.46953703704</v>
      </c>
      <c r="C1127" s="1" t="n">
        <v>46078</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14072-2025</t>
        </is>
      </c>
      <c r="B1128" s="1" t="n">
        <v>45740.42978009259</v>
      </c>
      <c r="C1128" s="1" t="n">
        <v>46078</v>
      </c>
      <c r="D1128" t="inlineStr">
        <is>
          <t>KALMAR LÄN</t>
        </is>
      </c>
      <c r="E1128" t="inlineStr">
        <is>
          <t>VÄSTERVIK</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14075-2025</t>
        </is>
      </c>
      <c r="B1129" s="1" t="n">
        <v>45740.43222222223</v>
      </c>
      <c r="C1129" s="1" t="n">
        <v>46078</v>
      </c>
      <c r="D1129" t="inlineStr">
        <is>
          <t>KALMAR LÄN</t>
        </is>
      </c>
      <c r="E1129" t="inlineStr">
        <is>
          <t>VÄSTERVIK</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15097-2023</t>
        </is>
      </c>
      <c r="B1130" s="1" t="n">
        <v>45016</v>
      </c>
      <c r="C1130" s="1" t="n">
        <v>46078</v>
      </c>
      <c r="D1130" t="inlineStr">
        <is>
          <t>KALMAR LÄN</t>
        </is>
      </c>
      <c r="E1130" t="inlineStr">
        <is>
          <t>VÄSTERVIK</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56077-2024</t>
        </is>
      </c>
      <c r="B1131" s="1" t="n">
        <v>45624.38690972222</v>
      </c>
      <c r="C1131" s="1" t="n">
        <v>46078</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29952-2022</t>
        </is>
      </c>
      <c r="B1132" s="1" t="n">
        <v>44756.62649305556</v>
      </c>
      <c r="C1132" s="1" t="n">
        <v>46078</v>
      </c>
      <c r="D1132" t="inlineStr">
        <is>
          <t>KALMAR LÄN</t>
        </is>
      </c>
      <c r="E1132" t="inlineStr">
        <is>
          <t>VÄSTERVIK</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22740-2024</t>
        </is>
      </c>
      <c r="B1133" s="1" t="n">
        <v>45448.39869212963</v>
      </c>
      <c r="C1133" s="1" t="n">
        <v>46078</v>
      </c>
      <c r="D1133" t="inlineStr">
        <is>
          <t>KALMAR LÄN</t>
        </is>
      </c>
      <c r="E1133" t="inlineStr">
        <is>
          <t>VÄSTERVIK</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1874-2025</t>
        </is>
      </c>
      <c r="B1134" s="1" t="n">
        <v>45671.61953703704</v>
      </c>
      <c r="C1134" s="1" t="n">
        <v>46078</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4463-2022</t>
        </is>
      </c>
      <c r="B1135" s="1" t="n">
        <v>44589</v>
      </c>
      <c r="C1135" s="1" t="n">
        <v>46078</v>
      </c>
      <c r="D1135" t="inlineStr">
        <is>
          <t>KALMAR LÄN</t>
        </is>
      </c>
      <c r="E1135" t="inlineStr">
        <is>
          <t>VÄSTERVIK</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46790-2022</t>
        </is>
      </c>
      <c r="B1136" s="1" t="n">
        <v>44851</v>
      </c>
      <c r="C1136" s="1" t="n">
        <v>46078</v>
      </c>
      <c r="D1136" t="inlineStr">
        <is>
          <t>KALMAR LÄN</t>
        </is>
      </c>
      <c r="E1136" t="inlineStr">
        <is>
          <t>VÄSTERVIK</t>
        </is>
      </c>
      <c r="G1136" t="n">
        <v>9.9</v>
      </c>
      <c r="H1136" t="n">
        <v>0</v>
      </c>
      <c r="I1136" t="n">
        <v>0</v>
      </c>
      <c r="J1136" t="n">
        <v>0</v>
      </c>
      <c r="K1136" t="n">
        <v>0</v>
      </c>
      <c r="L1136" t="n">
        <v>0</v>
      </c>
      <c r="M1136" t="n">
        <v>0</v>
      </c>
      <c r="N1136" t="n">
        <v>0</v>
      </c>
      <c r="O1136" t="n">
        <v>0</v>
      </c>
      <c r="P1136" t="n">
        <v>0</v>
      </c>
      <c r="Q1136" t="n">
        <v>0</v>
      </c>
      <c r="R1136" s="2" t="inlineStr"/>
    </row>
    <row r="1137" ht="15" customHeight="1">
      <c r="A1137" t="inlineStr">
        <is>
          <t>A 32764-2022</t>
        </is>
      </c>
      <c r="B1137" s="1" t="n">
        <v>44783</v>
      </c>
      <c r="C1137" s="1" t="n">
        <v>46078</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55828-2022</t>
        </is>
      </c>
      <c r="B1138" s="1" t="n">
        <v>44888</v>
      </c>
      <c r="C1138" s="1" t="n">
        <v>46078</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43759-2023</t>
        </is>
      </c>
      <c r="B1139" s="1" t="n">
        <v>45187</v>
      </c>
      <c r="C1139" s="1" t="n">
        <v>46078</v>
      </c>
      <c r="D1139" t="inlineStr">
        <is>
          <t>KALMAR LÄN</t>
        </is>
      </c>
      <c r="E1139" t="inlineStr">
        <is>
          <t>VÄSTERVIK</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28588-2022</t>
        </is>
      </c>
      <c r="B1140" s="1" t="n">
        <v>44748</v>
      </c>
      <c r="C1140" s="1" t="n">
        <v>46078</v>
      </c>
      <c r="D1140" t="inlineStr">
        <is>
          <t>KALMAR LÄN</t>
        </is>
      </c>
      <c r="E1140" t="inlineStr">
        <is>
          <t>VÄSTERVIK</t>
        </is>
      </c>
      <c r="F1140" t="inlineStr">
        <is>
          <t>Övriga Aktiebolag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64920-2021</t>
        </is>
      </c>
      <c r="B1141" s="1" t="n">
        <v>44512</v>
      </c>
      <c r="C1141" s="1" t="n">
        <v>46078</v>
      </c>
      <c r="D1141" t="inlineStr">
        <is>
          <t>KALMAR LÄN</t>
        </is>
      </c>
      <c r="E1141" t="inlineStr">
        <is>
          <t>VÄSTERVIK</t>
        </is>
      </c>
      <c r="G1141" t="n">
        <v>1.2</v>
      </c>
      <c r="H1141" t="n">
        <v>0</v>
      </c>
      <c r="I1141" t="n">
        <v>0</v>
      </c>
      <c r="J1141" t="n">
        <v>0</v>
      </c>
      <c r="K1141" t="n">
        <v>0</v>
      </c>
      <c r="L1141" t="n">
        <v>0</v>
      </c>
      <c r="M1141" t="n">
        <v>0</v>
      </c>
      <c r="N1141" t="n">
        <v>0</v>
      </c>
      <c r="O1141" t="n">
        <v>0</v>
      </c>
      <c r="P1141" t="n">
        <v>0</v>
      </c>
      <c r="Q1141" t="n">
        <v>0</v>
      </c>
      <c r="R1141" s="2" t="inlineStr"/>
      <c r="U1141">
        <f>HYPERLINK("https://klasma.github.io/Logging_0883/knärot/A 64920-2021 karta knärot.png", "A 64920-2021")</f>
        <v/>
      </c>
      <c r="V1141">
        <f>HYPERLINK("https://klasma.github.io/Logging_0883/klagomål/A 64920-2021 FSC-klagomål.docx", "A 64920-2021")</f>
        <v/>
      </c>
      <c r="W1141">
        <f>HYPERLINK("https://klasma.github.io/Logging_0883/klagomålsmail/A 64920-2021 FSC-klagomål mail.docx", "A 64920-2021")</f>
        <v/>
      </c>
      <c r="X1141">
        <f>HYPERLINK("https://klasma.github.io/Logging_0883/tillsyn/A 64920-2021 tillsynsbegäran.docx", "A 64920-2021")</f>
        <v/>
      </c>
      <c r="Y1141">
        <f>HYPERLINK("https://klasma.github.io/Logging_0883/tillsynsmail/A 64920-2021 tillsynsbegäran mail.docx", "A 64920-2021")</f>
        <v/>
      </c>
    </row>
    <row r="1142" ht="15" customHeight="1">
      <c r="A1142" t="inlineStr">
        <is>
          <t>A 29420-2024</t>
        </is>
      </c>
      <c r="B1142" s="1" t="n">
        <v>45483</v>
      </c>
      <c r="C1142" s="1" t="n">
        <v>46078</v>
      </c>
      <c r="D1142" t="inlineStr">
        <is>
          <t>KALMAR LÄN</t>
        </is>
      </c>
      <c r="E1142" t="inlineStr">
        <is>
          <t>VÄSTERVIK</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52774-2024</t>
        </is>
      </c>
      <c r="B1143" s="1" t="n">
        <v>45610.53413194444</v>
      </c>
      <c r="C1143" s="1" t="n">
        <v>46078</v>
      </c>
      <c r="D1143" t="inlineStr">
        <is>
          <t>KALMAR LÄN</t>
        </is>
      </c>
      <c r="E1143" t="inlineStr">
        <is>
          <t>VÄSTERVIK</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11120-2025</t>
        </is>
      </c>
      <c r="B1144" s="1" t="n">
        <v>45723.63655092593</v>
      </c>
      <c r="C1144" s="1" t="n">
        <v>46078</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11122-2025</t>
        </is>
      </c>
      <c r="B1145" s="1" t="n">
        <v>45723.63827546296</v>
      </c>
      <c r="C1145" s="1" t="n">
        <v>46078</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6042-2023</t>
        </is>
      </c>
      <c r="B1146" s="1" t="n">
        <v>44964</v>
      </c>
      <c r="C1146" s="1" t="n">
        <v>46078</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36643-2023</t>
        </is>
      </c>
      <c r="B1147" s="1" t="n">
        <v>45153</v>
      </c>
      <c r="C1147" s="1" t="n">
        <v>46078</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16586-2022</t>
        </is>
      </c>
      <c r="B1148" s="1" t="n">
        <v>44672.47105324074</v>
      </c>
      <c r="C1148" s="1" t="n">
        <v>46078</v>
      </c>
      <c r="D1148" t="inlineStr">
        <is>
          <t>KALMAR LÄN</t>
        </is>
      </c>
      <c r="E1148" t="inlineStr">
        <is>
          <t>VÄSTERVIK</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23580-2023</t>
        </is>
      </c>
      <c r="B1149" s="1" t="n">
        <v>45077</v>
      </c>
      <c r="C1149" s="1" t="n">
        <v>46078</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1568-2024</t>
        </is>
      </c>
      <c r="B1150" s="1" t="n">
        <v>45306.53221064815</v>
      </c>
      <c r="C1150" s="1" t="n">
        <v>46078</v>
      </c>
      <c r="D1150" t="inlineStr">
        <is>
          <t>KALMAR LÄN</t>
        </is>
      </c>
      <c r="E1150" t="inlineStr">
        <is>
          <t>VÄSTERVIK</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1572-2024</t>
        </is>
      </c>
      <c r="B1151" s="1" t="n">
        <v>45306</v>
      </c>
      <c r="C1151" s="1" t="n">
        <v>46078</v>
      </c>
      <c r="D1151" t="inlineStr">
        <is>
          <t>KALMAR LÄN</t>
        </is>
      </c>
      <c r="E1151" t="inlineStr">
        <is>
          <t>VÄSTERVIK</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11183-2024</t>
        </is>
      </c>
      <c r="B1152" s="1" t="n">
        <v>45371.53141203704</v>
      </c>
      <c r="C1152" s="1" t="n">
        <v>46078</v>
      </c>
      <c r="D1152" t="inlineStr">
        <is>
          <t>KALMAR LÄN</t>
        </is>
      </c>
      <c r="E1152" t="inlineStr">
        <is>
          <t>VÄSTERVIK</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3185-2023</t>
        </is>
      </c>
      <c r="B1153" s="1" t="n">
        <v>44946.60753472222</v>
      </c>
      <c r="C1153" s="1" t="n">
        <v>46078</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36555-2024</t>
        </is>
      </c>
      <c r="B1154" s="1" t="n">
        <v>45537</v>
      </c>
      <c r="C1154" s="1" t="n">
        <v>46078</v>
      </c>
      <c r="D1154" t="inlineStr">
        <is>
          <t>KALMAR LÄN</t>
        </is>
      </c>
      <c r="E1154" t="inlineStr">
        <is>
          <t>VÄSTERVIK</t>
        </is>
      </c>
      <c r="F1154" t="inlineStr">
        <is>
          <t>Kommuner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32394-2021</t>
        </is>
      </c>
      <c r="B1155" s="1" t="n">
        <v>44371.63414351852</v>
      </c>
      <c r="C1155" s="1" t="n">
        <v>46078</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c r="A1156" t="inlineStr">
        <is>
          <t>A 942-2024</t>
        </is>
      </c>
      <c r="B1156" s="1" t="n">
        <v>45301.53930555555</v>
      </c>
      <c r="C1156" s="1" t="n">
        <v>46078</v>
      </c>
      <c r="D1156" t="inlineStr">
        <is>
          <t>KALMAR LÄN</t>
        </is>
      </c>
      <c r="E1156" t="inlineStr">
        <is>
          <t>VÄSTERVIK</t>
        </is>
      </c>
      <c r="G1156" t="n">
        <v>0.7</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2026-02-25T11:19:07Z</dcterms:created>
  <dcterms:modified xmlns:dcterms="http://purl.org/dc/terms/" xmlns:xsi="http://www.w3.org/2001/XMLSchema-instance" xsi:type="dcterms:W3CDTF">2026-02-25T11:19:08Z</dcterms:modified>
</cp:coreProperties>
</file>