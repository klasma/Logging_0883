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45799</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45799</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45799</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45799</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45799</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45799</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45799</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45799</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45799</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45799</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45799</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45799</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45799</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45799</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45799</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45799</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45799</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45799</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45799</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45799</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45799</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45799</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45799</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45799</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45799</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45799</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45799</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45799</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45799</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45799</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45799</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45799</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45799</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45799</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45799</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45799</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45799</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45799</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45799</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45799</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45799</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45799</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45799</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45799</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45799</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45799</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45799</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45799</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45799</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45799</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45799</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45799</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45799</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45799</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45799</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45799</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45799</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45799</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45799</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45799</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45799</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45799</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45799</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45799</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45799</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45799</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45799</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45799</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45799</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45799</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45799</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45799</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45799</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45799</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45799</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45799</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45799</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45799</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45799</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45799</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45799</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45799</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45799</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45799</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45799</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45799</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45799</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45799</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45799</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45799</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45799</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45799</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45799</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45799</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45799</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45799</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45799</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45799</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45799</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45799</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45799</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45799</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45799</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45799</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45799</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45799</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45799</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45799</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45799</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45799</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45799</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45799</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45799</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45799</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45799</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45799</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45799</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45799</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45799</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45799</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45799</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45799</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45799</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45799</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45799</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45799</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45799</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45799</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45799</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45799</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45799</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45799</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45799</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45799</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45799</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45799</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45799</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45799</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45799</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45799</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45799</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45799</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45799</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45799</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45799</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45799</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45799</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45799</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45799</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45799</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45799</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45799</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45799</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45799</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45799</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45799</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45799</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45799</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45799</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45799</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45799</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45799</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45799</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45799</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45799</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45799</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45799</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45799</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45799</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45799</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45799</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45799</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45799</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45799</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45799</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45799</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45799</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45799</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45799</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45799</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45799</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45799</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45799</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45799</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45799</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45799</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45799</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45799</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45799</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45799</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45799</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45799</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45799</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45799</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45799</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45799</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45799</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45799</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45799</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45799</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45799</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45799</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45799</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45799</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45799</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45799</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45799</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45799</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45799</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45799</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45799</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45799</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45799</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45799</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45799</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45799</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45799</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45799</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45799</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45799</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45799</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45799</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45799</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45799</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45799</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45799</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45799</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45799</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45799</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45799</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45799</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45799</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45799</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45799</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45799</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45799</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45799</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45799</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45799</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45799</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45799</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45799</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45799</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45799</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45799</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45799</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45799</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45799</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45799</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45799</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45799</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45799</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45799</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45799</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45799</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45799</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45799</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45799</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45799</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45799</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45799</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45799</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45799</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45799</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45799</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45799</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45799</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45799</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45799</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45799</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45799</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45799</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45799</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45799</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45799</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45799</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45799</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45799</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45799</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45799</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45799</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45799</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45799</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45799</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45799</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45799</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45799</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45799</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45799</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45799</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45799</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45799</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45799</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45799</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45799</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45799</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45799</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45799</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45799</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45799</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45799</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45799</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45799</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45799</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45799</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45799</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45799</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45799</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45799</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45799</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45799</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45799</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45799</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45799</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45799</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45799</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45799</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45799</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45799</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45799</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45799</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45799</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45799</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45799</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45799</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45799</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45799</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45799</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45799</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45799</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45799</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45799</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45799</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45799</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45799</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45799</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45799</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45799</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45799</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45799</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45799</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45799</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45799</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45799</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45799</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45799</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45799</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45799</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45799</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45799</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45799</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45799</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45799</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45799</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45799</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45799</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45799</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45799</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45799</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45799</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45799</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45799</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45799</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45799</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45799</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23199-2025</t>
        </is>
      </c>
      <c r="B374" s="1" t="n">
        <v>45791</v>
      </c>
      <c r="C374" s="1" t="n">
        <v>45799</v>
      </c>
      <c r="D374" t="inlineStr">
        <is>
          <t>KALMAR LÄN</t>
        </is>
      </c>
      <c r="E374" t="inlineStr">
        <is>
          <t>VÄSTERVIK</t>
        </is>
      </c>
      <c r="G374" t="n">
        <v>2.1</v>
      </c>
      <c r="H374" t="n">
        <v>0</v>
      </c>
      <c r="I374" t="n">
        <v>1</v>
      </c>
      <c r="J374" t="n">
        <v>0</v>
      </c>
      <c r="K374" t="n">
        <v>0</v>
      </c>
      <c r="L374" t="n">
        <v>0</v>
      </c>
      <c r="M374" t="n">
        <v>0</v>
      </c>
      <c r="N374" t="n">
        <v>0</v>
      </c>
      <c r="O374" t="n">
        <v>0</v>
      </c>
      <c r="P374" t="n">
        <v>0</v>
      </c>
      <c r="Q374" t="n">
        <v>1</v>
      </c>
      <c r="R374" s="2" t="inlineStr">
        <is>
          <t>Blåmossa</t>
        </is>
      </c>
      <c r="S374">
        <f>HYPERLINK("https://klasma.github.io/Logging_080883/artfynd/A 23199-2025 artfynd.xlsx", "A 23199-2025")</f>
        <v/>
      </c>
      <c r="T374">
        <f>HYPERLINK("https://klasma.github.io/Logging_080883/kartor/A 23199-2025 karta.png", "A 23199-2025")</f>
        <v/>
      </c>
      <c r="V374">
        <f>HYPERLINK("https://klasma.github.io/Logging_080883/klagomål/A 23199-2025 FSC-klagomål.docx", "A 23199-2025")</f>
        <v/>
      </c>
      <c r="W374">
        <f>HYPERLINK("https://klasma.github.io/Logging_080883/klagomålsmail/A 23199-2025 FSC-klagomål mail.docx", "A 23199-2025")</f>
        <v/>
      </c>
      <c r="X374">
        <f>HYPERLINK("https://klasma.github.io/Logging_080883/tillsyn/A 23199-2025 tillsynsbegäran.docx", "A 23199-2025")</f>
        <v/>
      </c>
      <c r="Y374">
        <f>HYPERLINK("https://klasma.github.io/Logging_080883/tillsynsmail/A 23199-2025 tillsynsbegäran mail.docx", "A 23199-2025")</f>
        <v/>
      </c>
    </row>
    <row r="375" ht="15" customHeight="1">
      <c r="A375" t="inlineStr">
        <is>
          <t>A 23192-2025</t>
        </is>
      </c>
      <c r="B375" s="1" t="n">
        <v>45791</v>
      </c>
      <c r="C375" s="1" t="n">
        <v>45799</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23186-2025</t>
        </is>
      </c>
      <c r="B376" s="1" t="n">
        <v>45791</v>
      </c>
      <c r="C376" s="1" t="n">
        <v>45799</v>
      </c>
      <c r="D376" t="inlineStr">
        <is>
          <t>KALMAR LÄN</t>
        </is>
      </c>
      <c r="E376" t="inlineStr">
        <is>
          <t>VÄSTERVIK</t>
        </is>
      </c>
      <c r="G376" t="n">
        <v>1.4</v>
      </c>
      <c r="H376" t="n">
        <v>0</v>
      </c>
      <c r="I376" t="n">
        <v>0</v>
      </c>
      <c r="J376" t="n">
        <v>1</v>
      </c>
      <c r="K376" t="n">
        <v>0</v>
      </c>
      <c r="L376" t="n">
        <v>0</v>
      </c>
      <c r="M376" t="n">
        <v>0</v>
      </c>
      <c r="N376" t="n">
        <v>0</v>
      </c>
      <c r="O376" t="n">
        <v>1</v>
      </c>
      <c r="P376" t="n">
        <v>0</v>
      </c>
      <c r="Q376" t="n">
        <v>1</v>
      </c>
      <c r="R376" s="2" t="inlineStr">
        <is>
          <t>Krusfrö</t>
        </is>
      </c>
      <c r="S376">
        <f>HYPERLINK("https://klasma.github.io/Logging_080883/artfynd/A 23186-2025 artfynd.xlsx", "A 23186-2025")</f>
        <v/>
      </c>
      <c r="T376">
        <f>HYPERLINK("https://klasma.github.io/Logging_080883/kartor/A 23186-2025 karta.png", "A 23186-2025")</f>
        <v/>
      </c>
      <c r="V376">
        <f>HYPERLINK("https://klasma.github.io/Logging_080883/klagomål/A 23186-2025 FSC-klagomål.docx", "A 23186-2025")</f>
        <v/>
      </c>
      <c r="W376">
        <f>HYPERLINK("https://klasma.github.io/Logging_080883/klagomålsmail/A 23186-2025 FSC-klagomål mail.docx", "A 23186-2025")</f>
        <v/>
      </c>
      <c r="X376">
        <f>HYPERLINK("https://klasma.github.io/Logging_080883/tillsyn/A 23186-2025 tillsynsbegäran.docx", "A 23186-2025")</f>
        <v/>
      </c>
      <c r="Y376">
        <f>HYPERLINK("https://klasma.github.io/Logging_080883/tillsynsmail/A 23186-2025 tillsynsbegäran mail.docx", "A 23186-2025")</f>
        <v/>
      </c>
    </row>
    <row r="377" ht="15" customHeight="1">
      <c r="A377" t="inlineStr">
        <is>
          <t>A 17794-2019</t>
        </is>
      </c>
      <c r="B377" s="1" t="n">
        <v>43556</v>
      </c>
      <c r="C377" s="1" t="n">
        <v>45799</v>
      </c>
      <c r="D377" t="inlineStr">
        <is>
          <t>KALMAR LÄN</t>
        </is>
      </c>
      <c r="E377" t="inlineStr">
        <is>
          <t>VÄSTERVIK</t>
        </is>
      </c>
      <c r="G377" t="n">
        <v>3.3</v>
      </c>
      <c r="H377" t="n">
        <v>0</v>
      </c>
      <c r="I377" t="n">
        <v>0</v>
      </c>
      <c r="J377" t="n">
        <v>0</v>
      </c>
      <c r="K377" t="n">
        <v>0</v>
      </c>
      <c r="L377" t="n">
        <v>0</v>
      </c>
      <c r="M377" t="n">
        <v>0</v>
      </c>
      <c r="N377" t="n">
        <v>0</v>
      </c>
      <c r="O377" t="n">
        <v>0</v>
      </c>
      <c r="P377" t="n">
        <v>0</v>
      </c>
      <c r="Q377" t="n">
        <v>0</v>
      </c>
      <c r="R377" s="2" t="inlineStr"/>
    </row>
    <row r="378" ht="15" customHeight="1">
      <c r="A378" t="inlineStr">
        <is>
          <t>A 18417-2019</t>
        </is>
      </c>
      <c r="B378" s="1" t="n">
        <v>43559</v>
      </c>
      <c r="C378" s="1" t="n">
        <v>45799</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18552-2019</t>
        </is>
      </c>
      <c r="B379" s="1" t="n">
        <v>43559</v>
      </c>
      <c r="C379" s="1" t="n">
        <v>45799</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18419-2019</t>
        </is>
      </c>
      <c r="B380" s="1" t="n">
        <v>43559</v>
      </c>
      <c r="C380" s="1" t="n">
        <v>45799</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18768-2019</t>
        </is>
      </c>
      <c r="B381" s="1" t="n">
        <v>43560</v>
      </c>
      <c r="C381" s="1" t="n">
        <v>45799</v>
      </c>
      <c r="D381" t="inlineStr">
        <is>
          <t>KALMAR LÄN</t>
        </is>
      </c>
      <c r="E381" t="inlineStr">
        <is>
          <t>VÄSTERVIK</t>
        </is>
      </c>
      <c r="G381" t="n">
        <v>1.2</v>
      </c>
      <c r="H381" t="n">
        <v>0</v>
      </c>
      <c r="I381" t="n">
        <v>0</v>
      </c>
      <c r="J381" t="n">
        <v>0</v>
      </c>
      <c r="K381" t="n">
        <v>0</v>
      </c>
      <c r="L381" t="n">
        <v>0</v>
      </c>
      <c r="M381" t="n">
        <v>0</v>
      </c>
      <c r="N381" t="n">
        <v>0</v>
      </c>
      <c r="O381" t="n">
        <v>0</v>
      </c>
      <c r="P381" t="n">
        <v>0</v>
      </c>
      <c r="Q381" t="n">
        <v>0</v>
      </c>
      <c r="R381" s="2" t="inlineStr"/>
    </row>
    <row r="382" ht="15" customHeight="1">
      <c r="A382" t="inlineStr">
        <is>
          <t>A 19141-2019</t>
        </is>
      </c>
      <c r="B382" s="1" t="n">
        <v>43564</v>
      </c>
      <c r="C382" s="1" t="n">
        <v>45799</v>
      </c>
      <c r="D382" t="inlineStr">
        <is>
          <t>KALMAR LÄN</t>
        </is>
      </c>
      <c r="E382" t="inlineStr">
        <is>
          <t>VÄSTERVIK</t>
        </is>
      </c>
      <c r="G382" t="n">
        <v>3.3</v>
      </c>
      <c r="H382" t="n">
        <v>0</v>
      </c>
      <c r="I382" t="n">
        <v>0</v>
      </c>
      <c r="J382" t="n">
        <v>0</v>
      </c>
      <c r="K382" t="n">
        <v>0</v>
      </c>
      <c r="L382" t="n">
        <v>0</v>
      </c>
      <c r="M382" t="n">
        <v>0</v>
      </c>
      <c r="N382" t="n">
        <v>0</v>
      </c>
      <c r="O382" t="n">
        <v>0</v>
      </c>
      <c r="P382" t="n">
        <v>0</v>
      </c>
      <c r="Q382" t="n">
        <v>0</v>
      </c>
      <c r="R382" s="2" t="inlineStr"/>
    </row>
    <row r="383" ht="15" customHeight="1">
      <c r="A383" t="inlineStr">
        <is>
          <t>A 19414-2019</t>
        </is>
      </c>
      <c r="B383" s="1" t="n">
        <v>43565</v>
      </c>
      <c r="C383" s="1" t="n">
        <v>45799</v>
      </c>
      <c r="D383" t="inlineStr">
        <is>
          <t>KALMAR LÄN</t>
        </is>
      </c>
      <c r="E383" t="inlineStr">
        <is>
          <t>VÄSTERVIK</t>
        </is>
      </c>
      <c r="F383" t="inlineStr">
        <is>
          <t>Sveaskog</t>
        </is>
      </c>
      <c r="G383" t="n">
        <v>5.4</v>
      </c>
      <c r="H383" t="n">
        <v>0</v>
      </c>
      <c r="I383" t="n">
        <v>0</v>
      </c>
      <c r="J383" t="n">
        <v>0</v>
      </c>
      <c r="K383" t="n">
        <v>0</v>
      </c>
      <c r="L383" t="n">
        <v>0</v>
      </c>
      <c r="M383" t="n">
        <v>0</v>
      </c>
      <c r="N383" t="n">
        <v>0</v>
      </c>
      <c r="O383" t="n">
        <v>0</v>
      </c>
      <c r="P383" t="n">
        <v>0</v>
      </c>
      <c r="Q383" t="n">
        <v>0</v>
      </c>
      <c r="R383" s="2" t="inlineStr"/>
    </row>
    <row r="384" ht="15" customHeight="1">
      <c r="A384" t="inlineStr">
        <is>
          <t>A 19653-2019</t>
        </is>
      </c>
      <c r="B384" s="1" t="n">
        <v>43566</v>
      </c>
      <c r="C384" s="1" t="n">
        <v>45799</v>
      </c>
      <c r="D384" t="inlineStr">
        <is>
          <t>KALMAR LÄN</t>
        </is>
      </c>
      <c r="E384" t="inlineStr">
        <is>
          <t>VÄSTERVIK</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19819-2019</t>
        </is>
      </c>
      <c r="B385" s="1" t="n">
        <v>43567</v>
      </c>
      <c r="C385" s="1" t="n">
        <v>45799</v>
      </c>
      <c r="D385" t="inlineStr">
        <is>
          <t>KALMAR LÄN</t>
        </is>
      </c>
      <c r="E385" t="inlineStr">
        <is>
          <t>VÄSTERVIK</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19825-2019</t>
        </is>
      </c>
      <c r="B386" s="1" t="n">
        <v>43567</v>
      </c>
      <c r="C386" s="1" t="n">
        <v>45799</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20371-2019</t>
        </is>
      </c>
      <c r="B387" s="1" t="n">
        <v>43571</v>
      </c>
      <c r="C387" s="1" t="n">
        <v>45799</v>
      </c>
      <c r="D387" t="inlineStr">
        <is>
          <t>KALMAR LÄN</t>
        </is>
      </c>
      <c r="E387" t="inlineStr">
        <is>
          <t>VÄSTERVIK</t>
        </is>
      </c>
      <c r="G387" t="n">
        <v>1</v>
      </c>
      <c r="H387" t="n">
        <v>0</v>
      </c>
      <c r="I387" t="n">
        <v>0</v>
      </c>
      <c r="J387" t="n">
        <v>0</v>
      </c>
      <c r="K387" t="n">
        <v>0</v>
      </c>
      <c r="L387" t="n">
        <v>0</v>
      </c>
      <c r="M387" t="n">
        <v>0</v>
      </c>
      <c r="N387" t="n">
        <v>0</v>
      </c>
      <c r="O387" t="n">
        <v>0</v>
      </c>
      <c r="P387" t="n">
        <v>0</v>
      </c>
      <c r="Q387" t="n">
        <v>0</v>
      </c>
      <c r="R387" s="2" t="inlineStr"/>
    </row>
    <row r="388" ht="15" customHeight="1">
      <c r="A388" t="inlineStr">
        <is>
          <t>A 24133-2019</t>
        </is>
      </c>
      <c r="B388" s="1" t="n">
        <v>43598</v>
      </c>
      <c r="C388" s="1" t="n">
        <v>45799</v>
      </c>
      <c r="D388" t="inlineStr">
        <is>
          <t>KALMAR LÄN</t>
        </is>
      </c>
      <c r="E388" t="inlineStr">
        <is>
          <t>VÄSTERVIK</t>
        </is>
      </c>
      <c r="G388" t="n">
        <v>1.8</v>
      </c>
      <c r="H388" t="n">
        <v>0</v>
      </c>
      <c r="I388" t="n">
        <v>0</v>
      </c>
      <c r="J388" t="n">
        <v>0</v>
      </c>
      <c r="K388" t="n">
        <v>0</v>
      </c>
      <c r="L388" t="n">
        <v>0</v>
      </c>
      <c r="M388" t="n">
        <v>0</v>
      </c>
      <c r="N388" t="n">
        <v>0</v>
      </c>
      <c r="O388" t="n">
        <v>0</v>
      </c>
      <c r="P388" t="n">
        <v>0</v>
      </c>
      <c r="Q388" t="n">
        <v>0</v>
      </c>
      <c r="R388" s="2" t="inlineStr"/>
    </row>
    <row r="389" ht="15" customHeight="1">
      <c r="A389" t="inlineStr">
        <is>
          <t>A 24356-2019</t>
        </is>
      </c>
      <c r="B389" s="1" t="n">
        <v>43599</v>
      </c>
      <c r="C389" s="1" t="n">
        <v>45799</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24358-2019</t>
        </is>
      </c>
      <c r="B390" s="1" t="n">
        <v>43599</v>
      </c>
      <c r="C390" s="1" t="n">
        <v>45799</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24316-2019</t>
        </is>
      </c>
      <c r="B391" s="1" t="n">
        <v>43599</v>
      </c>
      <c r="C391" s="1" t="n">
        <v>45799</v>
      </c>
      <c r="D391" t="inlineStr">
        <is>
          <t>KALMAR LÄN</t>
        </is>
      </c>
      <c r="E391" t="inlineStr">
        <is>
          <t>VÄSTERVIK</t>
        </is>
      </c>
      <c r="G391" t="n">
        <v>14.9</v>
      </c>
      <c r="H391" t="n">
        <v>0</v>
      </c>
      <c r="I391" t="n">
        <v>0</v>
      </c>
      <c r="J391" t="n">
        <v>0</v>
      </c>
      <c r="K391" t="n">
        <v>0</v>
      </c>
      <c r="L391" t="n">
        <v>0</v>
      </c>
      <c r="M391" t="n">
        <v>0</v>
      </c>
      <c r="N391" t="n">
        <v>0</v>
      </c>
      <c r="O391" t="n">
        <v>0</v>
      </c>
      <c r="P391" t="n">
        <v>0</v>
      </c>
      <c r="Q391" t="n">
        <v>0</v>
      </c>
      <c r="R391" s="2" t="inlineStr"/>
    </row>
    <row r="392" ht="15" customHeight="1">
      <c r="A392" t="inlineStr">
        <is>
          <t>A 24318-2019</t>
        </is>
      </c>
      <c r="B392" s="1" t="n">
        <v>43599</v>
      </c>
      <c r="C392" s="1" t="n">
        <v>45799</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24354-2019</t>
        </is>
      </c>
      <c r="B393" s="1" t="n">
        <v>43599</v>
      </c>
      <c r="C393" s="1" t="n">
        <v>45799</v>
      </c>
      <c r="D393" t="inlineStr">
        <is>
          <t>KALMAR LÄN</t>
        </is>
      </c>
      <c r="E393" t="inlineStr">
        <is>
          <t>VÄSTERVIK</t>
        </is>
      </c>
      <c r="G393" t="n">
        <v>3.7</v>
      </c>
      <c r="H393" t="n">
        <v>0</v>
      </c>
      <c r="I393" t="n">
        <v>0</v>
      </c>
      <c r="J393" t="n">
        <v>0</v>
      </c>
      <c r="K393" t="n">
        <v>0</v>
      </c>
      <c r="L393" t="n">
        <v>0</v>
      </c>
      <c r="M393" t="n">
        <v>0</v>
      </c>
      <c r="N393" t="n">
        <v>0</v>
      </c>
      <c r="O393" t="n">
        <v>0</v>
      </c>
      <c r="P393" t="n">
        <v>0</v>
      </c>
      <c r="Q393" t="n">
        <v>0</v>
      </c>
      <c r="R393" s="2" t="inlineStr"/>
    </row>
    <row r="394" ht="15" customHeight="1">
      <c r="A394" t="inlineStr">
        <is>
          <t>A 24550-2019</t>
        </is>
      </c>
      <c r="B394" s="1" t="n">
        <v>43600</v>
      </c>
      <c r="C394" s="1" t="n">
        <v>45799</v>
      </c>
      <c r="D394" t="inlineStr">
        <is>
          <t>KALMAR LÄN</t>
        </is>
      </c>
      <c r="E394" t="inlineStr">
        <is>
          <t>VÄSTERVIK</t>
        </is>
      </c>
      <c r="G394" t="n">
        <v>3.6</v>
      </c>
      <c r="H394" t="n">
        <v>0</v>
      </c>
      <c r="I394" t="n">
        <v>0</v>
      </c>
      <c r="J394" t="n">
        <v>0</v>
      </c>
      <c r="K394" t="n">
        <v>0</v>
      </c>
      <c r="L394" t="n">
        <v>0</v>
      </c>
      <c r="M394" t="n">
        <v>0</v>
      </c>
      <c r="N394" t="n">
        <v>0</v>
      </c>
      <c r="O394" t="n">
        <v>0</v>
      </c>
      <c r="P394" t="n">
        <v>0</v>
      </c>
      <c r="Q394" t="n">
        <v>0</v>
      </c>
      <c r="R394" s="2" t="inlineStr"/>
    </row>
    <row r="395" ht="15" customHeight="1">
      <c r="A395" t="inlineStr">
        <is>
          <t>A 24683-2019</t>
        </is>
      </c>
      <c r="B395" s="1" t="n">
        <v>43601</v>
      </c>
      <c r="C395" s="1" t="n">
        <v>45799</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24944-2019</t>
        </is>
      </c>
      <c r="B396" s="1" t="n">
        <v>43602</v>
      </c>
      <c r="C396" s="1" t="n">
        <v>45799</v>
      </c>
      <c r="D396" t="inlineStr">
        <is>
          <t>KALMAR LÄN</t>
        </is>
      </c>
      <c r="E396" t="inlineStr">
        <is>
          <t>VÄSTERVIK</t>
        </is>
      </c>
      <c r="G396" t="n">
        <v>4.1</v>
      </c>
      <c r="H396" t="n">
        <v>0</v>
      </c>
      <c r="I396" t="n">
        <v>0</v>
      </c>
      <c r="J396" t="n">
        <v>0</v>
      </c>
      <c r="K396" t="n">
        <v>0</v>
      </c>
      <c r="L396" t="n">
        <v>0</v>
      </c>
      <c r="M396" t="n">
        <v>0</v>
      </c>
      <c r="N396" t="n">
        <v>0</v>
      </c>
      <c r="O396" t="n">
        <v>0</v>
      </c>
      <c r="P396" t="n">
        <v>0</v>
      </c>
      <c r="Q396" t="n">
        <v>0</v>
      </c>
      <c r="R396" s="2" t="inlineStr"/>
    </row>
    <row r="397" ht="15" customHeight="1">
      <c r="A397" t="inlineStr">
        <is>
          <t>A 26470-2019</t>
        </is>
      </c>
      <c r="B397" s="1" t="n">
        <v>43606</v>
      </c>
      <c r="C397" s="1" t="n">
        <v>45799</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26834-2019</t>
        </is>
      </c>
      <c r="B398" s="1" t="n">
        <v>43608</v>
      </c>
      <c r="C398" s="1" t="n">
        <v>45799</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26833-2019</t>
        </is>
      </c>
      <c r="B399" s="1" t="n">
        <v>43608</v>
      </c>
      <c r="C399" s="1" t="n">
        <v>45799</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26567-2019</t>
        </is>
      </c>
      <c r="B400" s="1" t="n">
        <v>43612</v>
      </c>
      <c r="C400" s="1" t="n">
        <v>45799</v>
      </c>
      <c r="D400" t="inlineStr">
        <is>
          <t>KALMAR LÄN</t>
        </is>
      </c>
      <c r="E400" t="inlineStr">
        <is>
          <t>VÄSTERVIK</t>
        </is>
      </c>
      <c r="G400" t="n">
        <v>1.9</v>
      </c>
      <c r="H400" t="n">
        <v>0</v>
      </c>
      <c r="I400" t="n">
        <v>0</v>
      </c>
      <c r="J400" t="n">
        <v>0</v>
      </c>
      <c r="K400" t="n">
        <v>0</v>
      </c>
      <c r="L400" t="n">
        <v>0</v>
      </c>
      <c r="M400" t="n">
        <v>0</v>
      </c>
      <c r="N400" t="n">
        <v>0</v>
      </c>
      <c r="O400" t="n">
        <v>0</v>
      </c>
      <c r="P400" t="n">
        <v>0</v>
      </c>
      <c r="Q400" t="n">
        <v>0</v>
      </c>
      <c r="R400" s="2" t="inlineStr"/>
    </row>
    <row r="401" ht="15" customHeight="1">
      <c r="A401" t="inlineStr">
        <is>
          <t>A 26590-2019</t>
        </is>
      </c>
      <c r="B401" s="1" t="n">
        <v>43612</v>
      </c>
      <c r="C401" s="1" t="n">
        <v>45799</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26585-2019</t>
        </is>
      </c>
      <c r="B402" s="1" t="n">
        <v>43612</v>
      </c>
      <c r="C402" s="1" t="n">
        <v>45799</v>
      </c>
      <c r="D402" t="inlineStr">
        <is>
          <t>KALMAR LÄN</t>
        </is>
      </c>
      <c r="E402" t="inlineStr">
        <is>
          <t>VÄSTERVIK</t>
        </is>
      </c>
      <c r="G402" t="n">
        <v>3</v>
      </c>
      <c r="H402" t="n">
        <v>0</v>
      </c>
      <c r="I402" t="n">
        <v>0</v>
      </c>
      <c r="J402" t="n">
        <v>0</v>
      </c>
      <c r="K402" t="n">
        <v>0</v>
      </c>
      <c r="L402" t="n">
        <v>0</v>
      </c>
      <c r="M402" t="n">
        <v>0</v>
      </c>
      <c r="N402" t="n">
        <v>0</v>
      </c>
      <c r="O402" t="n">
        <v>0</v>
      </c>
      <c r="P402" t="n">
        <v>0</v>
      </c>
      <c r="Q402" t="n">
        <v>0</v>
      </c>
      <c r="R402" s="2" t="inlineStr"/>
    </row>
    <row r="403" ht="15" customHeight="1">
      <c r="A403" t="inlineStr">
        <is>
          <t>A 26578-2019</t>
        </is>
      </c>
      <c r="B403" s="1" t="n">
        <v>43612</v>
      </c>
      <c r="C403" s="1" t="n">
        <v>45799</v>
      </c>
      <c r="D403" t="inlineStr">
        <is>
          <t>KALMAR LÄN</t>
        </is>
      </c>
      <c r="E403" t="inlineStr">
        <is>
          <t>VÄSTERVIK</t>
        </is>
      </c>
      <c r="G403" t="n">
        <v>0.7</v>
      </c>
      <c r="H403" t="n">
        <v>0</v>
      </c>
      <c r="I403" t="n">
        <v>0</v>
      </c>
      <c r="J403" t="n">
        <v>0</v>
      </c>
      <c r="K403" t="n">
        <v>0</v>
      </c>
      <c r="L403" t="n">
        <v>0</v>
      </c>
      <c r="M403" t="n">
        <v>0</v>
      </c>
      <c r="N403" t="n">
        <v>0</v>
      </c>
      <c r="O403" t="n">
        <v>0</v>
      </c>
      <c r="P403" t="n">
        <v>0</v>
      </c>
      <c r="Q403" t="n">
        <v>0</v>
      </c>
      <c r="R403" s="2" t="inlineStr"/>
    </row>
    <row r="404" ht="15" customHeight="1">
      <c r="A404" t="inlineStr">
        <is>
          <t>A 27206-2019</t>
        </is>
      </c>
      <c r="B404" s="1" t="n">
        <v>43614</v>
      </c>
      <c r="C404" s="1" t="n">
        <v>45799</v>
      </c>
      <c r="D404" t="inlineStr">
        <is>
          <t>KALMAR LÄN</t>
        </is>
      </c>
      <c r="E404" t="inlineStr">
        <is>
          <t>VÄSTERVIK</t>
        </is>
      </c>
      <c r="F404" t="inlineStr">
        <is>
          <t>Sveaskog</t>
        </is>
      </c>
      <c r="G404" t="n">
        <v>7.9</v>
      </c>
      <c r="H404" t="n">
        <v>0</v>
      </c>
      <c r="I404" t="n">
        <v>0</v>
      </c>
      <c r="J404" t="n">
        <v>0</v>
      </c>
      <c r="K404" t="n">
        <v>0</v>
      </c>
      <c r="L404" t="n">
        <v>0</v>
      </c>
      <c r="M404" t="n">
        <v>0</v>
      </c>
      <c r="N404" t="n">
        <v>0</v>
      </c>
      <c r="O404" t="n">
        <v>0</v>
      </c>
      <c r="P404" t="n">
        <v>0</v>
      </c>
      <c r="Q404" t="n">
        <v>0</v>
      </c>
      <c r="R404" s="2" t="inlineStr"/>
    </row>
    <row r="405" ht="15" customHeight="1">
      <c r="A405" t="inlineStr">
        <is>
          <t>A 28970-2019</t>
        </is>
      </c>
      <c r="B405" s="1" t="n">
        <v>43619</v>
      </c>
      <c r="C405" s="1" t="n">
        <v>45799</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27654-2019</t>
        </is>
      </c>
      <c r="B406" s="1" t="n">
        <v>43619</v>
      </c>
      <c r="C406" s="1" t="n">
        <v>45799</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28347-2019</t>
        </is>
      </c>
      <c r="B407" s="1" t="n">
        <v>43624</v>
      </c>
      <c r="C407" s="1" t="n">
        <v>45799</v>
      </c>
      <c r="D407" t="inlineStr">
        <is>
          <t>KALMAR LÄN</t>
        </is>
      </c>
      <c r="E407" t="inlineStr">
        <is>
          <t>VÄSTERVIK</t>
        </is>
      </c>
      <c r="G407" t="n">
        <v>5.1</v>
      </c>
      <c r="H407" t="n">
        <v>0</v>
      </c>
      <c r="I407" t="n">
        <v>0</v>
      </c>
      <c r="J407" t="n">
        <v>0</v>
      </c>
      <c r="K407" t="n">
        <v>0</v>
      </c>
      <c r="L407" t="n">
        <v>0</v>
      </c>
      <c r="M407" t="n">
        <v>0</v>
      </c>
      <c r="N407" t="n">
        <v>0</v>
      </c>
      <c r="O407" t="n">
        <v>0</v>
      </c>
      <c r="P407" t="n">
        <v>0</v>
      </c>
      <c r="Q407" t="n">
        <v>0</v>
      </c>
      <c r="R407" s="2" t="inlineStr"/>
    </row>
    <row r="408" ht="15" customHeight="1">
      <c r="A408" t="inlineStr">
        <is>
          <t>A 28594-2019</t>
        </is>
      </c>
      <c r="B408" s="1" t="n">
        <v>43626</v>
      </c>
      <c r="C408" s="1" t="n">
        <v>45799</v>
      </c>
      <c r="D408" t="inlineStr">
        <is>
          <t>KALMAR LÄN</t>
        </is>
      </c>
      <c r="E408" t="inlineStr">
        <is>
          <t>VÄSTERVIK</t>
        </is>
      </c>
      <c r="G408" t="n">
        <v>1.2</v>
      </c>
      <c r="H408" t="n">
        <v>0</v>
      </c>
      <c r="I408" t="n">
        <v>0</v>
      </c>
      <c r="J408" t="n">
        <v>0</v>
      </c>
      <c r="K408" t="n">
        <v>0</v>
      </c>
      <c r="L408" t="n">
        <v>0</v>
      </c>
      <c r="M408" t="n">
        <v>0</v>
      </c>
      <c r="N408" t="n">
        <v>0</v>
      </c>
      <c r="O408" t="n">
        <v>0</v>
      </c>
      <c r="P408" t="n">
        <v>0</v>
      </c>
      <c r="Q408" t="n">
        <v>0</v>
      </c>
      <c r="R408" s="2" t="inlineStr"/>
    </row>
    <row r="409" ht="15" customHeight="1">
      <c r="A409" t="inlineStr">
        <is>
          <t>A 28590-2019</t>
        </is>
      </c>
      <c r="B409" s="1" t="n">
        <v>43626</v>
      </c>
      <c r="C409" s="1" t="n">
        <v>45799</v>
      </c>
      <c r="D409" t="inlineStr">
        <is>
          <t>KALMAR LÄN</t>
        </is>
      </c>
      <c r="E409" t="inlineStr">
        <is>
          <t>VÄSTERVIK</t>
        </is>
      </c>
      <c r="G409" t="n">
        <v>2.9</v>
      </c>
      <c r="H409" t="n">
        <v>0</v>
      </c>
      <c r="I409" t="n">
        <v>0</v>
      </c>
      <c r="J409" t="n">
        <v>0</v>
      </c>
      <c r="K409" t="n">
        <v>0</v>
      </c>
      <c r="L409" t="n">
        <v>0</v>
      </c>
      <c r="M409" t="n">
        <v>0</v>
      </c>
      <c r="N409" t="n">
        <v>0</v>
      </c>
      <c r="O409" t="n">
        <v>0</v>
      </c>
      <c r="P409" t="n">
        <v>0</v>
      </c>
      <c r="Q409" t="n">
        <v>0</v>
      </c>
      <c r="R409" s="2" t="inlineStr"/>
    </row>
    <row r="410" ht="15" customHeight="1">
      <c r="A410" t="inlineStr">
        <is>
          <t>A 29519-2019</t>
        </is>
      </c>
      <c r="B410" s="1" t="n">
        <v>43627</v>
      </c>
      <c r="C410" s="1" t="n">
        <v>45799</v>
      </c>
      <c r="D410" t="inlineStr">
        <is>
          <t>KALMAR LÄN</t>
        </is>
      </c>
      <c r="E410" t="inlineStr">
        <is>
          <t>VÄSTERVIK</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30058-2019</t>
        </is>
      </c>
      <c r="B411" s="1" t="n">
        <v>43633</v>
      </c>
      <c r="C411" s="1" t="n">
        <v>45799</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30057-2019</t>
        </is>
      </c>
      <c r="B412" s="1" t="n">
        <v>43633</v>
      </c>
      <c r="C412" s="1" t="n">
        <v>45799</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29922-2019</t>
        </is>
      </c>
      <c r="B413" s="1" t="n">
        <v>43633</v>
      </c>
      <c r="C413" s="1" t="n">
        <v>45799</v>
      </c>
      <c r="D413" t="inlineStr">
        <is>
          <t>KALMAR LÄN</t>
        </is>
      </c>
      <c r="E413" t="inlineStr">
        <is>
          <t>VÄSTERVIK</t>
        </is>
      </c>
      <c r="G413" t="n">
        <v>3.8</v>
      </c>
      <c r="H413" t="n">
        <v>0</v>
      </c>
      <c r="I413" t="n">
        <v>0</v>
      </c>
      <c r="J413" t="n">
        <v>0</v>
      </c>
      <c r="K413" t="n">
        <v>0</v>
      </c>
      <c r="L413" t="n">
        <v>0</v>
      </c>
      <c r="M413" t="n">
        <v>0</v>
      </c>
      <c r="N413" t="n">
        <v>0</v>
      </c>
      <c r="O413" t="n">
        <v>0</v>
      </c>
      <c r="P413" t="n">
        <v>0</v>
      </c>
      <c r="Q413" t="n">
        <v>0</v>
      </c>
      <c r="R413" s="2" t="inlineStr"/>
    </row>
    <row r="414" ht="15" customHeight="1">
      <c r="A414" t="inlineStr">
        <is>
          <t>A 31072-2019</t>
        </is>
      </c>
      <c r="B414" s="1" t="n">
        <v>43640</v>
      </c>
      <c r="C414" s="1" t="n">
        <v>45799</v>
      </c>
      <c r="D414" t="inlineStr">
        <is>
          <t>KALMAR LÄN</t>
        </is>
      </c>
      <c r="E414" t="inlineStr">
        <is>
          <t>VÄSTERVIK</t>
        </is>
      </c>
      <c r="G414" t="n">
        <v>2.6</v>
      </c>
      <c r="H414" t="n">
        <v>0</v>
      </c>
      <c r="I414" t="n">
        <v>0</v>
      </c>
      <c r="J414" t="n">
        <v>0</v>
      </c>
      <c r="K414" t="n">
        <v>0</v>
      </c>
      <c r="L414" t="n">
        <v>0</v>
      </c>
      <c r="M414" t="n">
        <v>0</v>
      </c>
      <c r="N414" t="n">
        <v>0</v>
      </c>
      <c r="O414" t="n">
        <v>0</v>
      </c>
      <c r="P414" t="n">
        <v>0</v>
      </c>
      <c r="Q414" t="n">
        <v>0</v>
      </c>
      <c r="R414" s="2" t="inlineStr"/>
    </row>
    <row r="415" ht="15" customHeight="1">
      <c r="A415" t="inlineStr">
        <is>
          <t>A 32045-2019</t>
        </is>
      </c>
      <c r="B415" s="1" t="n">
        <v>43643</v>
      </c>
      <c r="C415" s="1" t="n">
        <v>45799</v>
      </c>
      <c r="D415" t="inlineStr">
        <is>
          <t>KALMAR LÄN</t>
        </is>
      </c>
      <c r="E415" t="inlineStr">
        <is>
          <t>VÄSTERVIK</t>
        </is>
      </c>
      <c r="G415" t="n">
        <v>6.5</v>
      </c>
      <c r="H415" t="n">
        <v>0</v>
      </c>
      <c r="I415" t="n">
        <v>0</v>
      </c>
      <c r="J415" t="n">
        <v>0</v>
      </c>
      <c r="K415" t="n">
        <v>0</v>
      </c>
      <c r="L415" t="n">
        <v>0</v>
      </c>
      <c r="M415" t="n">
        <v>0</v>
      </c>
      <c r="N415" t="n">
        <v>0</v>
      </c>
      <c r="O415" t="n">
        <v>0</v>
      </c>
      <c r="P415" t="n">
        <v>0</v>
      </c>
      <c r="Q415" t="n">
        <v>0</v>
      </c>
      <c r="R415" s="2" t="inlineStr"/>
    </row>
    <row r="416" ht="15" customHeight="1">
      <c r="A416" t="inlineStr">
        <is>
          <t>A 32052-2019</t>
        </is>
      </c>
      <c r="B416" s="1" t="n">
        <v>43643</v>
      </c>
      <c r="C416" s="1" t="n">
        <v>45799</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32048-2019</t>
        </is>
      </c>
      <c r="B417" s="1" t="n">
        <v>43643</v>
      </c>
      <c r="C417" s="1" t="n">
        <v>45799</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32522-2019</t>
        </is>
      </c>
      <c r="B418" s="1" t="n">
        <v>43646</v>
      </c>
      <c r="C418" s="1" t="n">
        <v>45799</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32521-2019</t>
        </is>
      </c>
      <c r="B419" s="1" t="n">
        <v>43646</v>
      </c>
      <c r="C419" s="1" t="n">
        <v>45799</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32524-2019</t>
        </is>
      </c>
      <c r="B420" s="1" t="n">
        <v>43646</v>
      </c>
      <c r="C420" s="1" t="n">
        <v>45799</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32523-2019</t>
        </is>
      </c>
      <c r="B421" s="1" t="n">
        <v>43646</v>
      </c>
      <c r="C421" s="1" t="n">
        <v>45799</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33752-2019</t>
        </is>
      </c>
      <c r="B422" s="1" t="n">
        <v>43651</v>
      </c>
      <c r="C422" s="1" t="n">
        <v>45799</v>
      </c>
      <c r="D422" t="inlineStr">
        <is>
          <t>KALMAR LÄN</t>
        </is>
      </c>
      <c r="E422" t="inlineStr">
        <is>
          <t>VÄSTERVIK</t>
        </is>
      </c>
      <c r="G422" t="n">
        <v>3.1</v>
      </c>
      <c r="H422" t="n">
        <v>0</v>
      </c>
      <c r="I422" t="n">
        <v>0</v>
      </c>
      <c r="J422" t="n">
        <v>0</v>
      </c>
      <c r="K422" t="n">
        <v>0</v>
      </c>
      <c r="L422" t="n">
        <v>0</v>
      </c>
      <c r="M422" t="n">
        <v>0</v>
      </c>
      <c r="N422" t="n">
        <v>0</v>
      </c>
      <c r="O422" t="n">
        <v>0</v>
      </c>
      <c r="P422" t="n">
        <v>0</v>
      </c>
      <c r="Q422" t="n">
        <v>0</v>
      </c>
      <c r="R422" s="2" t="inlineStr"/>
    </row>
    <row r="423" ht="15" customHeight="1">
      <c r="A423" t="inlineStr">
        <is>
          <t>A 33738-2019</t>
        </is>
      </c>
      <c r="B423" s="1" t="n">
        <v>43651</v>
      </c>
      <c r="C423" s="1" t="n">
        <v>45799</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33741-2019</t>
        </is>
      </c>
      <c r="B424" s="1" t="n">
        <v>43651</v>
      </c>
      <c r="C424" s="1" t="n">
        <v>45799</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35283-2019</t>
        </is>
      </c>
      <c r="B425" s="1" t="n">
        <v>43656</v>
      </c>
      <c r="C425" s="1" t="n">
        <v>45799</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35284-2019</t>
        </is>
      </c>
      <c r="B426" s="1" t="n">
        <v>43656</v>
      </c>
      <c r="C426" s="1" t="n">
        <v>45799</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35285-2019</t>
        </is>
      </c>
      <c r="B427" s="1" t="n">
        <v>43656</v>
      </c>
      <c r="C427" s="1" t="n">
        <v>45799</v>
      </c>
      <c r="D427" t="inlineStr">
        <is>
          <t>KALMAR LÄN</t>
        </is>
      </c>
      <c r="E427" t="inlineStr">
        <is>
          <t>VÄSTERVIK</t>
        </is>
      </c>
      <c r="G427" t="n">
        <v>5.7</v>
      </c>
      <c r="H427" t="n">
        <v>0</v>
      </c>
      <c r="I427" t="n">
        <v>0</v>
      </c>
      <c r="J427" t="n">
        <v>0</v>
      </c>
      <c r="K427" t="n">
        <v>0</v>
      </c>
      <c r="L427" t="n">
        <v>0</v>
      </c>
      <c r="M427" t="n">
        <v>0</v>
      </c>
      <c r="N427" t="n">
        <v>0</v>
      </c>
      <c r="O427" t="n">
        <v>0</v>
      </c>
      <c r="P427" t="n">
        <v>0</v>
      </c>
      <c r="Q427" t="n">
        <v>0</v>
      </c>
      <c r="R427" s="2" t="inlineStr"/>
    </row>
    <row r="428" ht="15" customHeight="1">
      <c r="A428" t="inlineStr">
        <is>
          <t>A 37615-2019</t>
        </is>
      </c>
      <c r="B428" s="1" t="n">
        <v>43681</v>
      </c>
      <c r="C428" s="1" t="n">
        <v>45799</v>
      </c>
      <c r="D428" t="inlineStr">
        <is>
          <t>KALMAR LÄN</t>
        </is>
      </c>
      <c r="E428" t="inlineStr">
        <is>
          <t>VÄSTERVIK</t>
        </is>
      </c>
      <c r="G428" t="n">
        <v>3.9</v>
      </c>
      <c r="H428" t="n">
        <v>0</v>
      </c>
      <c r="I428" t="n">
        <v>0</v>
      </c>
      <c r="J428" t="n">
        <v>0</v>
      </c>
      <c r="K428" t="n">
        <v>0</v>
      </c>
      <c r="L428" t="n">
        <v>0</v>
      </c>
      <c r="M428" t="n">
        <v>0</v>
      </c>
      <c r="N428" t="n">
        <v>0</v>
      </c>
      <c r="O428" t="n">
        <v>0</v>
      </c>
      <c r="P428" t="n">
        <v>0</v>
      </c>
      <c r="Q428" t="n">
        <v>0</v>
      </c>
      <c r="R428" s="2" t="inlineStr"/>
    </row>
    <row r="429" ht="15" customHeight="1">
      <c r="A429" t="inlineStr">
        <is>
          <t>A 37983-2019</t>
        </is>
      </c>
      <c r="B429" s="1" t="n">
        <v>43683</v>
      </c>
      <c r="C429" s="1" t="n">
        <v>45799</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37920-2019</t>
        </is>
      </c>
      <c r="B430" s="1" t="n">
        <v>43683</v>
      </c>
      <c r="C430" s="1" t="n">
        <v>45799</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38229-2019</t>
        </is>
      </c>
      <c r="B431" s="1" t="n">
        <v>43684</v>
      </c>
      <c r="C431" s="1" t="n">
        <v>45799</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38239-2019</t>
        </is>
      </c>
      <c r="B432" s="1" t="n">
        <v>43684</v>
      </c>
      <c r="C432" s="1" t="n">
        <v>45799</v>
      </c>
      <c r="D432" t="inlineStr">
        <is>
          <t>KALMAR LÄN</t>
        </is>
      </c>
      <c r="E432" t="inlineStr">
        <is>
          <t>VÄSTERVIK</t>
        </is>
      </c>
      <c r="G432" t="n">
        <v>1.4</v>
      </c>
      <c r="H432" t="n">
        <v>0</v>
      </c>
      <c r="I432" t="n">
        <v>0</v>
      </c>
      <c r="J432" t="n">
        <v>0</v>
      </c>
      <c r="K432" t="n">
        <v>0</v>
      </c>
      <c r="L432" t="n">
        <v>0</v>
      </c>
      <c r="M432" t="n">
        <v>0</v>
      </c>
      <c r="N432" t="n">
        <v>0</v>
      </c>
      <c r="O432" t="n">
        <v>0</v>
      </c>
      <c r="P432" t="n">
        <v>0</v>
      </c>
      <c r="Q432" t="n">
        <v>0</v>
      </c>
      <c r="R432" s="2" t="inlineStr"/>
    </row>
    <row r="433" ht="15" customHeight="1">
      <c r="A433" t="inlineStr">
        <is>
          <t>A 38904-2019</t>
        </is>
      </c>
      <c r="B433" s="1" t="n">
        <v>43689</v>
      </c>
      <c r="C433" s="1" t="n">
        <v>45799</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39696-2019</t>
        </is>
      </c>
      <c r="B434" s="1" t="n">
        <v>43691</v>
      </c>
      <c r="C434" s="1" t="n">
        <v>45799</v>
      </c>
      <c r="D434" t="inlineStr">
        <is>
          <t>KALMAR LÄN</t>
        </is>
      </c>
      <c r="E434" t="inlineStr">
        <is>
          <t>VÄSTERVIK</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39745-2019</t>
        </is>
      </c>
      <c r="B435" s="1" t="n">
        <v>43691</v>
      </c>
      <c r="C435" s="1" t="n">
        <v>45799</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41961-2019</t>
        </is>
      </c>
      <c r="B436" s="1" t="n">
        <v>43698</v>
      </c>
      <c r="C436" s="1" t="n">
        <v>45799</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41728-2019</t>
        </is>
      </c>
      <c r="B437" s="1" t="n">
        <v>43699</v>
      </c>
      <c r="C437" s="1" t="n">
        <v>45799</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44467-2019</t>
        </is>
      </c>
      <c r="B438" s="1" t="n">
        <v>43711</v>
      </c>
      <c r="C438" s="1" t="n">
        <v>45799</v>
      </c>
      <c r="D438" t="inlineStr">
        <is>
          <t>KALMAR LÄN</t>
        </is>
      </c>
      <c r="E438" t="inlineStr">
        <is>
          <t>VÄSTERVIK</t>
        </is>
      </c>
      <c r="G438" t="n">
        <v>2.5</v>
      </c>
      <c r="H438" t="n">
        <v>0</v>
      </c>
      <c r="I438" t="n">
        <v>0</v>
      </c>
      <c r="J438" t="n">
        <v>0</v>
      </c>
      <c r="K438" t="n">
        <v>0</v>
      </c>
      <c r="L438" t="n">
        <v>0</v>
      </c>
      <c r="M438" t="n">
        <v>0</v>
      </c>
      <c r="N438" t="n">
        <v>0</v>
      </c>
      <c r="O438" t="n">
        <v>0</v>
      </c>
      <c r="P438" t="n">
        <v>0</v>
      </c>
      <c r="Q438" t="n">
        <v>0</v>
      </c>
      <c r="R438" s="2" t="inlineStr"/>
    </row>
    <row r="439" ht="15" customHeight="1">
      <c r="A439" t="inlineStr">
        <is>
          <t>A 44639-2019</t>
        </is>
      </c>
      <c r="B439" s="1" t="n">
        <v>43712</v>
      </c>
      <c r="C439" s="1" t="n">
        <v>45799</v>
      </c>
      <c r="D439" t="inlineStr">
        <is>
          <t>KALMAR LÄN</t>
        </is>
      </c>
      <c r="E439" t="inlineStr">
        <is>
          <t>VÄSTERVIK</t>
        </is>
      </c>
      <c r="F439" t="inlineStr">
        <is>
          <t>Övriga Aktiebolag</t>
        </is>
      </c>
      <c r="G439" t="n">
        <v>5.9</v>
      </c>
      <c r="H439" t="n">
        <v>0</v>
      </c>
      <c r="I439" t="n">
        <v>0</v>
      </c>
      <c r="J439" t="n">
        <v>0</v>
      </c>
      <c r="K439" t="n">
        <v>0</v>
      </c>
      <c r="L439" t="n">
        <v>0</v>
      </c>
      <c r="M439" t="n">
        <v>0</v>
      </c>
      <c r="N439" t="n">
        <v>0</v>
      </c>
      <c r="O439" t="n">
        <v>0</v>
      </c>
      <c r="P439" t="n">
        <v>0</v>
      </c>
      <c r="Q439" t="n">
        <v>0</v>
      </c>
      <c r="R439" s="2" t="inlineStr"/>
    </row>
    <row r="440" ht="15" customHeight="1">
      <c r="A440" t="inlineStr">
        <is>
          <t>A 46173-2019</t>
        </is>
      </c>
      <c r="B440" s="1" t="n">
        <v>43712</v>
      </c>
      <c r="C440" s="1" t="n">
        <v>45799</v>
      </c>
      <c r="D440" t="inlineStr">
        <is>
          <t>KALMAR LÄN</t>
        </is>
      </c>
      <c r="E440" t="inlineStr">
        <is>
          <t>VÄSTERVIK</t>
        </is>
      </c>
      <c r="G440" t="n">
        <v>4.2</v>
      </c>
      <c r="H440" t="n">
        <v>0</v>
      </c>
      <c r="I440" t="n">
        <v>0</v>
      </c>
      <c r="J440" t="n">
        <v>0</v>
      </c>
      <c r="K440" t="n">
        <v>0</v>
      </c>
      <c r="L440" t="n">
        <v>0</v>
      </c>
      <c r="M440" t="n">
        <v>0</v>
      </c>
      <c r="N440" t="n">
        <v>0</v>
      </c>
      <c r="O440" t="n">
        <v>0</v>
      </c>
      <c r="P440" t="n">
        <v>0</v>
      </c>
      <c r="Q440" t="n">
        <v>0</v>
      </c>
      <c r="R440" s="2" t="inlineStr"/>
    </row>
    <row r="441" ht="15" customHeight="1">
      <c r="A441" t="inlineStr">
        <is>
          <t>A 45162-2019</t>
        </is>
      </c>
      <c r="B441" s="1" t="n">
        <v>43713</v>
      </c>
      <c r="C441" s="1" t="n">
        <v>45799</v>
      </c>
      <c r="D441" t="inlineStr">
        <is>
          <t>KALMAR LÄN</t>
        </is>
      </c>
      <c r="E441" t="inlineStr">
        <is>
          <t>VÄSTERVIK</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45379-2019</t>
        </is>
      </c>
      <c r="B442" s="1" t="n">
        <v>43713</v>
      </c>
      <c r="C442" s="1" t="n">
        <v>45799</v>
      </c>
      <c r="D442" t="inlineStr">
        <is>
          <t>KALMAR LÄN</t>
        </is>
      </c>
      <c r="E442" t="inlineStr">
        <is>
          <t>VÄSTERVIK</t>
        </is>
      </c>
      <c r="G442" t="n">
        <v>6.3</v>
      </c>
      <c r="H442" t="n">
        <v>0</v>
      </c>
      <c r="I442" t="n">
        <v>0</v>
      </c>
      <c r="J442" t="n">
        <v>0</v>
      </c>
      <c r="K442" t="n">
        <v>0</v>
      </c>
      <c r="L442" t="n">
        <v>0</v>
      </c>
      <c r="M442" t="n">
        <v>0</v>
      </c>
      <c r="N442" t="n">
        <v>0</v>
      </c>
      <c r="O442" t="n">
        <v>0</v>
      </c>
      <c r="P442" t="n">
        <v>0</v>
      </c>
      <c r="Q442" t="n">
        <v>0</v>
      </c>
      <c r="R442" s="2" t="inlineStr"/>
    </row>
    <row r="443" ht="15" customHeight="1">
      <c r="A443" t="inlineStr">
        <is>
          <t>A 45386-2019</t>
        </is>
      </c>
      <c r="B443" s="1" t="n">
        <v>43713</v>
      </c>
      <c r="C443" s="1" t="n">
        <v>45799</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45757-2019</t>
        </is>
      </c>
      <c r="B444" s="1" t="n">
        <v>43717</v>
      </c>
      <c r="C444" s="1" t="n">
        <v>45799</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45772-2019</t>
        </is>
      </c>
      <c r="B445" s="1" t="n">
        <v>43717</v>
      </c>
      <c r="C445" s="1" t="n">
        <v>45799</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45897-2019</t>
        </is>
      </c>
      <c r="B446" s="1" t="n">
        <v>43717</v>
      </c>
      <c r="C446" s="1" t="n">
        <v>45799</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46333-2019</t>
        </is>
      </c>
      <c r="B447" s="1" t="n">
        <v>43718</v>
      </c>
      <c r="C447" s="1" t="n">
        <v>45799</v>
      </c>
      <c r="D447" t="inlineStr">
        <is>
          <t>KALMAR LÄN</t>
        </is>
      </c>
      <c r="E447" t="inlineStr">
        <is>
          <t>VÄSTERVIK</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46942-2019</t>
        </is>
      </c>
      <c r="B448" s="1" t="n">
        <v>43719</v>
      </c>
      <c r="C448" s="1" t="n">
        <v>45799</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47434-2019</t>
        </is>
      </c>
      <c r="B449" s="1" t="n">
        <v>43723</v>
      </c>
      <c r="C449" s="1" t="n">
        <v>45799</v>
      </c>
      <c r="D449" t="inlineStr">
        <is>
          <t>KALMAR LÄN</t>
        </is>
      </c>
      <c r="E449" t="inlineStr">
        <is>
          <t>VÄSTERVIK</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47435-2019</t>
        </is>
      </c>
      <c r="B450" s="1" t="n">
        <v>43723</v>
      </c>
      <c r="C450" s="1" t="n">
        <v>45799</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47438-2019</t>
        </is>
      </c>
      <c r="B451" s="1" t="n">
        <v>43723</v>
      </c>
      <c r="C451" s="1" t="n">
        <v>45799</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47956-2019</t>
        </is>
      </c>
      <c r="B452" s="1" t="n">
        <v>43725</v>
      </c>
      <c r="C452" s="1" t="n">
        <v>45799</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47954-2019</t>
        </is>
      </c>
      <c r="B453" s="1" t="n">
        <v>43725</v>
      </c>
      <c r="C453" s="1" t="n">
        <v>45799</v>
      </c>
      <c r="D453" t="inlineStr">
        <is>
          <t>KALMAR LÄN</t>
        </is>
      </c>
      <c r="E453" t="inlineStr">
        <is>
          <t>VÄSTERVIK</t>
        </is>
      </c>
      <c r="G453" t="n">
        <v>6.8</v>
      </c>
      <c r="H453" t="n">
        <v>0</v>
      </c>
      <c r="I453" t="n">
        <v>0</v>
      </c>
      <c r="J453" t="n">
        <v>0</v>
      </c>
      <c r="K453" t="n">
        <v>0</v>
      </c>
      <c r="L453" t="n">
        <v>0</v>
      </c>
      <c r="M453" t="n">
        <v>0</v>
      </c>
      <c r="N453" t="n">
        <v>0</v>
      </c>
      <c r="O453" t="n">
        <v>0</v>
      </c>
      <c r="P453" t="n">
        <v>0</v>
      </c>
      <c r="Q453" t="n">
        <v>0</v>
      </c>
      <c r="R453" s="2" t="inlineStr"/>
    </row>
    <row r="454" ht="15" customHeight="1">
      <c r="A454" t="inlineStr">
        <is>
          <t>A 48357-2019</t>
        </is>
      </c>
      <c r="B454" s="1" t="n">
        <v>43726</v>
      </c>
      <c r="C454" s="1" t="n">
        <v>45799</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48982-2019</t>
        </is>
      </c>
      <c r="B455" s="1" t="n">
        <v>43729</v>
      </c>
      <c r="C455" s="1" t="n">
        <v>45799</v>
      </c>
      <c r="D455" t="inlineStr">
        <is>
          <t>KALMAR LÄN</t>
        </is>
      </c>
      <c r="E455" t="inlineStr">
        <is>
          <t>VÄSTERVIK</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48981-2019</t>
        </is>
      </c>
      <c r="B456" s="1" t="n">
        <v>43729</v>
      </c>
      <c r="C456" s="1" t="n">
        <v>45799</v>
      </c>
      <c r="D456" t="inlineStr">
        <is>
          <t>KALMAR LÄN</t>
        </is>
      </c>
      <c r="E456" t="inlineStr">
        <is>
          <t>VÄSTERVIK</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48983-2019</t>
        </is>
      </c>
      <c r="B457" s="1" t="n">
        <v>43729</v>
      </c>
      <c r="C457" s="1" t="n">
        <v>45799</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50461-2019</t>
        </is>
      </c>
      <c r="B458" s="1" t="n">
        <v>43735</v>
      </c>
      <c r="C458" s="1" t="n">
        <v>45799</v>
      </c>
      <c r="D458" t="inlineStr">
        <is>
          <t>KALMAR LÄN</t>
        </is>
      </c>
      <c r="E458" t="inlineStr">
        <is>
          <t>VÄSTERVIK</t>
        </is>
      </c>
      <c r="G458" t="n">
        <v>5.1</v>
      </c>
      <c r="H458" t="n">
        <v>0</v>
      </c>
      <c r="I458" t="n">
        <v>0</v>
      </c>
      <c r="J458" t="n">
        <v>0</v>
      </c>
      <c r="K458" t="n">
        <v>0</v>
      </c>
      <c r="L458" t="n">
        <v>0</v>
      </c>
      <c r="M458" t="n">
        <v>0</v>
      </c>
      <c r="N458" t="n">
        <v>0</v>
      </c>
      <c r="O458" t="n">
        <v>0</v>
      </c>
      <c r="P458" t="n">
        <v>0</v>
      </c>
      <c r="Q458" t="n">
        <v>0</v>
      </c>
      <c r="R458" s="2" t="inlineStr"/>
    </row>
    <row r="459" ht="15" customHeight="1">
      <c r="A459" t="inlineStr">
        <is>
          <t>A 50627-2019</t>
        </is>
      </c>
      <c r="B459" s="1" t="n">
        <v>43736</v>
      </c>
      <c r="C459" s="1" t="n">
        <v>45799</v>
      </c>
      <c r="D459" t="inlineStr">
        <is>
          <t>KALMAR LÄN</t>
        </is>
      </c>
      <c r="E459" t="inlineStr">
        <is>
          <t>VÄSTERVIK</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50626-2019</t>
        </is>
      </c>
      <c r="B460" s="1" t="n">
        <v>43736</v>
      </c>
      <c r="C460" s="1" t="n">
        <v>45799</v>
      </c>
      <c r="D460" t="inlineStr">
        <is>
          <t>KALMAR LÄN</t>
        </is>
      </c>
      <c r="E460" t="inlineStr">
        <is>
          <t>VÄSTERVIK</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51408-2019</t>
        </is>
      </c>
      <c r="B461" s="1" t="n">
        <v>43740</v>
      </c>
      <c r="C461" s="1" t="n">
        <v>45799</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52292-2019</t>
        </is>
      </c>
      <c r="B462" s="1" t="n">
        <v>43744</v>
      </c>
      <c r="C462" s="1" t="n">
        <v>45799</v>
      </c>
      <c r="D462" t="inlineStr">
        <is>
          <t>KALMAR LÄN</t>
        </is>
      </c>
      <c r="E462" t="inlineStr">
        <is>
          <t>VÄSTERVIK</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52527-2019</t>
        </is>
      </c>
      <c r="B463" s="1" t="n">
        <v>43745</v>
      </c>
      <c r="C463" s="1" t="n">
        <v>45799</v>
      </c>
      <c r="D463" t="inlineStr">
        <is>
          <t>KALMAR LÄN</t>
        </is>
      </c>
      <c r="E463" t="inlineStr">
        <is>
          <t>VÄSTERVIK</t>
        </is>
      </c>
      <c r="G463" t="n">
        <v>0.3</v>
      </c>
      <c r="H463" t="n">
        <v>0</v>
      </c>
      <c r="I463" t="n">
        <v>0</v>
      </c>
      <c r="J463" t="n">
        <v>0</v>
      </c>
      <c r="K463" t="n">
        <v>0</v>
      </c>
      <c r="L463" t="n">
        <v>0</v>
      </c>
      <c r="M463" t="n">
        <v>0</v>
      </c>
      <c r="N463" t="n">
        <v>0</v>
      </c>
      <c r="O463" t="n">
        <v>0</v>
      </c>
      <c r="P463" t="n">
        <v>0</v>
      </c>
      <c r="Q463" t="n">
        <v>0</v>
      </c>
      <c r="R463" s="2" t="inlineStr"/>
    </row>
    <row r="464" ht="15" customHeight="1">
      <c r="A464" t="inlineStr">
        <is>
          <t>A 53714-2019</t>
        </is>
      </c>
      <c r="B464" s="1" t="n">
        <v>43749</v>
      </c>
      <c r="C464" s="1" t="n">
        <v>45799</v>
      </c>
      <c r="D464" t="inlineStr">
        <is>
          <t>KALMAR LÄN</t>
        </is>
      </c>
      <c r="E464" t="inlineStr">
        <is>
          <t>VÄSTERVIK</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53546-2019</t>
        </is>
      </c>
      <c r="B465" s="1" t="n">
        <v>43749</v>
      </c>
      <c r="C465" s="1" t="n">
        <v>45799</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54591-2019</t>
        </is>
      </c>
      <c r="B466" s="1" t="n">
        <v>43754</v>
      </c>
      <c r="C466" s="1" t="n">
        <v>45799</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54597-2019</t>
        </is>
      </c>
      <c r="B467" s="1" t="n">
        <v>43754</v>
      </c>
      <c r="C467" s="1" t="n">
        <v>45799</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57650-2019</t>
        </is>
      </c>
      <c r="B468" s="1" t="n">
        <v>43761</v>
      </c>
      <c r="C468" s="1" t="n">
        <v>45799</v>
      </c>
      <c r="D468" t="inlineStr">
        <is>
          <t>KALMAR LÄN</t>
        </is>
      </c>
      <c r="E468" t="inlineStr">
        <is>
          <t>VÄSTERVIK</t>
        </is>
      </c>
      <c r="G468" t="n">
        <v>1.3</v>
      </c>
      <c r="H468" t="n">
        <v>0</v>
      </c>
      <c r="I468" t="n">
        <v>0</v>
      </c>
      <c r="J468" t="n">
        <v>0</v>
      </c>
      <c r="K468" t="n">
        <v>0</v>
      </c>
      <c r="L468" t="n">
        <v>0</v>
      </c>
      <c r="M468" t="n">
        <v>0</v>
      </c>
      <c r="N468" t="n">
        <v>0</v>
      </c>
      <c r="O468" t="n">
        <v>0</v>
      </c>
      <c r="P468" t="n">
        <v>0</v>
      </c>
      <c r="Q468" t="n">
        <v>0</v>
      </c>
      <c r="R468" s="2" t="inlineStr"/>
    </row>
    <row r="469" ht="15" customHeight="1">
      <c r="A469" t="inlineStr">
        <is>
          <t>A 57654-2019</t>
        </is>
      </c>
      <c r="B469" s="1" t="n">
        <v>43761</v>
      </c>
      <c r="C469" s="1" t="n">
        <v>45799</v>
      </c>
      <c r="D469" t="inlineStr">
        <is>
          <t>KALMAR LÄN</t>
        </is>
      </c>
      <c r="E469" t="inlineStr">
        <is>
          <t>VÄSTERVIK</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56580-2019</t>
        </is>
      </c>
      <c r="B470" s="1" t="n">
        <v>43763</v>
      </c>
      <c r="C470" s="1" t="n">
        <v>45799</v>
      </c>
      <c r="D470" t="inlineStr">
        <is>
          <t>KALMAR LÄN</t>
        </is>
      </c>
      <c r="E470" t="inlineStr">
        <is>
          <t>VÄSTERVIK</t>
        </is>
      </c>
      <c r="F470" t="inlineStr">
        <is>
          <t>Övriga Aktiebolag</t>
        </is>
      </c>
      <c r="G470" t="n">
        <v>2.4</v>
      </c>
      <c r="H470" t="n">
        <v>0</v>
      </c>
      <c r="I470" t="n">
        <v>0</v>
      </c>
      <c r="J470" t="n">
        <v>0</v>
      </c>
      <c r="K470" t="n">
        <v>0</v>
      </c>
      <c r="L470" t="n">
        <v>0</v>
      </c>
      <c r="M470" t="n">
        <v>0</v>
      </c>
      <c r="N470" t="n">
        <v>0</v>
      </c>
      <c r="O470" t="n">
        <v>0</v>
      </c>
      <c r="P470" t="n">
        <v>0</v>
      </c>
      <c r="Q470" t="n">
        <v>0</v>
      </c>
      <c r="R470" s="2" t="inlineStr"/>
    </row>
    <row r="471" ht="15" customHeight="1">
      <c r="A471" t="inlineStr">
        <is>
          <t>A 57770-2019</t>
        </is>
      </c>
      <c r="B471" s="1" t="n">
        <v>43768</v>
      </c>
      <c r="C471" s="1" t="n">
        <v>45799</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58323-2019</t>
        </is>
      </c>
      <c r="B472" s="1" t="n">
        <v>43770</v>
      </c>
      <c r="C472" s="1" t="n">
        <v>45799</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58386-2019</t>
        </is>
      </c>
      <c r="B473" s="1" t="n">
        <v>43772</v>
      </c>
      <c r="C473" s="1" t="n">
        <v>45799</v>
      </c>
      <c r="D473" t="inlineStr">
        <is>
          <t>KALMAR LÄN</t>
        </is>
      </c>
      <c r="E473" t="inlineStr">
        <is>
          <t>VÄSTERVIK</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58658-2019</t>
        </is>
      </c>
      <c r="B474" s="1" t="n">
        <v>43773</v>
      </c>
      <c r="C474" s="1" t="n">
        <v>45799</v>
      </c>
      <c r="D474" t="inlineStr">
        <is>
          <t>KALMAR LÄN</t>
        </is>
      </c>
      <c r="E474" t="inlineStr">
        <is>
          <t>VÄSTERVIK</t>
        </is>
      </c>
      <c r="F474" t="inlineStr">
        <is>
          <t>Kyrkan</t>
        </is>
      </c>
      <c r="G474" t="n">
        <v>2.9</v>
      </c>
      <c r="H474" t="n">
        <v>0</v>
      </c>
      <c r="I474" t="n">
        <v>0</v>
      </c>
      <c r="J474" t="n">
        <v>0</v>
      </c>
      <c r="K474" t="n">
        <v>0</v>
      </c>
      <c r="L474" t="n">
        <v>0</v>
      </c>
      <c r="M474" t="n">
        <v>0</v>
      </c>
      <c r="N474" t="n">
        <v>0</v>
      </c>
      <c r="O474" t="n">
        <v>0</v>
      </c>
      <c r="P474" t="n">
        <v>0</v>
      </c>
      <c r="Q474" t="n">
        <v>0</v>
      </c>
      <c r="R474" s="2" t="inlineStr"/>
    </row>
    <row r="475" ht="15" customHeight="1">
      <c r="A475" t="inlineStr">
        <is>
          <t>A 59753-2019</t>
        </is>
      </c>
      <c r="B475" s="1" t="n">
        <v>43776</v>
      </c>
      <c r="C475" s="1" t="n">
        <v>45799</v>
      </c>
      <c r="D475" t="inlineStr">
        <is>
          <t>KALMAR LÄN</t>
        </is>
      </c>
      <c r="E475" t="inlineStr">
        <is>
          <t>VÄSTERVIK</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59898-2019</t>
        </is>
      </c>
      <c r="B476" s="1" t="n">
        <v>43777</v>
      </c>
      <c r="C476" s="1" t="n">
        <v>45799</v>
      </c>
      <c r="D476" t="inlineStr">
        <is>
          <t>KALMAR LÄN</t>
        </is>
      </c>
      <c r="E476" t="inlineStr">
        <is>
          <t>VÄSTERVIK</t>
        </is>
      </c>
      <c r="G476" t="n">
        <v>3.6</v>
      </c>
      <c r="H476" t="n">
        <v>0</v>
      </c>
      <c r="I476" t="n">
        <v>0</v>
      </c>
      <c r="J476" t="n">
        <v>0</v>
      </c>
      <c r="K476" t="n">
        <v>0</v>
      </c>
      <c r="L476" t="n">
        <v>0</v>
      </c>
      <c r="M476" t="n">
        <v>0</v>
      </c>
      <c r="N476" t="n">
        <v>0</v>
      </c>
      <c r="O476" t="n">
        <v>0</v>
      </c>
      <c r="P476" t="n">
        <v>0</v>
      </c>
      <c r="Q476" t="n">
        <v>0</v>
      </c>
      <c r="R476" s="2" t="inlineStr"/>
    </row>
    <row r="477" ht="15" customHeight="1">
      <c r="A477" t="inlineStr">
        <is>
          <t>A 59892-2019</t>
        </is>
      </c>
      <c r="B477" s="1" t="n">
        <v>43777</v>
      </c>
      <c r="C477" s="1" t="n">
        <v>45799</v>
      </c>
      <c r="D477" t="inlineStr">
        <is>
          <t>KALMAR LÄN</t>
        </is>
      </c>
      <c r="E477" t="inlineStr">
        <is>
          <t>VÄSTERVIK</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59937-2019</t>
        </is>
      </c>
      <c r="B478" s="1" t="n">
        <v>43777</v>
      </c>
      <c r="C478" s="1" t="n">
        <v>45799</v>
      </c>
      <c r="D478" t="inlineStr">
        <is>
          <t>KALMAR LÄN</t>
        </is>
      </c>
      <c r="E478" t="inlineStr">
        <is>
          <t>VÄSTERVIK</t>
        </is>
      </c>
      <c r="G478" t="n">
        <v>4.8</v>
      </c>
      <c r="H478" t="n">
        <v>0</v>
      </c>
      <c r="I478" t="n">
        <v>0</v>
      </c>
      <c r="J478" t="n">
        <v>0</v>
      </c>
      <c r="K478" t="n">
        <v>0</v>
      </c>
      <c r="L478" t="n">
        <v>0</v>
      </c>
      <c r="M478" t="n">
        <v>0</v>
      </c>
      <c r="N478" t="n">
        <v>0</v>
      </c>
      <c r="O478" t="n">
        <v>0</v>
      </c>
      <c r="P478" t="n">
        <v>0</v>
      </c>
      <c r="Q478" t="n">
        <v>0</v>
      </c>
      <c r="R478" s="2" t="inlineStr"/>
    </row>
    <row r="479" ht="15" customHeight="1">
      <c r="A479" t="inlineStr">
        <is>
          <t>A 60707-2019</t>
        </is>
      </c>
      <c r="B479" s="1" t="n">
        <v>43781</v>
      </c>
      <c r="C479" s="1" t="n">
        <v>45799</v>
      </c>
      <c r="D479" t="inlineStr">
        <is>
          <t>KALMAR LÄN</t>
        </is>
      </c>
      <c r="E479" t="inlineStr">
        <is>
          <t>VÄSTERVIK</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61055-2019</t>
        </is>
      </c>
      <c r="B480" s="1" t="n">
        <v>43782</v>
      </c>
      <c r="C480" s="1" t="n">
        <v>45799</v>
      </c>
      <c r="D480" t="inlineStr">
        <is>
          <t>KALMAR LÄN</t>
        </is>
      </c>
      <c r="E480" t="inlineStr">
        <is>
          <t>VÄSTERVIK</t>
        </is>
      </c>
      <c r="G480" t="n">
        <v>2.8</v>
      </c>
      <c r="H480" t="n">
        <v>0</v>
      </c>
      <c r="I480" t="n">
        <v>0</v>
      </c>
      <c r="J480" t="n">
        <v>0</v>
      </c>
      <c r="K480" t="n">
        <v>0</v>
      </c>
      <c r="L480" t="n">
        <v>0</v>
      </c>
      <c r="M480" t="n">
        <v>0</v>
      </c>
      <c r="N480" t="n">
        <v>0</v>
      </c>
      <c r="O480" t="n">
        <v>0</v>
      </c>
      <c r="P480" t="n">
        <v>0</v>
      </c>
      <c r="Q480" t="n">
        <v>0</v>
      </c>
      <c r="R480" s="2" t="inlineStr"/>
    </row>
    <row r="481" ht="15" customHeight="1">
      <c r="A481" t="inlineStr">
        <is>
          <t>A 61708-2019</t>
        </is>
      </c>
      <c r="B481" s="1" t="n">
        <v>43784</v>
      </c>
      <c r="C481" s="1" t="n">
        <v>45799</v>
      </c>
      <c r="D481" t="inlineStr">
        <is>
          <t>KALMAR LÄN</t>
        </is>
      </c>
      <c r="E481" t="inlineStr">
        <is>
          <t>VÄSTERVIK</t>
        </is>
      </c>
      <c r="F481" t="inlineStr">
        <is>
          <t>Holmen skog AB</t>
        </is>
      </c>
      <c r="G481" t="n">
        <v>3.4</v>
      </c>
      <c r="H481" t="n">
        <v>0</v>
      </c>
      <c r="I481" t="n">
        <v>0</v>
      </c>
      <c r="J481" t="n">
        <v>0</v>
      </c>
      <c r="K481" t="n">
        <v>0</v>
      </c>
      <c r="L481" t="n">
        <v>0</v>
      </c>
      <c r="M481" t="n">
        <v>0</v>
      </c>
      <c r="N481" t="n">
        <v>0</v>
      </c>
      <c r="O481" t="n">
        <v>0</v>
      </c>
      <c r="P481" t="n">
        <v>0</v>
      </c>
      <c r="Q481" t="n">
        <v>0</v>
      </c>
      <c r="R481" s="2" t="inlineStr"/>
    </row>
    <row r="482" ht="15" customHeight="1">
      <c r="A482" t="inlineStr">
        <is>
          <t>A 62093-2019</t>
        </is>
      </c>
      <c r="B482" s="1" t="n">
        <v>43787</v>
      </c>
      <c r="C482" s="1" t="n">
        <v>45799</v>
      </c>
      <c r="D482" t="inlineStr">
        <is>
          <t>KALMAR LÄN</t>
        </is>
      </c>
      <c r="E482" t="inlineStr">
        <is>
          <t>VÄSTERVIK</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62046-2019</t>
        </is>
      </c>
      <c r="B483" s="1" t="n">
        <v>43787</v>
      </c>
      <c r="C483" s="1" t="n">
        <v>45799</v>
      </c>
      <c r="D483" t="inlineStr">
        <is>
          <t>KALMAR LÄN</t>
        </is>
      </c>
      <c r="E483" t="inlineStr">
        <is>
          <t>VÄSTERVIK</t>
        </is>
      </c>
      <c r="G483" t="n">
        <v>2.7</v>
      </c>
      <c r="H483" t="n">
        <v>0</v>
      </c>
      <c r="I483" t="n">
        <v>0</v>
      </c>
      <c r="J483" t="n">
        <v>0</v>
      </c>
      <c r="K483" t="n">
        <v>0</v>
      </c>
      <c r="L483" t="n">
        <v>0</v>
      </c>
      <c r="M483" t="n">
        <v>0</v>
      </c>
      <c r="N483" t="n">
        <v>0</v>
      </c>
      <c r="O483" t="n">
        <v>0</v>
      </c>
      <c r="P483" t="n">
        <v>0</v>
      </c>
      <c r="Q483" t="n">
        <v>0</v>
      </c>
      <c r="R483" s="2" t="inlineStr"/>
    </row>
    <row r="484" ht="15" customHeight="1">
      <c r="A484" t="inlineStr">
        <is>
          <t>A 62473-2019</t>
        </is>
      </c>
      <c r="B484" s="1" t="n">
        <v>43788</v>
      </c>
      <c r="C484" s="1" t="n">
        <v>45799</v>
      </c>
      <c r="D484" t="inlineStr">
        <is>
          <t>KALMAR LÄN</t>
        </is>
      </c>
      <c r="E484" t="inlineStr">
        <is>
          <t>VÄSTERVIK</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62660-2019</t>
        </is>
      </c>
      <c r="B485" s="1" t="n">
        <v>43789</v>
      </c>
      <c r="C485" s="1" t="n">
        <v>45799</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63090-2019</t>
        </is>
      </c>
      <c r="B486" s="1" t="n">
        <v>43791</v>
      </c>
      <c r="C486" s="1" t="n">
        <v>45799</v>
      </c>
      <c r="D486" t="inlineStr">
        <is>
          <t>KALMAR LÄN</t>
        </is>
      </c>
      <c r="E486" t="inlineStr">
        <is>
          <t>VÄSTERVIK</t>
        </is>
      </c>
      <c r="F486" t="inlineStr">
        <is>
          <t>Övriga Aktiebolag</t>
        </is>
      </c>
      <c r="G486" t="n">
        <v>5.8</v>
      </c>
      <c r="H486" t="n">
        <v>0</v>
      </c>
      <c r="I486" t="n">
        <v>0</v>
      </c>
      <c r="J486" t="n">
        <v>0</v>
      </c>
      <c r="K486" t="n">
        <v>0</v>
      </c>
      <c r="L486" t="n">
        <v>0</v>
      </c>
      <c r="M486" t="n">
        <v>0</v>
      </c>
      <c r="N486" t="n">
        <v>0</v>
      </c>
      <c r="O486" t="n">
        <v>0</v>
      </c>
      <c r="P486" t="n">
        <v>0</v>
      </c>
      <c r="Q486" t="n">
        <v>0</v>
      </c>
      <c r="R486" s="2" t="inlineStr"/>
    </row>
    <row r="487" ht="15" customHeight="1">
      <c r="A487" t="inlineStr">
        <is>
          <t>A 63385-2019</t>
        </is>
      </c>
      <c r="B487" s="1" t="n">
        <v>43794</v>
      </c>
      <c r="C487" s="1" t="n">
        <v>45799</v>
      </c>
      <c r="D487" t="inlineStr">
        <is>
          <t>KALMAR LÄN</t>
        </is>
      </c>
      <c r="E487" t="inlineStr">
        <is>
          <t>VÄSTERVIK</t>
        </is>
      </c>
      <c r="G487" t="n">
        <v>5.1</v>
      </c>
      <c r="H487" t="n">
        <v>0</v>
      </c>
      <c r="I487" t="n">
        <v>0</v>
      </c>
      <c r="J487" t="n">
        <v>0</v>
      </c>
      <c r="K487" t="n">
        <v>0</v>
      </c>
      <c r="L487" t="n">
        <v>0</v>
      </c>
      <c r="M487" t="n">
        <v>0</v>
      </c>
      <c r="N487" t="n">
        <v>0</v>
      </c>
      <c r="O487" t="n">
        <v>0</v>
      </c>
      <c r="P487" t="n">
        <v>0</v>
      </c>
      <c r="Q487" t="n">
        <v>0</v>
      </c>
      <c r="R487" s="2" t="inlineStr"/>
    </row>
    <row r="488" ht="15" customHeight="1">
      <c r="A488" t="inlineStr">
        <is>
          <t>A 64610-2019</t>
        </is>
      </c>
      <c r="B488" s="1" t="n">
        <v>43798</v>
      </c>
      <c r="C488" s="1" t="n">
        <v>45799</v>
      </c>
      <c r="D488" t="inlineStr">
        <is>
          <t>KALMAR LÄN</t>
        </is>
      </c>
      <c r="E488" t="inlineStr">
        <is>
          <t>VÄSTERVIK</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65604-2019</t>
        </is>
      </c>
      <c r="B489" s="1" t="n">
        <v>43804</v>
      </c>
      <c r="C489" s="1" t="n">
        <v>45799</v>
      </c>
      <c r="D489" t="inlineStr">
        <is>
          <t>KALMAR LÄN</t>
        </is>
      </c>
      <c r="E489" t="inlineStr">
        <is>
          <t>VÄSTERVIK</t>
        </is>
      </c>
      <c r="G489" t="n">
        <v>3.8</v>
      </c>
      <c r="H489" t="n">
        <v>0</v>
      </c>
      <c r="I489" t="n">
        <v>0</v>
      </c>
      <c r="J489" t="n">
        <v>0</v>
      </c>
      <c r="K489" t="n">
        <v>0</v>
      </c>
      <c r="L489" t="n">
        <v>0</v>
      </c>
      <c r="M489" t="n">
        <v>0</v>
      </c>
      <c r="N489" t="n">
        <v>0</v>
      </c>
      <c r="O489" t="n">
        <v>0</v>
      </c>
      <c r="P489" t="n">
        <v>0</v>
      </c>
      <c r="Q489" t="n">
        <v>0</v>
      </c>
      <c r="R489" s="2" t="inlineStr"/>
    </row>
    <row r="490" ht="15" customHeight="1">
      <c r="A490" t="inlineStr">
        <is>
          <t>A 66743-2019</t>
        </is>
      </c>
      <c r="B490" s="1" t="n">
        <v>43804</v>
      </c>
      <c r="C490" s="1" t="n">
        <v>45799</v>
      </c>
      <c r="D490" t="inlineStr">
        <is>
          <t>KALMAR LÄN</t>
        </is>
      </c>
      <c r="E490" t="inlineStr">
        <is>
          <t>VÄSTERVIK</t>
        </is>
      </c>
      <c r="G490" t="n">
        <v>1.3</v>
      </c>
      <c r="H490" t="n">
        <v>0</v>
      </c>
      <c r="I490" t="n">
        <v>0</v>
      </c>
      <c r="J490" t="n">
        <v>0</v>
      </c>
      <c r="K490" t="n">
        <v>0</v>
      </c>
      <c r="L490" t="n">
        <v>0</v>
      </c>
      <c r="M490" t="n">
        <v>0</v>
      </c>
      <c r="N490" t="n">
        <v>0</v>
      </c>
      <c r="O490" t="n">
        <v>0</v>
      </c>
      <c r="P490" t="n">
        <v>0</v>
      </c>
      <c r="Q490" t="n">
        <v>0</v>
      </c>
      <c r="R490" s="2" t="inlineStr"/>
      <c r="U490">
        <f>HYPERLINK("https://klasma.github.io/Logging_0883/knärot/A 66743-2019 karta knärot.png", "A 66743-2019")</f>
        <v/>
      </c>
      <c r="V490">
        <f>HYPERLINK("https://klasma.github.io/Logging_0883/klagomål/A 66743-2019 FSC-klagomål.docx", "A 66743-2019")</f>
        <v/>
      </c>
      <c r="W490">
        <f>HYPERLINK("https://klasma.github.io/Logging_0883/klagomålsmail/A 66743-2019 FSC-klagomål mail.docx", "A 66743-2019")</f>
        <v/>
      </c>
      <c r="X490">
        <f>HYPERLINK("https://klasma.github.io/Logging_0883/tillsyn/A 66743-2019 tillsynsbegäran.docx", "A 66743-2019")</f>
        <v/>
      </c>
      <c r="Y490">
        <f>HYPERLINK("https://klasma.github.io/Logging_0883/tillsynsmail/A 66743-2019 tillsynsbegäran mail.docx", "A 66743-2019")</f>
        <v/>
      </c>
    </row>
    <row r="491" ht="15" customHeight="1">
      <c r="A491" t="inlineStr">
        <is>
          <t>A 66279-2019</t>
        </is>
      </c>
      <c r="B491" s="1" t="n">
        <v>43808</v>
      </c>
      <c r="C491" s="1" t="n">
        <v>45799</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66232-2019</t>
        </is>
      </c>
      <c r="B492" s="1" t="n">
        <v>43808</v>
      </c>
      <c r="C492" s="1" t="n">
        <v>45799</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67407-2019</t>
        </is>
      </c>
      <c r="B493" s="1" t="n">
        <v>43812</v>
      </c>
      <c r="C493" s="1" t="n">
        <v>45799</v>
      </c>
      <c r="D493" t="inlineStr">
        <is>
          <t>KALMAR LÄN</t>
        </is>
      </c>
      <c r="E493" t="inlineStr">
        <is>
          <t>VÄSTERVIK</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68494-2019</t>
        </is>
      </c>
      <c r="B494" s="1" t="n">
        <v>43818</v>
      </c>
      <c r="C494" s="1" t="n">
        <v>45799</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68764-2019</t>
        </is>
      </c>
      <c r="B495" s="1" t="n">
        <v>43819</v>
      </c>
      <c r="C495" s="1" t="n">
        <v>45799</v>
      </c>
      <c r="D495" t="inlineStr">
        <is>
          <t>KALMAR LÄN</t>
        </is>
      </c>
      <c r="E495" t="inlineStr">
        <is>
          <t>VÄSTERVIK</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483-2020</t>
        </is>
      </c>
      <c r="B496" s="1" t="n">
        <v>43837</v>
      </c>
      <c r="C496" s="1" t="n">
        <v>45799</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777-2020</t>
        </is>
      </c>
      <c r="B497" s="1" t="n">
        <v>43838</v>
      </c>
      <c r="C497" s="1" t="n">
        <v>45799</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776-2020</t>
        </is>
      </c>
      <c r="B498" s="1" t="n">
        <v>43838</v>
      </c>
      <c r="C498" s="1" t="n">
        <v>45799</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1989-2020</t>
        </is>
      </c>
      <c r="B499" s="1" t="n">
        <v>43838</v>
      </c>
      <c r="C499" s="1" t="n">
        <v>45799</v>
      </c>
      <c r="D499" t="inlineStr">
        <is>
          <t>KALMAR LÄN</t>
        </is>
      </c>
      <c r="E499" t="inlineStr">
        <is>
          <t>VÄSTERVIK</t>
        </is>
      </c>
      <c r="G499" t="n">
        <v>3.7</v>
      </c>
      <c r="H499" t="n">
        <v>0</v>
      </c>
      <c r="I499" t="n">
        <v>0</v>
      </c>
      <c r="J499" t="n">
        <v>0</v>
      </c>
      <c r="K499" t="n">
        <v>0</v>
      </c>
      <c r="L499" t="n">
        <v>0</v>
      </c>
      <c r="M499" t="n">
        <v>0</v>
      </c>
      <c r="N499" t="n">
        <v>0</v>
      </c>
      <c r="O499" t="n">
        <v>0</v>
      </c>
      <c r="P499" t="n">
        <v>0</v>
      </c>
      <c r="Q499" t="n">
        <v>0</v>
      </c>
      <c r="R499" s="2" t="inlineStr"/>
    </row>
    <row r="500" ht="15" customHeight="1">
      <c r="A500" t="inlineStr">
        <is>
          <t>A 2494-2020</t>
        </is>
      </c>
      <c r="B500" s="1" t="n">
        <v>43847</v>
      </c>
      <c r="C500" s="1" t="n">
        <v>45799</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3739-2020</t>
        </is>
      </c>
      <c r="B501" s="1" t="n">
        <v>43853</v>
      </c>
      <c r="C501" s="1" t="n">
        <v>45799</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3934-2020</t>
        </is>
      </c>
      <c r="B502" s="1" t="n">
        <v>43854</v>
      </c>
      <c r="C502" s="1" t="n">
        <v>45799</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4786-2020</t>
        </is>
      </c>
      <c r="B503" s="1" t="n">
        <v>43859</v>
      </c>
      <c r="C503" s="1" t="n">
        <v>45799</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4954-2020</t>
        </is>
      </c>
      <c r="B504" s="1" t="n">
        <v>43859</v>
      </c>
      <c r="C504" s="1" t="n">
        <v>45799</v>
      </c>
      <c r="D504" t="inlineStr">
        <is>
          <t>KALMAR LÄN</t>
        </is>
      </c>
      <c r="E504" t="inlineStr">
        <is>
          <t>VÄSTERVIK</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4992-2020</t>
        </is>
      </c>
      <c r="B505" s="1" t="n">
        <v>43859</v>
      </c>
      <c r="C505" s="1" t="n">
        <v>45799</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4939-2020</t>
        </is>
      </c>
      <c r="B506" s="1" t="n">
        <v>43859</v>
      </c>
      <c r="C506" s="1" t="n">
        <v>45799</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5622-2020</t>
        </is>
      </c>
      <c r="B507" s="1" t="n">
        <v>43860</v>
      </c>
      <c r="C507" s="1" t="n">
        <v>45799</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5637-2020</t>
        </is>
      </c>
      <c r="B508" s="1" t="n">
        <v>43860</v>
      </c>
      <c r="C508" s="1" t="n">
        <v>45799</v>
      </c>
      <c r="D508" t="inlineStr">
        <is>
          <t>KALMAR LÄN</t>
        </is>
      </c>
      <c r="E508" t="inlineStr">
        <is>
          <t>VÄSTERVIK</t>
        </is>
      </c>
      <c r="G508" t="n">
        <v>3.2</v>
      </c>
      <c r="H508" t="n">
        <v>0</v>
      </c>
      <c r="I508" t="n">
        <v>0</v>
      </c>
      <c r="J508" t="n">
        <v>0</v>
      </c>
      <c r="K508" t="n">
        <v>0</v>
      </c>
      <c r="L508" t="n">
        <v>0</v>
      </c>
      <c r="M508" t="n">
        <v>0</v>
      </c>
      <c r="N508" t="n">
        <v>0</v>
      </c>
      <c r="O508" t="n">
        <v>0</v>
      </c>
      <c r="P508" t="n">
        <v>0</v>
      </c>
      <c r="Q508" t="n">
        <v>0</v>
      </c>
      <c r="R508" s="2" t="inlineStr"/>
    </row>
    <row r="509" ht="15" customHeight="1">
      <c r="A509" t="inlineStr">
        <is>
          <t>A 5629-2020</t>
        </is>
      </c>
      <c r="B509" s="1" t="n">
        <v>43860</v>
      </c>
      <c r="C509" s="1" t="n">
        <v>45799</v>
      </c>
      <c r="D509" t="inlineStr">
        <is>
          <t>KALMAR LÄN</t>
        </is>
      </c>
      <c r="E509" t="inlineStr">
        <is>
          <t>VÄSTERVIK</t>
        </is>
      </c>
      <c r="G509" t="n">
        <v>3.8</v>
      </c>
      <c r="H509" t="n">
        <v>0</v>
      </c>
      <c r="I509" t="n">
        <v>0</v>
      </c>
      <c r="J509" t="n">
        <v>0</v>
      </c>
      <c r="K509" t="n">
        <v>0</v>
      </c>
      <c r="L509" t="n">
        <v>0</v>
      </c>
      <c r="M509" t="n">
        <v>0</v>
      </c>
      <c r="N509" t="n">
        <v>0</v>
      </c>
      <c r="O509" t="n">
        <v>0</v>
      </c>
      <c r="P509" t="n">
        <v>0</v>
      </c>
      <c r="Q509" t="n">
        <v>0</v>
      </c>
      <c r="R509" s="2" t="inlineStr"/>
    </row>
    <row r="510" ht="15" customHeight="1">
      <c r="A510" t="inlineStr">
        <is>
          <t>A 5583-2020</t>
        </is>
      </c>
      <c r="B510" s="1" t="n">
        <v>43861</v>
      </c>
      <c r="C510" s="1" t="n">
        <v>45799</v>
      </c>
      <c r="D510" t="inlineStr">
        <is>
          <t>KALMAR LÄN</t>
        </is>
      </c>
      <c r="E510" t="inlineStr">
        <is>
          <t>VÄSTERVIK</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5594-2020</t>
        </is>
      </c>
      <c r="B511" s="1" t="n">
        <v>43861</v>
      </c>
      <c r="C511" s="1" t="n">
        <v>45799</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5697-2020</t>
        </is>
      </c>
      <c r="B512" s="1" t="n">
        <v>43861</v>
      </c>
      <c r="C512" s="1" t="n">
        <v>45799</v>
      </c>
      <c r="D512" t="inlineStr">
        <is>
          <t>KALMAR LÄN</t>
        </is>
      </c>
      <c r="E512" t="inlineStr">
        <is>
          <t>VÄSTERVIK</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5822-2020</t>
        </is>
      </c>
      <c r="B513" s="1" t="n">
        <v>43864</v>
      </c>
      <c r="C513" s="1" t="n">
        <v>45799</v>
      </c>
      <c r="D513" t="inlineStr">
        <is>
          <t>KALMAR LÄN</t>
        </is>
      </c>
      <c r="E513" t="inlineStr">
        <is>
          <t>VÄSTERVIK</t>
        </is>
      </c>
      <c r="G513" t="n">
        <v>1.5</v>
      </c>
      <c r="H513" t="n">
        <v>0</v>
      </c>
      <c r="I513" t="n">
        <v>0</v>
      </c>
      <c r="J513" t="n">
        <v>0</v>
      </c>
      <c r="K513" t="n">
        <v>0</v>
      </c>
      <c r="L513" t="n">
        <v>0</v>
      </c>
      <c r="M513" t="n">
        <v>0</v>
      </c>
      <c r="N513" t="n">
        <v>0</v>
      </c>
      <c r="O513" t="n">
        <v>0</v>
      </c>
      <c r="P513" t="n">
        <v>0</v>
      </c>
      <c r="Q513" t="n">
        <v>0</v>
      </c>
      <c r="R513" s="2" t="inlineStr"/>
    </row>
    <row r="514" ht="15" customHeight="1">
      <c r="A514" t="inlineStr">
        <is>
          <t>A 6425-2020</t>
        </is>
      </c>
      <c r="B514" s="1" t="n">
        <v>43865</v>
      </c>
      <c r="C514" s="1" t="n">
        <v>45799</v>
      </c>
      <c r="D514" t="inlineStr">
        <is>
          <t>KALMAR LÄN</t>
        </is>
      </c>
      <c r="E514" t="inlineStr">
        <is>
          <t>VÄSTERVIK</t>
        </is>
      </c>
      <c r="G514" t="n">
        <v>2.1</v>
      </c>
      <c r="H514" t="n">
        <v>0</v>
      </c>
      <c r="I514" t="n">
        <v>0</v>
      </c>
      <c r="J514" t="n">
        <v>0</v>
      </c>
      <c r="K514" t="n">
        <v>0</v>
      </c>
      <c r="L514" t="n">
        <v>0</v>
      </c>
      <c r="M514" t="n">
        <v>0</v>
      </c>
      <c r="N514" t="n">
        <v>0</v>
      </c>
      <c r="O514" t="n">
        <v>0</v>
      </c>
      <c r="P514" t="n">
        <v>0</v>
      </c>
      <c r="Q514" t="n">
        <v>0</v>
      </c>
      <c r="R514" s="2" t="inlineStr"/>
    </row>
    <row r="515" ht="15" customHeight="1">
      <c r="A515" t="inlineStr">
        <is>
          <t>A 6391-2020</t>
        </is>
      </c>
      <c r="B515" s="1" t="n">
        <v>43866</v>
      </c>
      <c r="C515" s="1" t="n">
        <v>45799</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6387-2020</t>
        </is>
      </c>
      <c r="B516" s="1" t="n">
        <v>43866</v>
      </c>
      <c r="C516" s="1" t="n">
        <v>45799</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7290-2020</t>
        </is>
      </c>
      <c r="B517" s="1" t="n">
        <v>43871</v>
      </c>
      <c r="C517" s="1" t="n">
        <v>45799</v>
      </c>
      <c r="D517" t="inlineStr">
        <is>
          <t>KALMAR LÄN</t>
        </is>
      </c>
      <c r="E517" t="inlineStr">
        <is>
          <t>VÄSTERVIK</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7660-2020</t>
        </is>
      </c>
      <c r="B518" s="1" t="n">
        <v>43872</v>
      </c>
      <c r="C518" s="1" t="n">
        <v>45799</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7652-2020</t>
        </is>
      </c>
      <c r="B519" s="1" t="n">
        <v>43872</v>
      </c>
      <c r="C519" s="1" t="n">
        <v>45799</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7727-2020</t>
        </is>
      </c>
      <c r="B520" s="1" t="n">
        <v>43872</v>
      </c>
      <c r="C520" s="1" t="n">
        <v>45799</v>
      </c>
      <c r="D520" t="inlineStr">
        <is>
          <t>KALMAR LÄN</t>
        </is>
      </c>
      <c r="E520" t="inlineStr">
        <is>
          <t>VÄSTERVIK</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8075-2020</t>
        </is>
      </c>
      <c r="B521" s="1" t="n">
        <v>43874</v>
      </c>
      <c r="C521" s="1" t="n">
        <v>45799</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8072-2020</t>
        </is>
      </c>
      <c r="B522" s="1" t="n">
        <v>43874</v>
      </c>
      <c r="C522" s="1" t="n">
        <v>45799</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9168-2020</t>
        </is>
      </c>
      <c r="B523" s="1" t="n">
        <v>43879</v>
      </c>
      <c r="C523" s="1" t="n">
        <v>45799</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9166-2020</t>
        </is>
      </c>
      <c r="B524" s="1" t="n">
        <v>43879</v>
      </c>
      <c r="C524" s="1" t="n">
        <v>45799</v>
      </c>
      <c r="D524" t="inlineStr">
        <is>
          <t>KALMAR LÄN</t>
        </is>
      </c>
      <c r="E524" t="inlineStr">
        <is>
          <t>VÄSTERVIK</t>
        </is>
      </c>
      <c r="G524" t="n">
        <v>6.9</v>
      </c>
      <c r="H524" t="n">
        <v>0</v>
      </c>
      <c r="I524" t="n">
        <v>0</v>
      </c>
      <c r="J524" t="n">
        <v>0</v>
      </c>
      <c r="K524" t="n">
        <v>0</v>
      </c>
      <c r="L524" t="n">
        <v>0</v>
      </c>
      <c r="M524" t="n">
        <v>0</v>
      </c>
      <c r="N524" t="n">
        <v>0</v>
      </c>
      <c r="O524" t="n">
        <v>0</v>
      </c>
      <c r="P524" t="n">
        <v>0</v>
      </c>
      <c r="Q524" t="n">
        <v>0</v>
      </c>
      <c r="R524" s="2" t="inlineStr"/>
    </row>
    <row r="525" ht="15" customHeight="1">
      <c r="A525" t="inlineStr">
        <is>
          <t>A 9332-2020</t>
        </is>
      </c>
      <c r="B525" s="1" t="n">
        <v>43880</v>
      </c>
      <c r="C525" s="1" t="n">
        <v>45799</v>
      </c>
      <c r="D525" t="inlineStr">
        <is>
          <t>KALMAR LÄN</t>
        </is>
      </c>
      <c r="E525" t="inlineStr">
        <is>
          <t>VÄSTERVIK</t>
        </is>
      </c>
      <c r="G525" t="n">
        <v>1.4</v>
      </c>
      <c r="H525" t="n">
        <v>0</v>
      </c>
      <c r="I525" t="n">
        <v>0</v>
      </c>
      <c r="J525" t="n">
        <v>0</v>
      </c>
      <c r="K525" t="n">
        <v>0</v>
      </c>
      <c r="L525" t="n">
        <v>0</v>
      </c>
      <c r="M525" t="n">
        <v>0</v>
      </c>
      <c r="N525" t="n">
        <v>0</v>
      </c>
      <c r="O525" t="n">
        <v>0</v>
      </c>
      <c r="P525" t="n">
        <v>0</v>
      </c>
      <c r="Q525" t="n">
        <v>0</v>
      </c>
      <c r="R525" s="2" t="inlineStr"/>
    </row>
    <row r="526" ht="15" customHeight="1">
      <c r="A526" t="inlineStr">
        <is>
          <t>A 10373-2020</t>
        </is>
      </c>
      <c r="B526" s="1" t="n">
        <v>43885</v>
      </c>
      <c r="C526" s="1" t="n">
        <v>45799</v>
      </c>
      <c r="D526" t="inlineStr">
        <is>
          <t>KALMAR LÄN</t>
        </is>
      </c>
      <c r="E526" t="inlineStr">
        <is>
          <t>VÄSTERVIK</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11067-2020</t>
        </is>
      </c>
      <c r="B527" s="1" t="n">
        <v>43885</v>
      </c>
      <c r="C527" s="1" t="n">
        <v>45799</v>
      </c>
      <c r="D527" t="inlineStr">
        <is>
          <t>KALMAR LÄN</t>
        </is>
      </c>
      <c r="E527" t="inlineStr">
        <is>
          <t>VÄSTERVIK</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10482-2020</t>
        </is>
      </c>
      <c r="B528" s="1" t="n">
        <v>43886</v>
      </c>
      <c r="C528" s="1" t="n">
        <v>45799</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10173-2020</t>
        </is>
      </c>
      <c r="B529" s="1" t="n">
        <v>43886</v>
      </c>
      <c r="C529" s="1" t="n">
        <v>45799</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11253-2020</t>
        </is>
      </c>
      <c r="B530" s="1" t="n">
        <v>43892</v>
      </c>
      <c r="C530" s="1" t="n">
        <v>45799</v>
      </c>
      <c r="D530" t="inlineStr">
        <is>
          <t>KALMAR LÄN</t>
        </is>
      </c>
      <c r="E530" t="inlineStr">
        <is>
          <t>VÄSTERVIK</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11248-2020</t>
        </is>
      </c>
      <c r="B531" s="1" t="n">
        <v>43892</v>
      </c>
      <c r="C531" s="1" t="n">
        <v>45799</v>
      </c>
      <c r="D531" t="inlineStr">
        <is>
          <t>KALMAR LÄN</t>
        </is>
      </c>
      <c r="E531" t="inlineStr">
        <is>
          <t>VÄSTERVIK</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11246-2020</t>
        </is>
      </c>
      <c r="B532" s="1" t="n">
        <v>43892</v>
      </c>
      <c r="C532" s="1" t="n">
        <v>45799</v>
      </c>
      <c r="D532" t="inlineStr">
        <is>
          <t>KALMAR LÄN</t>
        </is>
      </c>
      <c r="E532" t="inlineStr">
        <is>
          <t>VÄSTERVIK</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12430-2020</t>
        </is>
      </c>
      <c r="B533" s="1" t="n">
        <v>43896</v>
      </c>
      <c r="C533" s="1" t="n">
        <v>45799</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12965-2020</t>
        </is>
      </c>
      <c r="B534" s="1" t="n">
        <v>43900</v>
      </c>
      <c r="C534" s="1" t="n">
        <v>45799</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13514-2020</t>
        </is>
      </c>
      <c r="B535" s="1" t="n">
        <v>43902</v>
      </c>
      <c r="C535" s="1" t="n">
        <v>45799</v>
      </c>
      <c r="D535" t="inlineStr">
        <is>
          <t>KALMAR LÄN</t>
        </is>
      </c>
      <c r="E535" t="inlineStr">
        <is>
          <t>VÄSTERVIK</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13526-2020</t>
        </is>
      </c>
      <c r="B536" s="1" t="n">
        <v>43902</v>
      </c>
      <c r="C536" s="1" t="n">
        <v>45799</v>
      </c>
      <c r="D536" t="inlineStr">
        <is>
          <t>KALMAR LÄN</t>
        </is>
      </c>
      <c r="E536" t="inlineStr">
        <is>
          <t>VÄSTERVIK</t>
        </is>
      </c>
      <c r="F536" t="inlineStr">
        <is>
          <t>Holmen skog AB</t>
        </is>
      </c>
      <c r="G536" t="n">
        <v>18.6</v>
      </c>
      <c r="H536" t="n">
        <v>0</v>
      </c>
      <c r="I536" t="n">
        <v>0</v>
      </c>
      <c r="J536" t="n">
        <v>0</v>
      </c>
      <c r="K536" t="n">
        <v>0</v>
      </c>
      <c r="L536" t="n">
        <v>0</v>
      </c>
      <c r="M536" t="n">
        <v>0</v>
      </c>
      <c r="N536" t="n">
        <v>0</v>
      </c>
      <c r="O536" t="n">
        <v>0</v>
      </c>
      <c r="P536" t="n">
        <v>0</v>
      </c>
      <c r="Q536" t="n">
        <v>0</v>
      </c>
      <c r="R536" s="2" t="inlineStr"/>
    </row>
    <row r="537" ht="15" customHeight="1">
      <c r="A537" t="inlineStr">
        <is>
          <t>A 13523-2020</t>
        </is>
      </c>
      <c r="B537" s="1" t="n">
        <v>43902</v>
      </c>
      <c r="C537" s="1" t="n">
        <v>45799</v>
      </c>
      <c r="D537" t="inlineStr">
        <is>
          <t>KALMAR LÄN</t>
        </is>
      </c>
      <c r="E537" t="inlineStr">
        <is>
          <t>VÄSTERVIK</t>
        </is>
      </c>
      <c r="F537" t="inlineStr">
        <is>
          <t>Holmen skog AB</t>
        </is>
      </c>
      <c r="G537" t="n">
        <v>3.8</v>
      </c>
      <c r="H537" t="n">
        <v>0</v>
      </c>
      <c r="I537" t="n">
        <v>0</v>
      </c>
      <c r="J537" t="n">
        <v>0</v>
      </c>
      <c r="K537" t="n">
        <v>0</v>
      </c>
      <c r="L537" t="n">
        <v>0</v>
      </c>
      <c r="M537" t="n">
        <v>0</v>
      </c>
      <c r="N537" t="n">
        <v>0</v>
      </c>
      <c r="O537" t="n">
        <v>0</v>
      </c>
      <c r="P537" t="n">
        <v>0</v>
      </c>
      <c r="Q537" t="n">
        <v>0</v>
      </c>
      <c r="R537" s="2" t="inlineStr"/>
    </row>
    <row r="538" ht="15" customHeight="1">
      <c r="A538" t="inlineStr">
        <is>
          <t>A 14889-2020</t>
        </is>
      </c>
      <c r="B538" s="1" t="n">
        <v>43906</v>
      </c>
      <c r="C538" s="1" t="n">
        <v>45799</v>
      </c>
      <c r="D538" t="inlineStr">
        <is>
          <t>KALMAR LÄN</t>
        </is>
      </c>
      <c r="E538" t="inlineStr">
        <is>
          <t>VÄSTERVIK</t>
        </is>
      </c>
      <c r="G538" t="n">
        <v>2.4</v>
      </c>
      <c r="H538" t="n">
        <v>0</v>
      </c>
      <c r="I538" t="n">
        <v>0</v>
      </c>
      <c r="J538" t="n">
        <v>0</v>
      </c>
      <c r="K538" t="n">
        <v>0</v>
      </c>
      <c r="L538" t="n">
        <v>0</v>
      </c>
      <c r="M538" t="n">
        <v>0</v>
      </c>
      <c r="N538" t="n">
        <v>0</v>
      </c>
      <c r="O538" t="n">
        <v>0</v>
      </c>
      <c r="P538" t="n">
        <v>0</v>
      </c>
      <c r="Q538" t="n">
        <v>0</v>
      </c>
      <c r="R538" s="2" t="inlineStr"/>
    </row>
    <row r="539" ht="15" customHeight="1">
      <c r="A539" t="inlineStr">
        <is>
          <t>A 14887-2020</t>
        </is>
      </c>
      <c r="B539" s="1" t="n">
        <v>43906</v>
      </c>
      <c r="C539" s="1" t="n">
        <v>45799</v>
      </c>
      <c r="D539" t="inlineStr">
        <is>
          <t>KALMAR LÄN</t>
        </is>
      </c>
      <c r="E539" t="inlineStr">
        <is>
          <t>VÄSTERVIK</t>
        </is>
      </c>
      <c r="G539" t="n">
        <v>3.3</v>
      </c>
      <c r="H539" t="n">
        <v>0</v>
      </c>
      <c r="I539" t="n">
        <v>0</v>
      </c>
      <c r="J539" t="n">
        <v>0</v>
      </c>
      <c r="K539" t="n">
        <v>0</v>
      </c>
      <c r="L539" t="n">
        <v>0</v>
      </c>
      <c r="M539" t="n">
        <v>0</v>
      </c>
      <c r="N539" t="n">
        <v>0</v>
      </c>
      <c r="O539" t="n">
        <v>0</v>
      </c>
      <c r="P539" t="n">
        <v>0</v>
      </c>
      <c r="Q539" t="n">
        <v>0</v>
      </c>
      <c r="R539" s="2" t="inlineStr"/>
    </row>
    <row r="540" ht="15" customHeight="1">
      <c r="A540" t="inlineStr">
        <is>
          <t>A 14891-2020</t>
        </is>
      </c>
      <c r="B540" s="1" t="n">
        <v>43906</v>
      </c>
      <c r="C540" s="1" t="n">
        <v>45799</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14456-2020</t>
        </is>
      </c>
      <c r="B541" s="1" t="n">
        <v>43908</v>
      </c>
      <c r="C541" s="1" t="n">
        <v>45799</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16580-2020</t>
        </is>
      </c>
      <c r="B542" s="1" t="n">
        <v>43908</v>
      </c>
      <c r="C542" s="1" t="n">
        <v>45799</v>
      </c>
      <c r="D542" t="inlineStr">
        <is>
          <t>KALMAR LÄN</t>
        </is>
      </c>
      <c r="E542" t="inlineStr">
        <is>
          <t>VÄSTERVIK</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19422-2020</t>
        </is>
      </c>
      <c r="B543" s="1" t="n">
        <v>43938</v>
      </c>
      <c r="C543" s="1" t="n">
        <v>45799</v>
      </c>
      <c r="D543" t="inlineStr">
        <is>
          <t>KALMAR LÄN</t>
        </is>
      </c>
      <c r="E543" t="inlineStr">
        <is>
          <t>VÄSTERVIK</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19437-2020</t>
        </is>
      </c>
      <c r="B544" s="1" t="n">
        <v>43938</v>
      </c>
      <c r="C544" s="1" t="n">
        <v>45799</v>
      </c>
      <c r="D544" t="inlineStr">
        <is>
          <t>KALMAR LÄN</t>
        </is>
      </c>
      <c r="E544" t="inlineStr">
        <is>
          <t>VÄSTERVIK</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19829-2020</t>
        </is>
      </c>
      <c r="B545" s="1" t="n">
        <v>43942</v>
      </c>
      <c r="C545" s="1" t="n">
        <v>45799</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20408-2020</t>
        </is>
      </c>
      <c r="B546" s="1" t="n">
        <v>43945</v>
      </c>
      <c r="C546" s="1" t="n">
        <v>45799</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row>
    <row r="547" ht="15" customHeight="1">
      <c r="A547" t="inlineStr">
        <is>
          <t>A 20411-2020</t>
        </is>
      </c>
      <c r="B547" s="1" t="n">
        <v>43945</v>
      </c>
      <c r="C547" s="1" t="n">
        <v>45799</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20694-2020</t>
        </is>
      </c>
      <c r="B548" s="1" t="n">
        <v>43949</v>
      </c>
      <c r="C548" s="1" t="n">
        <v>45799</v>
      </c>
      <c r="D548" t="inlineStr">
        <is>
          <t>KALMAR LÄN</t>
        </is>
      </c>
      <c r="E548" t="inlineStr">
        <is>
          <t>VÄSTERVIK</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22643-2020</t>
        </is>
      </c>
      <c r="B549" s="1" t="n">
        <v>43963</v>
      </c>
      <c r="C549" s="1" t="n">
        <v>45799</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22882-2020</t>
        </is>
      </c>
      <c r="B550" s="1" t="n">
        <v>43964</v>
      </c>
      <c r="C550" s="1" t="n">
        <v>45799</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22880-2020</t>
        </is>
      </c>
      <c r="B551" s="1" t="n">
        <v>43964</v>
      </c>
      <c r="C551" s="1" t="n">
        <v>45799</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22803-2020</t>
        </is>
      </c>
      <c r="B552" s="1" t="n">
        <v>43964</v>
      </c>
      <c r="C552" s="1" t="n">
        <v>45799</v>
      </c>
      <c r="D552" t="inlineStr">
        <is>
          <t>KALMAR LÄN</t>
        </is>
      </c>
      <c r="E552" t="inlineStr">
        <is>
          <t>VÄSTERVIK</t>
        </is>
      </c>
      <c r="G552" t="n">
        <v>1.5</v>
      </c>
      <c r="H552" t="n">
        <v>0</v>
      </c>
      <c r="I552" t="n">
        <v>0</v>
      </c>
      <c r="J552" t="n">
        <v>0</v>
      </c>
      <c r="K552" t="n">
        <v>0</v>
      </c>
      <c r="L552" t="n">
        <v>0</v>
      </c>
      <c r="M552" t="n">
        <v>0</v>
      </c>
      <c r="N552" t="n">
        <v>0</v>
      </c>
      <c r="O552" t="n">
        <v>0</v>
      </c>
      <c r="P552" t="n">
        <v>0</v>
      </c>
      <c r="Q552" t="n">
        <v>0</v>
      </c>
      <c r="R552" s="2" t="inlineStr"/>
    </row>
    <row r="553" ht="15" customHeight="1">
      <c r="A553" t="inlineStr">
        <is>
          <t>A 24366-2020</t>
        </is>
      </c>
      <c r="B553" s="1" t="n">
        <v>43973</v>
      </c>
      <c r="C553" s="1" t="n">
        <v>45799</v>
      </c>
      <c r="D553" t="inlineStr">
        <is>
          <t>KALMAR LÄN</t>
        </is>
      </c>
      <c r="E553" t="inlineStr">
        <is>
          <t>VÄSTERVIK</t>
        </is>
      </c>
      <c r="G553" t="n">
        <v>6.9</v>
      </c>
      <c r="H553" t="n">
        <v>0</v>
      </c>
      <c r="I553" t="n">
        <v>0</v>
      </c>
      <c r="J553" t="n">
        <v>0</v>
      </c>
      <c r="K553" t="n">
        <v>0</v>
      </c>
      <c r="L553" t="n">
        <v>0</v>
      </c>
      <c r="M553" t="n">
        <v>0</v>
      </c>
      <c r="N553" t="n">
        <v>0</v>
      </c>
      <c r="O553" t="n">
        <v>0</v>
      </c>
      <c r="P553" t="n">
        <v>0</v>
      </c>
      <c r="Q553" t="n">
        <v>0</v>
      </c>
      <c r="R553" s="2" t="inlineStr"/>
    </row>
    <row r="554" ht="15" customHeight="1">
      <c r="A554" t="inlineStr">
        <is>
          <t>A 24575-2020</t>
        </is>
      </c>
      <c r="B554" s="1" t="n">
        <v>43977</v>
      </c>
      <c r="C554" s="1" t="n">
        <v>45799</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24570-2020</t>
        </is>
      </c>
      <c r="B555" s="1" t="n">
        <v>43977</v>
      </c>
      <c r="C555" s="1" t="n">
        <v>45799</v>
      </c>
      <c r="D555" t="inlineStr">
        <is>
          <t>KALMAR LÄN</t>
        </is>
      </c>
      <c r="E555" t="inlineStr">
        <is>
          <t>VÄSTERVIK</t>
        </is>
      </c>
      <c r="G555" t="n">
        <v>0.9</v>
      </c>
      <c r="H555" t="n">
        <v>0</v>
      </c>
      <c r="I555" t="n">
        <v>0</v>
      </c>
      <c r="J555" t="n">
        <v>0</v>
      </c>
      <c r="K555" t="n">
        <v>0</v>
      </c>
      <c r="L555" t="n">
        <v>0</v>
      </c>
      <c r="M555" t="n">
        <v>0</v>
      </c>
      <c r="N555" t="n">
        <v>0</v>
      </c>
      <c r="O555" t="n">
        <v>0</v>
      </c>
      <c r="P555" t="n">
        <v>0</v>
      </c>
      <c r="Q555" t="n">
        <v>0</v>
      </c>
      <c r="R555" s="2" t="inlineStr"/>
    </row>
    <row r="556" ht="15" customHeight="1">
      <c r="A556" t="inlineStr">
        <is>
          <t>A 24677-2020</t>
        </is>
      </c>
      <c r="B556" s="1" t="n">
        <v>43978</v>
      </c>
      <c r="C556" s="1" t="n">
        <v>45799</v>
      </c>
      <c r="D556" t="inlineStr">
        <is>
          <t>KALMAR LÄN</t>
        </is>
      </c>
      <c r="E556" t="inlineStr">
        <is>
          <t>VÄSTERVIK</t>
        </is>
      </c>
      <c r="G556" t="n">
        <v>2.7</v>
      </c>
      <c r="H556" t="n">
        <v>0</v>
      </c>
      <c r="I556" t="n">
        <v>0</v>
      </c>
      <c r="J556" t="n">
        <v>0</v>
      </c>
      <c r="K556" t="n">
        <v>0</v>
      </c>
      <c r="L556" t="n">
        <v>0</v>
      </c>
      <c r="M556" t="n">
        <v>0</v>
      </c>
      <c r="N556" t="n">
        <v>0</v>
      </c>
      <c r="O556" t="n">
        <v>0</v>
      </c>
      <c r="P556" t="n">
        <v>0</v>
      </c>
      <c r="Q556" t="n">
        <v>0</v>
      </c>
      <c r="R556" s="2" t="inlineStr"/>
    </row>
    <row r="557" ht="15" customHeight="1">
      <c r="A557" t="inlineStr">
        <is>
          <t>A 25241-2020</t>
        </is>
      </c>
      <c r="B557" s="1" t="n">
        <v>43980</v>
      </c>
      <c r="C557" s="1" t="n">
        <v>45799</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26226-2020</t>
        </is>
      </c>
      <c r="B558" s="1" t="n">
        <v>43985</v>
      </c>
      <c r="C558" s="1" t="n">
        <v>45799</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26129-2020</t>
        </is>
      </c>
      <c r="B559" s="1" t="n">
        <v>43985</v>
      </c>
      <c r="C559" s="1" t="n">
        <v>45799</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26842-2020</t>
        </is>
      </c>
      <c r="B560" s="1" t="n">
        <v>43987</v>
      </c>
      <c r="C560" s="1" t="n">
        <v>45799</v>
      </c>
      <c r="D560" t="inlineStr">
        <is>
          <t>KALMAR LÄN</t>
        </is>
      </c>
      <c r="E560" t="inlineStr">
        <is>
          <t>VÄSTERVIK</t>
        </is>
      </c>
      <c r="G560" t="n">
        <v>1.8</v>
      </c>
      <c r="H560" t="n">
        <v>0</v>
      </c>
      <c r="I560" t="n">
        <v>0</v>
      </c>
      <c r="J560" t="n">
        <v>0</v>
      </c>
      <c r="K560" t="n">
        <v>0</v>
      </c>
      <c r="L560" t="n">
        <v>0</v>
      </c>
      <c r="M560" t="n">
        <v>0</v>
      </c>
      <c r="N560" t="n">
        <v>0</v>
      </c>
      <c r="O560" t="n">
        <v>0</v>
      </c>
      <c r="P560" t="n">
        <v>0</v>
      </c>
      <c r="Q560" t="n">
        <v>0</v>
      </c>
      <c r="R560" s="2" t="inlineStr"/>
    </row>
    <row r="561" ht="15" customHeight="1">
      <c r="A561" t="inlineStr">
        <is>
          <t>A 29093-2020</t>
        </is>
      </c>
      <c r="B561" s="1" t="n">
        <v>44002</v>
      </c>
      <c r="C561" s="1" t="n">
        <v>45799</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29264-2020</t>
        </is>
      </c>
      <c r="B562" s="1" t="n">
        <v>44004</v>
      </c>
      <c r="C562" s="1" t="n">
        <v>45799</v>
      </c>
      <c r="D562" t="inlineStr">
        <is>
          <t>KALMAR LÄN</t>
        </is>
      </c>
      <c r="E562" t="inlineStr">
        <is>
          <t>VÄSTERVIK</t>
        </is>
      </c>
      <c r="G562" t="n">
        <v>5.5</v>
      </c>
      <c r="H562" t="n">
        <v>0</v>
      </c>
      <c r="I562" t="n">
        <v>0</v>
      </c>
      <c r="J562" t="n">
        <v>0</v>
      </c>
      <c r="K562" t="n">
        <v>0</v>
      </c>
      <c r="L562" t="n">
        <v>0</v>
      </c>
      <c r="M562" t="n">
        <v>0</v>
      </c>
      <c r="N562" t="n">
        <v>0</v>
      </c>
      <c r="O562" t="n">
        <v>0</v>
      </c>
      <c r="P562" t="n">
        <v>0</v>
      </c>
      <c r="Q562" t="n">
        <v>0</v>
      </c>
      <c r="R562" s="2" t="inlineStr"/>
    </row>
    <row r="563" ht="15" customHeight="1">
      <c r="A563" t="inlineStr">
        <is>
          <t>A 30581-2020</t>
        </is>
      </c>
      <c r="B563" s="1" t="n">
        <v>44008</v>
      </c>
      <c r="C563" s="1" t="n">
        <v>45799</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30578-2020</t>
        </is>
      </c>
      <c r="B564" s="1" t="n">
        <v>44008</v>
      </c>
      <c r="C564" s="1" t="n">
        <v>45799</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31587-2020</t>
        </is>
      </c>
      <c r="B565" s="1" t="n">
        <v>44012</v>
      </c>
      <c r="C565" s="1" t="n">
        <v>45799</v>
      </c>
      <c r="D565" t="inlineStr">
        <is>
          <t>KALMAR LÄN</t>
        </is>
      </c>
      <c r="E565" t="inlineStr">
        <is>
          <t>VÄSTERVIK</t>
        </is>
      </c>
      <c r="G565" t="n">
        <v>2.5</v>
      </c>
      <c r="H565" t="n">
        <v>0</v>
      </c>
      <c r="I565" t="n">
        <v>0</v>
      </c>
      <c r="J565" t="n">
        <v>0</v>
      </c>
      <c r="K565" t="n">
        <v>0</v>
      </c>
      <c r="L565" t="n">
        <v>0</v>
      </c>
      <c r="M565" t="n">
        <v>0</v>
      </c>
      <c r="N565" t="n">
        <v>0</v>
      </c>
      <c r="O565" t="n">
        <v>0</v>
      </c>
      <c r="P565" t="n">
        <v>0</v>
      </c>
      <c r="Q565" t="n">
        <v>0</v>
      </c>
      <c r="R565" s="2" t="inlineStr"/>
    </row>
    <row r="566" ht="15" customHeight="1">
      <c r="A566" t="inlineStr">
        <is>
          <t>A 32807-2020</t>
        </is>
      </c>
      <c r="B566" s="1" t="n">
        <v>44018</v>
      </c>
      <c r="C566" s="1" t="n">
        <v>45799</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33137-2020</t>
        </is>
      </c>
      <c r="B567" s="1" t="n">
        <v>44021</v>
      </c>
      <c r="C567" s="1" t="n">
        <v>45799</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34775-2020</t>
        </is>
      </c>
      <c r="B568" s="1" t="n">
        <v>44035</v>
      </c>
      <c r="C568" s="1" t="n">
        <v>45799</v>
      </c>
      <c r="D568" t="inlineStr">
        <is>
          <t>KALMAR LÄN</t>
        </is>
      </c>
      <c r="E568" t="inlineStr">
        <is>
          <t>VÄSTERVIK</t>
        </is>
      </c>
      <c r="G568" t="n">
        <v>3.5</v>
      </c>
      <c r="H568" t="n">
        <v>0</v>
      </c>
      <c r="I568" t="n">
        <v>0</v>
      </c>
      <c r="J568" t="n">
        <v>0</v>
      </c>
      <c r="K568" t="n">
        <v>0</v>
      </c>
      <c r="L568" t="n">
        <v>0</v>
      </c>
      <c r="M568" t="n">
        <v>0</v>
      </c>
      <c r="N568" t="n">
        <v>0</v>
      </c>
      <c r="O568" t="n">
        <v>0</v>
      </c>
      <c r="P568" t="n">
        <v>0</v>
      </c>
      <c r="Q568" t="n">
        <v>0</v>
      </c>
      <c r="R568" s="2" t="inlineStr"/>
    </row>
    <row r="569" ht="15" customHeight="1">
      <c r="A569" t="inlineStr">
        <is>
          <t>A 35150-2020</t>
        </is>
      </c>
      <c r="B569" s="1" t="n">
        <v>44040</v>
      </c>
      <c r="C569" s="1" t="n">
        <v>45799</v>
      </c>
      <c r="D569" t="inlineStr">
        <is>
          <t>KALMAR LÄN</t>
        </is>
      </c>
      <c r="E569" t="inlineStr">
        <is>
          <t>VÄSTERVIK</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35655-2020</t>
        </is>
      </c>
      <c r="B570" s="1" t="n">
        <v>44046</v>
      </c>
      <c r="C570" s="1" t="n">
        <v>45799</v>
      </c>
      <c r="D570" t="inlineStr">
        <is>
          <t>KALMAR LÄN</t>
        </is>
      </c>
      <c r="E570" t="inlineStr">
        <is>
          <t>VÄSTERVIK</t>
        </is>
      </c>
      <c r="F570" t="inlineStr">
        <is>
          <t>Övriga Aktiebolag</t>
        </is>
      </c>
      <c r="G570" t="n">
        <v>3.2</v>
      </c>
      <c r="H570" t="n">
        <v>0</v>
      </c>
      <c r="I570" t="n">
        <v>0</v>
      </c>
      <c r="J570" t="n">
        <v>0</v>
      </c>
      <c r="K570" t="n">
        <v>0</v>
      </c>
      <c r="L570" t="n">
        <v>0</v>
      </c>
      <c r="M570" t="n">
        <v>0</v>
      </c>
      <c r="N570" t="n">
        <v>0</v>
      </c>
      <c r="O570" t="n">
        <v>0</v>
      </c>
      <c r="P570" t="n">
        <v>0</v>
      </c>
      <c r="Q570" t="n">
        <v>0</v>
      </c>
      <c r="R570" s="2" t="inlineStr"/>
    </row>
    <row r="571" ht="15" customHeight="1">
      <c r="A571" t="inlineStr">
        <is>
          <t>A 35689-2020</t>
        </is>
      </c>
      <c r="B571" s="1" t="n">
        <v>44046</v>
      </c>
      <c r="C571" s="1" t="n">
        <v>45799</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35868-2020</t>
        </is>
      </c>
      <c r="B572" s="1" t="n">
        <v>44047</v>
      </c>
      <c r="C572" s="1" t="n">
        <v>45799</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37146-2020</t>
        </is>
      </c>
      <c r="B573" s="1" t="n">
        <v>44054</v>
      </c>
      <c r="C573" s="1" t="n">
        <v>45799</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37156-2020</t>
        </is>
      </c>
      <c r="B574" s="1" t="n">
        <v>44054</v>
      </c>
      <c r="C574" s="1" t="n">
        <v>45799</v>
      </c>
      <c r="D574" t="inlineStr">
        <is>
          <t>KALMAR LÄN</t>
        </is>
      </c>
      <c r="E574" t="inlineStr">
        <is>
          <t>VÄSTERVIK</t>
        </is>
      </c>
      <c r="G574" t="n">
        <v>2.2</v>
      </c>
      <c r="H574" t="n">
        <v>0</v>
      </c>
      <c r="I574" t="n">
        <v>0</v>
      </c>
      <c r="J574" t="n">
        <v>0</v>
      </c>
      <c r="K574" t="n">
        <v>0</v>
      </c>
      <c r="L574" t="n">
        <v>0</v>
      </c>
      <c r="M574" t="n">
        <v>0</v>
      </c>
      <c r="N574" t="n">
        <v>0</v>
      </c>
      <c r="O574" t="n">
        <v>0</v>
      </c>
      <c r="P574" t="n">
        <v>0</v>
      </c>
      <c r="Q574" t="n">
        <v>0</v>
      </c>
      <c r="R574" s="2" t="inlineStr"/>
    </row>
    <row r="575" ht="15" customHeight="1">
      <c r="A575" t="inlineStr">
        <is>
          <t>A 37163-2020</t>
        </is>
      </c>
      <c r="B575" s="1" t="n">
        <v>44054</v>
      </c>
      <c r="C575" s="1" t="n">
        <v>45799</v>
      </c>
      <c r="D575" t="inlineStr">
        <is>
          <t>KALMAR LÄN</t>
        </is>
      </c>
      <c r="E575" t="inlineStr">
        <is>
          <t>VÄSTERVIK</t>
        </is>
      </c>
      <c r="G575" t="n">
        <v>1.4</v>
      </c>
      <c r="H575" t="n">
        <v>0</v>
      </c>
      <c r="I575" t="n">
        <v>0</v>
      </c>
      <c r="J575" t="n">
        <v>0</v>
      </c>
      <c r="K575" t="n">
        <v>0</v>
      </c>
      <c r="L575" t="n">
        <v>0</v>
      </c>
      <c r="M575" t="n">
        <v>0</v>
      </c>
      <c r="N575" t="n">
        <v>0</v>
      </c>
      <c r="O575" t="n">
        <v>0</v>
      </c>
      <c r="P575" t="n">
        <v>0</v>
      </c>
      <c r="Q575" t="n">
        <v>0</v>
      </c>
      <c r="R575" s="2" t="inlineStr"/>
    </row>
    <row r="576" ht="15" customHeight="1">
      <c r="A576" t="inlineStr">
        <is>
          <t>A 37162-2020</t>
        </is>
      </c>
      <c r="B576" s="1" t="n">
        <v>44054</v>
      </c>
      <c r="C576" s="1" t="n">
        <v>45799</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37113-2020</t>
        </is>
      </c>
      <c r="B577" s="1" t="n">
        <v>44054</v>
      </c>
      <c r="C577" s="1" t="n">
        <v>45799</v>
      </c>
      <c r="D577" t="inlineStr">
        <is>
          <t>KALMAR LÄN</t>
        </is>
      </c>
      <c r="E577" t="inlineStr">
        <is>
          <t>VÄSTERVIK</t>
        </is>
      </c>
      <c r="G577" t="n">
        <v>2.1</v>
      </c>
      <c r="H577" t="n">
        <v>0</v>
      </c>
      <c r="I577" t="n">
        <v>0</v>
      </c>
      <c r="J577" t="n">
        <v>0</v>
      </c>
      <c r="K577" t="n">
        <v>0</v>
      </c>
      <c r="L577" t="n">
        <v>0</v>
      </c>
      <c r="M577" t="n">
        <v>0</v>
      </c>
      <c r="N577" t="n">
        <v>0</v>
      </c>
      <c r="O577" t="n">
        <v>0</v>
      </c>
      <c r="P577" t="n">
        <v>0</v>
      </c>
      <c r="Q577" t="n">
        <v>0</v>
      </c>
      <c r="R577" s="2" t="inlineStr"/>
    </row>
    <row r="578" ht="15" customHeight="1">
      <c r="A578" t="inlineStr">
        <is>
          <t>A 37122-2020</t>
        </is>
      </c>
      <c r="B578" s="1" t="n">
        <v>44054</v>
      </c>
      <c r="C578" s="1" t="n">
        <v>45799</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37149-2020</t>
        </is>
      </c>
      <c r="B579" s="1" t="n">
        <v>44054</v>
      </c>
      <c r="C579" s="1" t="n">
        <v>45799</v>
      </c>
      <c r="D579" t="inlineStr">
        <is>
          <t>KALMAR LÄN</t>
        </is>
      </c>
      <c r="E579" t="inlineStr">
        <is>
          <t>VÄSTERVIK</t>
        </is>
      </c>
      <c r="G579" t="n">
        <v>4.6</v>
      </c>
      <c r="H579" t="n">
        <v>0</v>
      </c>
      <c r="I579" t="n">
        <v>0</v>
      </c>
      <c r="J579" t="n">
        <v>0</v>
      </c>
      <c r="K579" t="n">
        <v>0</v>
      </c>
      <c r="L579" t="n">
        <v>0</v>
      </c>
      <c r="M579" t="n">
        <v>0</v>
      </c>
      <c r="N579" t="n">
        <v>0</v>
      </c>
      <c r="O579" t="n">
        <v>0</v>
      </c>
      <c r="P579" t="n">
        <v>0</v>
      </c>
      <c r="Q579" t="n">
        <v>0</v>
      </c>
      <c r="R579" s="2" t="inlineStr"/>
    </row>
    <row r="580" ht="15" customHeight="1">
      <c r="A580" t="inlineStr">
        <is>
          <t>A 37166-2020</t>
        </is>
      </c>
      <c r="B580" s="1" t="n">
        <v>44054</v>
      </c>
      <c r="C580" s="1" t="n">
        <v>45799</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37114-2020</t>
        </is>
      </c>
      <c r="B581" s="1" t="n">
        <v>44054</v>
      </c>
      <c r="C581" s="1" t="n">
        <v>45799</v>
      </c>
      <c r="D581" t="inlineStr">
        <is>
          <t>KALMAR LÄN</t>
        </is>
      </c>
      <c r="E581" t="inlineStr">
        <is>
          <t>VÄSTERVIK</t>
        </is>
      </c>
      <c r="G581" t="n">
        <v>2.8</v>
      </c>
      <c r="H581" t="n">
        <v>0</v>
      </c>
      <c r="I581" t="n">
        <v>0</v>
      </c>
      <c r="J581" t="n">
        <v>0</v>
      </c>
      <c r="K581" t="n">
        <v>0</v>
      </c>
      <c r="L581" t="n">
        <v>0</v>
      </c>
      <c r="M581" t="n">
        <v>0</v>
      </c>
      <c r="N581" t="n">
        <v>0</v>
      </c>
      <c r="O581" t="n">
        <v>0</v>
      </c>
      <c r="P581" t="n">
        <v>0</v>
      </c>
      <c r="Q581" t="n">
        <v>0</v>
      </c>
      <c r="R581" s="2" t="inlineStr"/>
    </row>
    <row r="582" ht="15" customHeight="1">
      <c r="A582" t="inlineStr">
        <is>
          <t>A 39153-2020</t>
        </is>
      </c>
      <c r="B582" s="1" t="n">
        <v>44063</v>
      </c>
      <c r="C582" s="1" t="n">
        <v>45799</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39779-2020</t>
        </is>
      </c>
      <c r="B583" s="1" t="n">
        <v>44064</v>
      </c>
      <c r="C583" s="1" t="n">
        <v>45799</v>
      </c>
      <c r="D583" t="inlineStr">
        <is>
          <t>KALMAR LÄN</t>
        </is>
      </c>
      <c r="E583" t="inlineStr">
        <is>
          <t>VÄSTERVIK</t>
        </is>
      </c>
      <c r="G583" t="n">
        <v>2.1</v>
      </c>
      <c r="H583" t="n">
        <v>0</v>
      </c>
      <c r="I583" t="n">
        <v>0</v>
      </c>
      <c r="J583" t="n">
        <v>0</v>
      </c>
      <c r="K583" t="n">
        <v>0</v>
      </c>
      <c r="L583" t="n">
        <v>0</v>
      </c>
      <c r="M583" t="n">
        <v>0</v>
      </c>
      <c r="N583" t="n">
        <v>0</v>
      </c>
      <c r="O583" t="n">
        <v>0</v>
      </c>
      <c r="P583" t="n">
        <v>0</v>
      </c>
      <c r="Q583" t="n">
        <v>0</v>
      </c>
      <c r="R583" s="2" t="inlineStr"/>
    </row>
    <row r="584" ht="15" customHeight="1">
      <c r="A584" t="inlineStr">
        <is>
          <t>A 39859-2020</t>
        </is>
      </c>
      <c r="B584" s="1" t="n">
        <v>44064</v>
      </c>
      <c r="C584" s="1" t="n">
        <v>45799</v>
      </c>
      <c r="D584" t="inlineStr">
        <is>
          <t>KALMAR LÄN</t>
        </is>
      </c>
      <c r="E584" t="inlineStr">
        <is>
          <t>VÄSTERVIK</t>
        </is>
      </c>
      <c r="G584" t="n">
        <v>29.6</v>
      </c>
      <c r="H584" t="n">
        <v>0</v>
      </c>
      <c r="I584" t="n">
        <v>0</v>
      </c>
      <c r="J584" t="n">
        <v>0</v>
      </c>
      <c r="K584" t="n">
        <v>0</v>
      </c>
      <c r="L584" t="n">
        <v>0</v>
      </c>
      <c r="M584" t="n">
        <v>0</v>
      </c>
      <c r="N584" t="n">
        <v>0</v>
      </c>
      <c r="O584" t="n">
        <v>0</v>
      </c>
      <c r="P584" t="n">
        <v>0</v>
      </c>
      <c r="Q584" t="n">
        <v>0</v>
      </c>
      <c r="R584" s="2" t="inlineStr"/>
    </row>
    <row r="585" ht="15" customHeight="1">
      <c r="A585" t="inlineStr">
        <is>
          <t>A 39857-2020</t>
        </is>
      </c>
      <c r="B585" s="1" t="n">
        <v>44064</v>
      </c>
      <c r="C585" s="1" t="n">
        <v>45799</v>
      </c>
      <c r="D585" t="inlineStr">
        <is>
          <t>KALMAR LÄN</t>
        </is>
      </c>
      <c r="E585" t="inlineStr">
        <is>
          <t>VÄSTERVIK</t>
        </is>
      </c>
      <c r="G585" t="n">
        <v>7.6</v>
      </c>
      <c r="H585" t="n">
        <v>0</v>
      </c>
      <c r="I585" t="n">
        <v>0</v>
      </c>
      <c r="J585" t="n">
        <v>0</v>
      </c>
      <c r="K585" t="n">
        <v>0</v>
      </c>
      <c r="L585" t="n">
        <v>0</v>
      </c>
      <c r="M585" t="n">
        <v>0</v>
      </c>
      <c r="N585" t="n">
        <v>0</v>
      </c>
      <c r="O585" t="n">
        <v>0</v>
      </c>
      <c r="P585" t="n">
        <v>0</v>
      </c>
      <c r="Q585" t="n">
        <v>0</v>
      </c>
      <c r="R585" s="2" t="inlineStr"/>
    </row>
    <row r="586" ht="15" customHeight="1">
      <c r="A586" t="inlineStr">
        <is>
          <t>A 42113-2020</t>
        </is>
      </c>
      <c r="B586" s="1" t="n">
        <v>44071</v>
      </c>
      <c r="C586" s="1" t="n">
        <v>45799</v>
      </c>
      <c r="D586" t="inlineStr">
        <is>
          <t>KALMAR LÄN</t>
        </is>
      </c>
      <c r="E586" t="inlineStr">
        <is>
          <t>VÄSTERVIK</t>
        </is>
      </c>
      <c r="G586" t="n">
        <v>2.6</v>
      </c>
      <c r="H586" t="n">
        <v>0</v>
      </c>
      <c r="I586" t="n">
        <v>0</v>
      </c>
      <c r="J586" t="n">
        <v>0</v>
      </c>
      <c r="K586" t="n">
        <v>0</v>
      </c>
      <c r="L586" t="n">
        <v>0</v>
      </c>
      <c r="M586" t="n">
        <v>0</v>
      </c>
      <c r="N586" t="n">
        <v>0</v>
      </c>
      <c r="O586" t="n">
        <v>0</v>
      </c>
      <c r="P586" t="n">
        <v>0</v>
      </c>
      <c r="Q586" t="n">
        <v>0</v>
      </c>
      <c r="R586" s="2" t="inlineStr"/>
    </row>
    <row r="587" ht="15" customHeight="1">
      <c r="A587" t="inlineStr">
        <is>
          <t>A 43730-2020</t>
        </is>
      </c>
      <c r="B587" s="1" t="n">
        <v>44082</v>
      </c>
      <c r="C587" s="1" t="n">
        <v>45799</v>
      </c>
      <c r="D587" t="inlineStr">
        <is>
          <t>KALMAR LÄN</t>
        </is>
      </c>
      <c r="E587" t="inlineStr">
        <is>
          <t>VÄSTERVIK</t>
        </is>
      </c>
      <c r="G587" t="n">
        <v>0.1</v>
      </c>
      <c r="H587" t="n">
        <v>0</v>
      </c>
      <c r="I587" t="n">
        <v>0</v>
      </c>
      <c r="J587" t="n">
        <v>0</v>
      </c>
      <c r="K587" t="n">
        <v>0</v>
      </c>
      <c r="L587" t="n">
        <v>0</v>
      </c>
      <c r="M587" t="n">
        <v>0</v>
      </c>
      <c r="N587" t="n">
        <v>0</v>
      </c>
      <c r="O587" t="n">
        <v>0</v>
      </c>
      <c r="P587" t="n">
        <v>0</v>
      </c>
      <c r="Q587" t="n">
        <v>0</v>
      </c>
      <c r="R587" s="2" t="inlineStr"/>
    </row>
    <row r="588" ht="15" customHeight="1">
      <c r="A588" t="inlineStr">
        <is>
          <t>A 44466-2020</t>
        </is>
      </c>
      <c r="B588" s="1" t="n">
        <v>44084</v>
      </c>
      <c r="C588" s="1" t="n">
        <v>45799</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c r="U588">
        <f>HYPERLINK("https://klasma.github.io/Logging_0883/knärot/A 44466-2020 karta knärot.png", "A 44466-2020")</f>
        <v/>
      </c>
      <c r="V588">
        <f>HYPERLINK("https://klasma.github.io/Logging_0883/klagomål/A 44466-2020 FSC-klagomål.docx", "A 44466-2020")</f>
        <v/>
      </c>
      <c r="W588">
        <f>HYPERLINK("https://klasma.github.io/Logging_0883/klagomålsmail/A 44466-2020 FSC-klagomål mail.docx", "A 44466-2020")</f>
        <v/>
      </c>
      <c r="X588">
        <f>HYPERLINK("https://klasma.github.io/Logging_0883/tillsyn/A 44466-2020 tillsynsbegäran.docx", "A 44466-2020")</f>
        <v/>
      </c>
      <c r="Y588">
        <f>HYPERLINK("https://klasma.github.io/Logging_0883/tillsynsmail/A 44466-2020 tillsynsbegäran mail.docx", "A 44466-2020")</f>
        <v/>
      </c>
    </row>
    <row r="589" ht="15" customHeight="1">
      <c r="A589" t="inlineStr">
        <is>
          <t>A 45537-2020</t>
        </is>
      </c>
      <c r="B589" s="1" t="n">
        <v>44089</v>
      </c>
      <c r="C589" s="1" t="n">
        <v>45799</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45877-2020</t>
        </is>
      </c>
      <c r="B590" s="1" t="n">
        <v>44091</v>
      </c>
      <c r="C590" s="1" t="n">
        <v>45799</v>
      </c>
      <c r="D590" t="inlineStr">
        <is>
          <t>KALMAR LÄN</t>
        </is>
      </c>
      <c r="E590" t="inlineStr">
        <is>
          <t>VÄSTERVIK</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46214-2020</t>
        </is>
      </c>
      <c r="B591" s="1" t="n">
        <v>44092</v>
      </c>
      <c r="C591" s="1" t="n">
        <v>45799</v>
      </c>
      <c r="D591" t="inlineStr">
        <is>
          <t>KALMAR LÄN</t>
        </is>
      </c>
      <c r="E591" t="inlineStr">
        <is>
          <t>VÄSTERVIK</t>
        </is>
      </c>
      <c r="G591" t="n">
        <v>2.7</v>
      </c>
      <c r="H591" t="n">
        <v>0</v>
      </c>
      <c r="I591" t="n">
        <v>0</v>
      </c>
      <c r="J591" t="n">
        <v>0</v>
      </c>
      <c r="K591" t="n">
        <v>0</v>
      </c>
      <c r="L591" t="n">
        <v>0</v>
      </c>
      <c r="M591" t="n">
        <v>0</v>
      </c>
      <c r="N591" t="n">
        <v>0</v>
      </c>
      <c r="O591" t="n">
        <v>0</v>
      </c>
      <c r="P591" t="n">
        <v>0</v>
      </c>
      <c r="Q591" t="n">
        <v>0</v>
      </c>
      <c r="R591" s="2" t="inlineStr"/>
    </row>
    <row r="592" ht="15" customHeight="1">
      <c r="A592" t="inlineStr">
        <is>
          <t>A 46822-2020</t>
        </is>
      </c>
      <c r="B592" s="1" t="n">
        <v>44096</v>
      </c>
      <c r="C592" s="1" t="n">
        <v>45799</v>
      </c>
      <c r="D592" t="inlineStr">
        <is>
          <t>KALMAR LÄN</t>
        </is>
      </c>
      <c r="E592" t="inlineStr">
        <is>
          <t>VÄSTERVIK</t>
        </is>
      </c>
      <c r="G592" t="n">
        <v>0.2</v>
      </c>
      <c r="H592" t="n">
        <v>0</v>
      </c>
      <c r="I592" t="n">
        <v>0</v>
      </c>
      <c r="J592" t="n">
        <v>0</v>
      </c>
      <c r="K592" t="n">
        <v>0</v>
      </c>
      <c r="L592" t="n">
        <v>0</v>
      </c>
      <c r="M592" t="n">
        <v>0</v>
      </c>
      <c r="N592" t="n">
        <v>0</v>
      </c>
      <c r="O592" t="n">
        <v>0</v>
      </c>
      <c r="P592" t="n">
        <v>0</v>
      </c>
      <c r="Q592" t="n">
        <v>0</v>
      </c>
      <c r="R592" s="2" t="inlineStr"/>
    </row>
    <row r="593" ht="15" customHeight="1">
      <c r="A593" t="inlineStr">
        <is>
          <t>A 47907-2020</t>
        </is>
      </c>
      <c r="B593" s="1" t="n">
        <v>44099</v>
      </c>
      <c r="C593" s="1" t="n">
        <v>45799</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48135-2020</t>
        </is>
      </c>
      <c r="B594" s="1" t="n">
        <v>44099</v>
      </c>
      <c r="C594" s="1" t="n">
        <v>45799</v>
      </c>
      <c r="D594" t="inlineStr">
        <is>
          <t>KALMAR LÄN</t>
        </is>
      </c>
      <c r="E594" t="inlineStr">
        <is>
          <t>VÄSTERVIK</t>
        </is>
      </c>
      <c r="G594" t="n">
        <v>3.2</v>
      </c>
      <c r="H594" t="n">
        <v>0</v>
      </c>
      <c r="I594" t="n">
        <v>0</v>
      </c>
      <c r="J594" t="n">
        <v>0</v>
      </c>
      <c r="K594" t="n">
        <v>0</v>
      </c>
      <c r="L594" t="n">
        <v>0</v>
      </c>
      <c r="M594" t="n">
        <v>0</v>
      </c>
      <c r="N594" t="n">
        <v>0</v>
      </c>
      <c r="O594" t="n">
        <v>0</v>
      </c>
      <c r="P594" t="n">
        <v>0</v>
      </c>
      <c r="Q594" t="n">
        <v>0</v>
      </c>
      <c r="R594" s="2" t="inlineStr"/>
    </row>
    <row r="595" ht="15" customHeight="1">
      <c r="A595" t="inlineStr">
        <is>
          <t>A 50821-2020</t>
        </is>
      </c>
      <c r="B595" s="1" t="n">
        <v>44111</v>
      </c>
      <c r="C595" s="1" t="n">
        <v>45799</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50800-2020</t>
        </is>
      </c>
      <c r="B596" s="1" t="n">
        <v>44111</v>
      </c>
      <c r="C596" s="1" t="n">
        <v>45799</v>
      </c>
      <c r="D596" t="inlineStr">
        <is>
          <t>KALMAR LÄN</t>
        </is>
      </c>
      <c r="E596" t="inlineStr">
        <is>
          <t>VÄSTERVIK</t>
        </is>
      </c>
      <c r="G596" t="n">
        <v>0.4</v>
      </c>
      <c r="H596" t="n">
        <v>0</v>
      </c>
      <c r="I596" t="n">
        <v>0</v>
      </c>
      <c r="J596" t="n">
        <v>0</v>
      </c>
      <c r="K596" t="n">
        <v>0</v>
      </c>
      <c r="L596" t="n">
        <v>0</v>
      </c>
      <c r="M596" t="n">
        <v>0</v>
      </c>
      <c r="N596" t="n">
        <v>0</v>
      </c>
      <c r="O596" t="n">
        <v>0</v>
      </c>
      <c r="P596" t="n">
        <v>0</v>
      </c>
      <c r="Q596" t="n">
        <v>0</v>
      </c>
      <c r="R596" s="2" t="inlineStr"/>
    </row>
    <row r="597" ht="15" customHeight="1">
      <c r="A597" t="inlineStr">
        <is>
          <t>A 51264-2020</t>
        </is>
      </c>
      <c r="B597" s="1" t="n">
        <v>44112</v>
      </c>
      <c r="C597" s="1" t="n">
        <v>45799</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54164-2020</t>
        </is>
      </c>
      <c r="B598" s="1" t="n">
        <v>44125</v>
      </c>
      <c r="C598" s="1" t="n">
        <v>45799</v>
      </c>
      <c r="D598" t="inlineStr">
        <is>
          <t>KALMAR LÄN</t>
        </is>
      </c>
      <c r="E598" t="inlineStr">
        <is>
          <t>VÄSTERVIK</t>
        </is>
      </c>
      <c r="F598" t="inlineStr">
        <is>
          <t>Sveaskog</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55240-2020</t>
        </is>
      </c>
      <c r="B599" s="1" t="n">
        <v>44130</v>
      </c>
      <c r="C599" s="1" t="n">
        <v>45799</v>
      </c>
      <c r="D599" t="inlineStr">
        <is>
          <t>KALMAR LÄN</t>
        </is>
      </c>
      <c r="E599" t="inlineStr">
        <is>
          <t>VÄSTERVIK</t>
        </is>
      </c>
      <c r="G599" t="n">
        <v>1.2</v>
      </c>
      <c r="H599" t="n">
        <v>0</v>
      </c>
      <c r="I599" t="n">
        <v>0</v>
      </c>
      <c r="J599" t="n">
        <v>0</v>
      </c>
      <c r="K599" t="n">
        <v>0</v>
      </c>
      <c r="L599" t="n">
        <v>0</v>
      </c>
      <c r="M599" t="n">
        <v>0</v>
      </c>
      <c r="N599" t="n">
        <v>0</v>
      </c>
      <c r="O599" t="n">
        <v>0</v>
      </c>
      <c r="P599" t="n">
        <v>0</v>
      </c>
      <c r="Q599" t="n">
        <v>0</v>
      </c>
      <c r="R599" s="2" t="inlineStr"/>
    </row>
    <row r="600" ht="15" customHeight="1">
      <c r="A600" t="inlineStr">
        <is>
          <t>A 56127-2020</t>
        </is>
      </c>
      <c r="B600" s="1" t="n">
        <v>44132</v>
      </c>
      <c r="C600" s="1" t="n">
        <v>45799</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57009-2020</t>
        </is>
      </c>
      <c r="B601" s="1" t="n">
        <v>44138</v>
      </c>
      <c r="C601" s="1" t="n">
        <v>45799</v>
      </c>
      <c r="D601" t="inlineStr">
        <is>
          <t>KALMAR LÄN</t>
        </is>
      </c>
      <c r="E601" t="inlineStr">
        <is>
          <t>VÄSTERVIK</t>
        </is>
      </c>
      <c r="F601" t="inlineStr">
        <is>
          <t>Holmen skog AB</t>
        </is>
      </c>
      <c r="G601" t="n">
        <v>1.7</v>
      </c>
      <c r="H601" t="n">
        <v>0</v>
      </c>
      <c r="I601" t="n">
        <v>0</v>
      </c>
      <c r="J601" t="n">
        <v>0</v>
      </c>
      <c r="K601" t="n">
        <v>0</v>
      </c>
      <c r="L601" t="n">
        <v>0</v>
      </c>
      <c r="M601" t="n">
        <v>0</v>
      </c>
      <c r="N601" t="n">
        <v>0</v>
      </c>
      <c r="O601" t="n">
        <v>0</v>
      </c>
      <c r="P601" t="n">
        <v>0</v>
      </c>
      <c r="Q601" t="n">
        <v>0</v>
      </c>
      <c r="R601" s="2" t="inlineStr"/>
      <c r="U601">
        <f>HYPERLINK("https://klasma.github.io/Logging_0883/knärot/A 57009-2020 karta knärot.png", "A 57009-2020")</f>
        <v/>
      </c>
      <c r="V601">
        <f>HYPERLINK("https://klasma.github.io/Logging_0883/klagomål/A 57009-2020 FSC-klagomål.docx", "A 57009-2020")</f>
        <v/>
      </c>
      <c r="W601">
        <f>HYPERLINK("https://klasma.github.io/Logging_0883/klagomålsmail/A 57009-2020 FSC-klagomål mail.docx", "A 57009-2020")</f>
        <v/>
      </c>
      <c r="X601">
        <f>HYPERLINK("https://klasma.github.io/Logging_0883/tillsyn/A 57009-2020 tillsynsbegäran.docx", "A 57009-2020")</f>
        <v/>
      </c>
      <c r="Y601">
        <f>HYPERLINK("https://klasma.github.io/Logging_0883/tillsynsmail/A 57009-2020 tillsynsbegäran mail.docx", "A 57009-2020")</f>
        <v/>
      </c>
    </row>
    <row r="602" ht="15" customHeight="1">
      <c r="A602" t="inlineStr">
        <is>
          <t>A 57065-2020</t>
        </is>
      </c>
      <c r="B602" s="1" t="n">
        <v>44138</v>
      </c>
      <c r="C602" s="1" t="n">
        <v>45799</v>
      </c>
      <c r="D602" t="inlineStr">
        <is>
          <t>KALMAR LÄN</t>
        </is>
      </c>
      <c r="E602" t="inlineStr">
        <is>
          <t>VÄSTERVIK</t>
        </is>
      </c>
      <c r="G602" t="n">
        <v>3.7</v>
      </c>
      <c r="H602" t="n">
        <v>0</v>
      </c>
      <c r="I602" t="n">
        <v>0</v>
      </c>
      <c r="J602" t="n">
        <v>0</v>
      </c>
      <c r="K602" t="n">
        <v>0</v>
      </c>
      <c r="L602" t="n">
        <v>0</v>
      </c>
      <c r="M602" t="n">
        <v>0</v>
      </c>
      <c r="N602" t="n">
        <v>0</v>
      </c>
      <c r="O602" t="n">
        <v>0</v>
      </c>
      <c r="P602" t="n">
        <v>0</v>
      </c>
      <c r="Q602" t="n">
        <v>0</v>
      </c>
      <c r="R602" s="2" t="inlineStr"/>
    </row>
    <row r="603" ht="15" customHeight="1">
      <c r="A603" t="inlineStr">
        <is>
          <t>A 58041-2020</t>
        </is>
      </c>
      <c r="B603" s="1" t="n">
        <v>44140</v>
      </c>
      <c r="C603" s="1" t="n">
        <v>45799</v>
      </c>
      <c r="D603" t="inlineStr">
        <is>
          <t>KALMAR LÄN</t>
        </is>
      </c>
      <c r="E603" t="inlineStr">
        <is>
          <t>VÄSTERVIK</t>
        </is>
      </c>
      <c r="F603" t="inlineStr">
        <is>
          <t>Övriga Aktiebolag</t>
        </is>
      </c>
      <c r="G603" t="n">
        <v>1.9</v>
      </c>
      <c r="H603" t="n">
        <v>0</v>
      </c>
      <c r="I603" t="n">
        <v>0</v>
      </c>
      <c r="J603" t="n">
        <v>0</v>
      </c>
      <c r="K603" t="n">
        <v>0</v>
      </c>
      <c r="L603" t="n">
        <v>0</v>
      </c>
      <c r="M603" t="n">
        <v>0</v>
      </c>
      <c r="N603" t="n">
        <v>0</v>
      </c>
      <c r="O603" t="n">
        <v>0</v>
      </c>
      <c r="P603" t="n">
        <v>0</v>
      </c>
      <c r="Q603" t="n">
        <v>0</v>
      </c>
      <c r="R603" s="2" t="inlineStr"/>
    </row>
    <row r="604" ht="15" customHeight="1">
      <c r="A604" t="inlineStr">
        <is>
          <t>A 57922-2020</t>
        </is>
      </c>
      <c r="B604" s="1" t="n">
        <v>44141</v>
      </c>
      <c r="C604" s="1" t="n">
        <v>45799</v>
      </c>
      <c r="D604" t="inlineStr">
        <is>
          <t>KALMAR LÄN</t>
        </is>
      </c>
      <c r="E604" t="inlineStr">
        <is>
          <t>VÄSTERVIK</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58800-2020</t>
        </is>
      </c>
      <c r="B605" s="1" t="n">
        <v>44146</v>
      </c>
      <c r="C605" s="1" t="n">
        <v>45799</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59421-2020</t>
        </is>
      </c>
      <c r="B606" s="1" t="n">
        <v>44148</v>
      </c>
      <c r="C606" s="1" t="n">
        <v>45799</v>
      </c>
      <c r="D606" t="inlineStr">
        <is>
          <t>KALMAR LÄN</t>
        </is>
      </c>
      <c r="E606" t="inlineStr">
        <is>
          <t>VÄSTERVIK</t>
        </is>
      </c>
      <c r="G606" t="n">
        <v>1.4</v>
      </c>
      <c r="H606" t="n">
        <v>0</v>
      </c>
      <c r="I606" t="n">
        <v>0</v>
      </c>
      <c r="J606" t="n">
        <v>0</v>
      </c>
      <c r="K606" t="n">
        <v>0</v>
      </c>
      <c r="L606" t="n">
        <v>0</v>
      </c>
      <c r="M606" t="n">
        <v>0</v>
      </c>
      <c r="N606" t="n">
        <v>0</v>
      </c>
      <c r="O606" t="n">
        <v>0</v>
      </c>
      <c r="P606" t="n">
        <v>0</v>
      </c>
      <c r="Q606" t="n">
        <v>0</v>
      </c>
      <c r="R606" s="2" t="inlineStr"/>
    </row>
    <row r="607" ht="15" customHeight="1">
      <c r="A607" t="inlineStr">
        <is>
          <t>A 59634-2020</t>
        </is>
      </c>
      <c r="B607" s="1" t="n">
        <v>44150</v>
      </c>
      <c r="C607" s="1" t="n">
        <v>45799</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61682-2020</t>
        </is>
      </c>
      <c r="B608" s="1" t="n">
        <v>44154</v>
      </c>
      <c r="C608" s="1" t="n">
        <v>45799</v>
      </c>
      <c r="D608" t="inlineStr">
        <is>
          <t>KALMAR LÄN</t>
        </is>
      </c>
      <c r="E608" t="inlineStr">
        <is>
          <t>VÄSTERVIK</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61696-2020</t>
        </is>
      </c>
      <c r="B609" s="1" t="n">
        <v>44158</v>
      </c>
      <c r="C609" s="1" t="n">
        <v>45799</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61799-2020</t>
        </is>
      </c>
      <c r="B610" s="1" t="n">
        <v>44158</v>
      </c>
      <c r="C610" s="1" t="n">
        <v>45799</v>
      </c>
      <c r="D610" t="inlineStr">
        <is>
          <t>KALMAR LÄN</t>
        </is>
      </c>
      <c r="E610" t="inlineStr">
        <is>
          <t>VÄSTERVIK</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63635-2020</t>
        </is>
      </c>
      <c r="B611" s="1" t="n">
        <v>44162</v>
      </c>
      <c r="C611" s="1" t="n">
        <v>45799</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63212-2020</t>
        </is>
      </c>
      <c r="B612" s="1" t="n">
        <v>44163</v>
      </c>
      <c r="C612" s="1" t="n">
        <v>45799</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64399-2020</t>
        </is>
      </c>
      <c r="B613" s="1" t="n">
        <v>44168</v>
      </c>
      <c r="C613" s="1" t="n">
        <v>45799</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66149-2020</t>
        </is>
      </c>
      <c r="B614" s="1" t="n">
        <v>44173</v>
      </c>
      <c r="C614" s="1" t="n">
        <v>45799</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65647-2020</t>
        </is>
      </c>
      <c r="B615" s="1" t="n">
        <v>44174</v>
      </c>
      <c r="C615" s="1" t="n">
        <v>45799</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66748-2020</t>
        </is>
      </c>
      <c r="B616" s="1" t="n">
        <v>44175</v>
      </c>
      <c r="C616" s="1" t="n">
        <v>45799</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66757-2020</t>
        </is>
      </c>
      <c r="B617" s="1" t="n">
        <v>44175</v>
      </c>
      <c r="C617" s="1" t="n">
        <v>45799</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66328-2020</t>
        </is>
      </c>
      <c r="B618" s="1" t="n">
        <v>44176</v>
      </c>
      <c r="C618" s="1" t="n">
        <v>45799</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66292-2020</t>
        </is>
      </c>
      <c r="B619" s="1" t="n">
        <v>44176</v>
      </c>
      <c r="C619" s="1" t="n">
        <v>45799</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66888-2020</t>
        </is>
      </c>
      <c r="B620" s="1" t="n">
        <v>44179</v>
      </c>
      <c r="C620" s="1" t="n">
        <v>45799</v>
      </c>
      <c r="D620" t="inlineStr">
        <is>
          <t>KALMAR LÄN</t>
        </is>
      </c>
      <c r="E620" t="inlineStr">
        <is>
          <t>VÄSTERVIK</t>
        </is>
      </c>
      <c r="G620" t="n">
        <v>0.3</v>
      </c>
      <c r="H620" t="n">
        <v>0</v>
      </c>
      <c r="I620" t="n">
        <v>0</v>
      </c>
      <c r="J620" t="n">
        <v>0</v>
      </c>
      <c r="K620" t="n">
        <v>0</v>
      </c>
      <c r="L620" t="n">
        <v>0</v>
      </c>
      <c r="M620" t="n">
        <v>0</v>
      </c>
      <c r="N620" t="n">
        <v>0</v>
      </c>
      <c r="O620" t="n">
        <v>0</v>
      </c>
      <c r="P620" t="n">
        <v>0</v>
      </c>
      <c r="Q620" t="n">
        <v>0</v>
      </c>
      <c r="R620" s="2" t="inlineStr"/>
    </row>
    <row r="621" ht="15" customHeight="1">
      <c r="A621" t="inlineStr">
        <is>
          <t>A 67133-2020</t>
        </is>
      </c>
      <c r="B621" s="1" t="n">
        <v>44180</v>
      </c>
      <c r="C621" s="1" t="n">
        <v>45799</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68811-2020</t>
        </is>
      </c>
      <c r="B622" s="1" t="n">
        <v>44187</v>
      </c>
      <c r="C622" s="1" t="n">
        <v>45799</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69098-2020</t>
        </is>
      </c>
      <c r="B623" s="1" t="n">
        <v>44187</v>
      </c>
      <c r="C623" s="1" t="n">
        <v>45799</v>
      </c>
      <c r="D623" t="inlineStr">
        <is>
          <t>KALMAR LÄN</t>
        </is>
      </c>
      <c r="E623" t="inlineStr">
        <is>
          <t>VÄSTERVIK</t>
        </is>
      </c>
      <c r="G623" t="n">
        <v>1.9</v>
      </c>
      <c r="H623" t="n">
        <v>0</v>
      </c>
      <c r="I623" t="n">
        <v>0</v>
      </c>
      <c r="J623" t="n">
        <v>0</v>
      </c>
      <c r="K623" t="n">
        <v>0</v>
      </c>
      <c r="L623" t="n">
        <v>0</v>
      </c>
      <c r="M623" t="n">
        <v>0</v>
      </c>
      <c r="N623" t="n">
        <v>0</v>
      </c>
      <c r="O623" t="n">
        <v>0</v>
      </c>
      <c r="P623" t="n">
        <v>0</v>
      </c>
      <c r="Q623" t="n">
        <v>0</v>
      </c>
      <c r="R623" s="2" t="inlineStr"/>
    </row>
    <row r="624" ht="15" customHeight="1">
      <c r="A624" t="inlineStr">
        <is>
          <t>A 69064-2020</t>
        </is>
      </c>
      <c r="B624" s="1" t="n">
        <v>44188</v>
      </c>
      <c r="C624" s="1" t="n">
        <v>45799</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119-2021</t>
        </is>
      </c>
      <c r="B625" s="1" t="n">
        <v>44200</v>
      </c>
      <c r="C625" s="1" t="n">
        <v>45799</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401-2021</t>
        </is>
      </c>
      <c r="B626" s="1" t="n">
        <v>44201</v>
      </c>
      <c r="C626" s="1" t="n">
        <v>45799</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410-2021</t>
        </is>
      </c>
      <c r="B627" s="1" t="n">
        <v>44201</v>
      </c>
      <c r="C627" s="1" t="n">
        <v>45799</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578-2021</t>
        </is>
      </c>
      <c r="B628" s="1" t="n">
        <v>44203</v>
      </c>
      <c r="C628" s="1" t="n">
        <v>45799</v>
      </c>
      <c r="D628" t="inlineStr">
        <is>
          <t>KALMAR LÄN</t>
        </is>
      </c>
      <c r="E628" t="inlineStr">
        <is>
          <t>VÄSTERVIK</t>
        </is>
      </c>
      <c r="G628" t="n">
        <v>3.5</v>
      </c>
      <c r="H628" t="n">
        <v>0</v>
      </c>
      <c r="I628" t="n">
        <v>0</v>
      </c>
      <c r="J628" t="n">
        <v>0</v>
      </c>
      <c r="K628" t="n">
        <v>0</v>
      </c>
      <c r="L628" t="n">
        <v>0</v>
      </c>
      <c r="M628" t="n">
        <v>0</v>
      </c>
      <c r="N628" t="n">
        <v>0</v>
      </c>
      <c r="O628" t="n">
        <v>0</v>
      </c>
      <c r="P628" t="n">
        <v>0</v>
      </c>
      <c r="Q628" t="n">
        <v>0</v>
      </c>
      <c r="R628" s="2" t="inlineStr"/>
    </row>
    <row r="629" ht="15" customHeight="1">
      <c r="A629" t="inlineStr">
        <is>
          <t>A 809-2021</t>
        </is>
      </c>
      <c r="B629" s="1" t="n">
        <v>44204</v>
      </c>
      <c r="C629" s="1" t="n">
        <v>45799</v>
      </c>
      <c r="D629" t="inlineStr">
        <is>
          <t>KALMAR LÄN</t>
        </is>
      </c>
      <c r="E629" t="inlineStr">
        <is>
          <t>VÄSTERVIK</t>
        </is>
      </c>
      <c r="F629" t="inlineStr">
        <is>
          <t>Övriga Aktiebolag</t>
        </is>
      </c>
      <c r="G629" t="n">
        <v>2.8</v>
      </c>
      <c r="H629" t="n">
        <v>0</v>
      </c>
      <c r="I629" t="n">
        <v>0</v>
      </c>
      <c r="J629" t="n">
        <v>0</v>
      </c>
      <c r="K629" t="n">
        <v>0</v>
      </c>
      <c r="L629" t="n">
        <v>0</v>
      </c>
      <c r="M629" t="n">
        <v>0</v>
      </c>
      <c r="N629" t="n">
        <v>0</v>
      </c>
      <c r="O629" t="n">
        <v>0</v>
      </c>
      <c r="P629" t="n">
        <v>0</v>
      </c>
      <c r="Q629" t="n">
        <v>0</v>
      </c>
      <c r="R629" s="2" t="inlineStr"/>
    </row>
    <row r="630" ht="15" customHeight="1">
      <c r="A630" t="inlineStr">
        <is>
          <t>A 789-2021</t>
        </is>
      </c>
      <c r="B630" s="1" t="n">
        <v>44204</v>
      </c>
      <c r="C630" s="1" t="n">
        <v>45799</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1959-2021</t>
        </is>
      </c>
      <c r="B631" s="1" t="n">
        <v>44210</v>
      </c>
      <c r="C631" s="1" t="n">
        <v>45799</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2106-2021</t>
        </is>
      </c>
      <c r="B632" s="1" t="n">
        <v>44211</v>
      </c>
      <c r="C632" s="1" t="n">
        <v>45799</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3555-2021</t>
        </is>
      </c>
      <c r="B633" s="1" t="n">
        <v>44218</v>
      </c>
      <c r="C633" s="1" t="n">
        <v>45799</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3553-2021</t>
        </is>
      </c>
      <c r="B634" s="1" t="n">
        <v>44218</v>
      </c>
      <c r="C634" s="1" t="n">
        <v>45799</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3492-2021</t>
        </is>
      </c>
      <c r="B635" s="1" t="n">
        <v>44218</v>
      </c>
      <c r="C635" s="1" t="n">
        <v>45799</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3669-2021</t>
        </is>
      </c>
      <c r="B636" s="1" t="n">
        <v>44221</v>
      </c>
      <c r="C636" s="1" t="n">
        <v>45799</v>
      </c>
      <c r="D636" t="inlineStr">
        <is>
          <t>KALMAR LÄN</t>
        </is>
      </c>
      <c r="E636" t="inlineStr">
        <is>
          <t>VÄSTERVIK</t>
        </is>
      </c>
      <c r="G636" t="n">
        <v>2.7</v>
      </c>
      <c r="H636" t="n">
        <v>0</v>
      </c>
      <c r="I636" t="n">
        <v>0</v>
      </c>
      <c r="J636" t="n">
        <v>0</v>
      </c>
      <c r="K636" t="n">
        <v>0</v>
      </c>
      <c r="L636" t="n">
        <v>0</v>
      </c>
      <c r="M636" t="n">
        <v>0</v>
      </c>
      <c r="N636" t="n">
        <v>0</v>
      </c>
      <c r="O636" t="n">
        <v>0</v>
      </c>
      <c r="P636" t="n">
        <v>0</v>
      </c>
      <c r="Q636" t="n">
        <v>0</v>
      </c>
      <c r="R636" s="2" t="inlineStr"/>
    </row>
    <row r="637" ht="15" customHeight="1">
      <c r="A637" t="inlineStr">
        <is>
          <t>A 5510-2021</t>
        </is>
      </c>
      <c r="B637" s="1" t="n">
        <v>44230</v>
      </c>
      <c r="C637" s="1" t="n">
        <v>45799</v>
      </c>
      <c r="D637" t="inlineStr">
        <is>
          <t>KALMAR LÄN</t>
        </is>
      </c>
      <c r="E637" t="inlineStr">
        <is>
          <t>VÄSTERVIK</t>
        </is>
      </c>
      <c r="G637" t="n">
        <v>3.2</v>
      </c>
      <c r="H637" t="n">
        <v>0</v>
      </c>
      <c r="I637" t="n">
        <v>0</v>
      </c>
      <c r="J637" t="n">
        <v>0</v>
      </c>
      <c r="K637" t="n">
        <v>0</v>
      </c>
      <c r="L637" t="n">
        <v>0</v>
      </c>
      <c r="M637" t="n">
        <v>0</v>
      </c>
      <c r="N637" t="n">
        <v>0</v>
      </c>
      <c r="O637" t="n">
        <v>0</v>
      </c>
      <c r="P637" t="n">
        <v>0</v>
      </c>
      <c r="Q637" t="n">
        <v>0</v>
      </c>
      <c r="R637" s="2" t="inlineStr"/>
    </row>
    <row r="638" ht="15" customHeight="1">
      <c r="A638" t="inlineStr">
        <is>
          <t>A 5575-2021</t>
        </is>
      </c>
      <c r="B638" s="1" t="n">
        <v>44230</v>
      </c>
      <c r="C638" s="1" t="n">
        <v>45799</v>
      </c>
      <c r="D638" t="inlineStr">
        <is>
          <t>KALMAR LÄN</t>
        </is>
      </c>
      <c r="E638" t="inlineStr">
        <is>
          <t>VÄSTERVIK</t>
        </is>
      </c>
      <c r="G638" t="n">
        <v>2.6</v>
      </c>
      <c r="H638" t="n">
        <v>0</v>
      </c>
      <c r="I638" t="n">
        <v>0</v>
      </c>
      <c r="J638" t="n">
        <v>0</v>
      </c>
      <c r="K638" t="n">
        <v>0</v>
      </c>
      <c r="L638" t="n">
        <v>0</v>
      </c>
      <c r="M638" t="n">
        <v>0</v>
      </c>
      <c r="N638" t="n">
        <v>0</v>
      </c>
      <c r="O638" t="n">
        <v>0</v>
      </c>
      <c r="P638" t="n">
        <v>0</v>
      </c>
      <c r="Q638" t="n">
        <v>0</v>
      </c>
      <c r="R638" s="2" t="inlineStr"/>
    </row>
    <row r="639" ht="15" customHeight="1">
      <c r="A639" t="inlineStr">
        <is>
          <t>A 6627-2021</t>
        </is>
      </c>
      <c r="B639" s="1" t="n">
        <v>44236</v>
      </c>
      <c r="C639" s="1" t="n">
        <v>45799</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6616-2021</t>
        </is>
      </c>
      <c r="B640" s="1" t="n">
        <v>44236</v>
      </c>
      <c r="C640" s="1" t="n">
        <v>45799</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6974-2021</t>
        </is>
      </c>
      <c r="B641" s="1" t="n">
        <v>44237</v>
      </c>
      <c r="C641" s="1" t="n">
        <v>45799</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7754-2021</t>
        </is>
      </c>
      <c r="B642" s="1" t="n">
        <v>44239</v>
      </c>
      <c r="C642" s="1" t="n">
        <v>45799</v>
      </c>
      <c r="D642" t="inlineStr">
        <is>
          <t>KALMAR LÄN</t>
        </is>
      </c>
      <c r="E642" t="inlineStr">
        <is>
          <t>VÄSTERVIK</t>
        </is>
      </c>
      <c r="G642" t="n">
        <v>3.6</v>
      </c>
      <c r="H642" t="n">
        <v>0</v>
      </c>
      <c r="I642" t="n">
        <v>0</v>
      </c>
      <c r="J642" t="n">
        <v>0</v>
      </c>
      <c r="K642" t="n">
        <v>0</v>
      </c>
      <c r="L642" t="n">
        <v>0</v>
      </c>
      <c r="M642" t="n">
        <v>0</v>
      </c>
      <c r="N642" t="n">
        <v>0</v>
      </c>
      <c r="O642" t="n">
        <v>0</v>
      </c>
      <c r="P642" t="n">
        <v>0</v>
      </c>
      <c r="Q642" t="n">
        <v>0</v>
      </c>
      <c r="R642" s="2" t="inlineStr"/>
    </row>
    <row r="643" ht="15" customHeight="1">
      <c r="A643" t="inlineStr">
        <is>
          <t>A 8074-2021</t>
        </is>
      </c>
      <c r="B643" s="1" t="n">
        <v>44243</v>
      </c>
      <c r="C643" s="1" t="n">
        <v>45799</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8196-2021</t>
        </is>
      </c>
      <c r="B644" s="1" t="n">
        <v>44244</v>
      </c>
      <c r="C644" s="1" t="n">
        <v>45799</v>
      </c>
      <c r="D644" t="inlineStr">
        <is>
          <t>KALMAR LÄN</t>
        </is>
      </c>
      <c r="E644" t="inlineStr">
        <is>
          <t>VÄSTERVIK</t>
        </is>
      </c>
      <c r="G644" t="n">
        <v>3.5</v>
      </c>
      <c r="H644" t="n">
        <v>0</v>
      </c>
      <c r="I644" t="n">
        <v>0</v>
      </c>
      <c r="J644" t="n">
        <v>0</v>
      </c>
      <c r="K644" t="n">
        <v>0</v>
      </c>
      <c r="L644" t="n">
        <v>0</v>
      </c>
      <c r="M644" t="n">
        <v>0</v>
      </c>
      <c r="N644" t="n">
        <v>0</v>
      </c>
      <c r="O644" t="n">
        <v>0</v>
      </c>
      <c r="P644" t="n">
        <v>0</v>
      </c>
      <c r="Q644" t="n">
        <v>0</v>
      </c>
      <c r="R644" s="2" t="inlineStr"/>
    </row>
    <row r="645" ht="15" customHeight="1">
      <c r="A645" t="inlineStr">
        <is>
          <t>A 8788-2021</t>
        </is>
      </c>
      <c r="B645" s="1" t="n">
        <v>44246</v>
      </c>
      <c r="C645" s="1" t="n">
        <v>45799</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9091-2021</t>
        </is>
      </c>
      <c r="B646" s="1" t="n">
        <v>44249</v>
      </c>
      <c r="C646" s="1" t="n">
        <v>45799</v>
      </c>
      <c r="D646" t="inlineStr">
        <is>
          <t>KALMAR LÄN</t>
        </is>
      </c>
      <c r="E646" t="inlineStr">
        <is>
          <t>VÄSTERVIK</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9125-2021</t>
        </is>
      </c>
      <c r="B647" s="1" t="n">
        <v>44249</v>
      </c>
      <c r="C647" s="1" t="n">
        <v>45799</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10020-2021</t>
        </is>
      </c>
      <c r="B648" s="1" t="n">
        <v>44256</v>
      </c>
      <c r="C648" s="1" t="n">
        <v>45799</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10517-2021</t>
        </is>
      </c>
      <c r="B649" s="1" t="n">
        <v>44258</v>
      </c>
      <c r="C649" s="1" t="n">
        <v>45799</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12123-2021</t>
        </is>
      </c>
      <c r="B650" s="1" t="n">
        <v>44266</v>
      </c>
      <c r="C650" s="1" t="n">
        <v>45799</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12520-2021</t>
        </is>
      </c>
      <c r="B651" s="1" t="n">
        <v>44269</v>
      </c>
      <c r="C651" s="1" t="n">
        <v>45799</v>
      </c>
      <c r="D651" t="inlineStr">
        <is>
          <t>KALMAR LÄN</t>
        </is>
      </c>
      <c r="E651" t="inlineStr">
        <is>
          <t>VÄSTERVIK</t>
        </is>
      </c>
      <c r="G651" t="n">
        <v>1.6</v>
      </c>
      <c r="H651" t="n">
        <v>0</v>
      </c>
      <c r="I651" t="n">
        <v>0</v>
      </c>
      <c r="J651" t="n">
        <v>0</v>
      </c>
      <c r="K651" t="n">
        <v>0</v>
      </c>
      <c r="L651" t="n">
        <v>0</v>
      </c>
      <c r="M651" t="n">
        <v>0</v>
      </c>
      <c r="N651" t="n">
        <v>0</v>
      </c>
      <c r="O651" t="n">
        <v>0</v>
      </c>
      <c r="P651" t="n">
        <v>0</v>
      </c>
      <c r="Q651" t="n">
        <v>0</v>
      </c>
      <c r="R651" s="2" t="inlineStr"/>
    </row>
    <row r="652" ht="15" customHeight="1">
      <c r="A652" t="inlineStr">
        <is>
          <t>A 13036-2021</t>
        </is>
      </c>
      <c r="B652" s="1" t="n">
        <v>44271</v>
      </c>
      <c r="C652" s="1" t="n">
        <v>45799</v>
      </c>
      <c r="D652" t="inlineStr">
        <is>
          <t>KALMAR LÄN</t>
        </is>
      </c>
      <c r="E652" t="inlineStr">
        <is>
          <t>VÄSTERVIK</t>
        </is>
      </c>
      <c r="F652" t="inlineStr">
        <is>
          <t>Sveaskog</t>
        </is>
      </c>
      <c r="G652" t="n">
        <v>7</v>
      </c>
      <c r="H652" t="n">
        <v>0</v>
      </c>
      <c r="I652" t="n">
        <v>0</v>
      </c>
      <c r="J652" t="n">
        <v>0</v>
      </c>
      <c r="K652" t="n">
        <v>0</v>
      </c>
      <c r="L652" t="n">
        <v>0</v>
      </c>
      <c r="M652" t="n">
        <v>0</v>
      </c>
      <c r="N652" t="n">
        <v>0</v>
      </c>
      <c r="O652" t="n">
        <v>0</v>
      </c>
      <c r="P652" t="n">
        <v>0</v>
      </c>
      <c r="Q652" t="n">
        <v>0</v>
      </c>
      <c r="R652" s="2" t="inlineStr"/>
    </row>
    <row r="653" ht="15" customHeight="1">
      <c r="A653" t="inlineStr">
        <is>
          <t>A 13230-2021</t>
        </is>
      </c>
      <c r="B653" s="1" t="n">
        <v>44272</v>
      </c>
      <c r="C653" s="1" t="n">
        <v>45799</v>
      </c>
      <c r="D653" t="inlineStr">
        <is>
          <t>KALMAR LÄN</t>
        </is>
      </c>
      <c r="E653" t="inlineStr">
        <is>
          <t>VÄSTERVIK</t>
        </is>
      </c>
      <c r="G653" t="n">
        <v>7.2</v>
      </c>
      <c r="H653" t="n">
        <v>0</v>
      </c>
      <c r="I653" t="n">
        <v>0</v>
      </c>
      <c r="J653" t="n">
        <v>0</v>
      </c>
      <c r="K653" t="n">
        <v>0</v>
      </c>
      <c r="L653" t="n">
        <v>0</v>
      </c>
      <c r="M653" t="n">
        <v>0</v>
      </c>
      <c r="N653" t="n">
        <v>0</v>
      </c>
      <c r="O653" t="n">
        <v>0</v>
      </c>
      <c r="P653" t="n">
        <v>0</v>
      </c>
      <c r="Q653" t="n">
        <v>0</v>
      </c>
      <c r="R653" s="2" t="inlineStr"/>
    </row>
    <row r="654" ht="15" customHeight="1">
      <c r="A654" t="inlineStr">
        <is>
          <t>A 13761-2021</t>
        </is>
      </c>
      <c r="B654" s="1" t="n">
        <v>44274</v>
      </c>
      <c r="C654" s="1" t="n">
        <v>45799</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13626-2021</t>
        </is>
      </c>
      <c r="B655" s="1" t="n">
        <v>44274</v>
      </c>
      <c r="C655" s="1" t="n">
        <v>45799</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14151-2021</t>
        </is>
      </c>
      <c r="B656" s="1" t="n">
        <v>44278</v>
      </c>
      <c r="C656" s="1" t="n">
        <v>45799</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14149-2021</t>
        </is>
      </c>
      <c r="B657" s="1" t="n">
        <v>44278</v>
      </c>
      <c r="C657" s="1" t="n">
        <v>45799</v>
      </c>
      <c r="D657" t="inlineStr">
        <is>
          <t>KALMAR LÄN</t>
        </is>
      </c>
      <c r="E657" t="inlineStr">
        <is>
          <t>VÄSTERVIK</t>
        </is>
      </c>
      <c r="G657" t="n">
        <v>4.1</v>
      </c>
      <c r="H657" t="n">
        <v>0</v>
      </c>
      <c r="I657" t="n">
        <v>0</v>
      </c>
      <c r="J657" t="n">
        <v>0</v>
      </c>
      <c r="K657" t="n">
        <v>0</v>
      </c>
      <c r="L657" t="n">
        <v>0</v>
      </c>
      <c r="M657" t="n">
        <v>0</v>
      </c>
      <c r="N657" t="n">
        <v>0</v>
      </c>
      <c r="O657" t="n">
        <v>0</v>
      </c>
      <c r="P657" t="n">
        <v>0</v>
      </c>
      <c r="Q657" t="n">
        <v>0</v>
      </c>
      <c r="R657" s="2" t="inlineStr"/>
    </row>
    <row r="658" ht="15" customHeight="1">
      <c r="A658" t="inlineStr">
        <is>
          <t>A 14317-2021</t>
        </is>
      </c>
      <c r="B658" s="1" t="n">
        <v>44278</v>
      </c>
      <c r="C658" s="1" t="n">
        <v>45799</v>
      </c>
      <c r="D658" t="inlineStr">
        <is>
          <t>KALMAR LÄN</t>
        </is>
      </c>
      <c r="E658" t="inlineStr">
        <is>
          <t>VÄSTERVIK</t>
        </is>
      </c>
      <c r="G658" t="n">
        <v>2.1</v>
      </c>
      <c r="H658" t="n">
        <v>0</v>
      </c>
      <c r="I658" t="n">
        <v>0</v>
      </c>
      <c r="J658" t="n">
        <v>0</v>
      </c>
      <c r="K658" t="n">
        <v>0</v>
      </c>
      <c r="L658" t="n">
        <v>0</v>
      </c>
      <c r="M658" t="n">
        <v>0</v>
      </c>
      <c r="N658" t="n">
        <v>0</v>
      </c>
      <c r="O658" t="n">
        <v>0</v>
      </c>
      <c r="P658" t="n">
        <v>0</v>
      </c>
      <c r="Q658" t="n">
        <v>0</v>
      </c>
      <c r="R658" s="2" t="inlineStr"/>
    </row>
    <row r="659" ht="15" customHeight="1">
      <c r="A659" t="inlineStr">
        <is>
          <t>A 15595-2021</t>
        </is>
      </c>
      <c r="B659" s="1" t="n">
        <v>44285</v>
      </c>
      <c r="C659" s="1" t="n">
        <v>45799</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15598-2021</t>
        </is>
      </c>
      <c r="B660" s="1" t="n">
        <v>44285</v>
      </c>
      <c r="C660" s="1" t="n">
        <v>45799</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15591-2021</t>
        </is>
      </c>
      <c r="B661" s="1" t="n">
        <v>44285</v>
      </c>
      <c r="C661" s="1" t="n">
        <v>45799</v>
      </c>
      <c r="D661" t="inlineStr">
        <is>
          <t>KALMAR LÄN</t>
        </is>
      </c>
      <c r="E661" t="inlineStr">
        <is>
          <t>VÄSTERVIK</t>
        </is>
      </c>
      <c r="G661" t="n">
        <v>2.1</v>
      </c>
      <c r="H661" t="n">
        <v>0</v>
      </c>
      <c r="I661" t="n">
        <v>0</v>
      </c>
      <c r="J661" t="n">
        <v>0</v>
      </c>
      <c r="K661" t="n">
        <v>0</v>
      </c>
      <c r="L661" t="n">
        <v>0</v>
      </c>
      <c r="M661" t="n">
        <v>0</v>
      </c>
      <c r="N661" t="n">
        <v>0</v>
      </c>
      <c r="O661" t="n">
        <v>0</v>
      </c>
      <c r="P661" t="n">
        <v>0</v>
      </c>
      <c r="Q661" t="n">
        <v>0</v>
      </c>
      <c r="R661" s="2" t="inlineStr"/>
    </row>
    <row r="662" ht="15" customHeight="1">
      <c r="A662" t="inlineStr">
        <is>
          <t>A 15834-2021</t>
        </is>
      </c>
      <c r="B662" s="1" t="n">
        <v>44286</v>
      </c>
      <c r="C662" s="1" t="n">
        <v>45799</v>
      </c>
      <c r="D662" t="inlineStr">
        <is>
          <t>KALMAR LÄN</t>
        </is>
      </c>
      <c r="E662" t="inlineStr">
        <is>
          <t>VÄSTERVIK</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16729-2021</t>
        </is>
      </c>
      <c r="B663" s="1" t="n">
        <v>44294</v>
      </c>
      <c r="C663" s="1" t="n">
        <v>45799</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16697-2021</t>
        </is>
      </c>
      <c r="B664" s="1" t="n">
        <v>44294</v>
      </c>
      <c r="C664" s="1" t="n">
        <v>45799</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16728-2021</t>
        </is>
      </c>
      <c r="B665" s="1" t="n">
        <v>44294</v>
      </c>
      <c r="C665" s="1" t="n">
        <v>45799</v>
      </c>
      <c r="D665" t="inlineStr">
        <is>
          <t>KALMAR LÄN</t>
        </is>
      </c>
      <c r="E665" t="inlineStr">
        <is>
          <t>VÄSTERVIK</t>
        </is>
      </c>
      <c r="G665" t="n">
        <v>3.1</v>
      </c>
      <c r="H665" t="n">
        <v>0</v>
      </c>
      <c r="I665" t="n">
        <v>0</v>
      </c>
      <c r="J665" t="n">
        <v>0</v>
      </c>
      <c r="K665" t="n">
        <v>0</v>
      </c>
      <c r="L665" t="n">
        <v>0</v>
      </c>
      <c r="M665" t="n">
        <v>0</v>
      </c>
      <c r="N665" t="n">
        <v>0</v>
      </c>
      <c r="O665" t="n">
        <v>0</v>
      </c>
      <c r="P665" t="n">
        <v>0</v>
      </c>
      <c r="Q665" t="n">
        <v>0</v>
      </c>
      <c r="R665" s="2" t="inlineStr"/>
    </row>
    <row r="666" ht="15" customHeight="1">
      <c r="A666" t="inlineStr">
        <is>
          <t>A 16734-2021</t>
        </is>
      </c>
      <c r="B666" s="1" t="n">
        <v>44294</v>
      </c>
      <c r="C666" s="1" t="n">
        <v>45799</v>
      </c>
      <c r="D666" t="inlineStr">
        <is>
          <t>KALMAR LÄN</t>
        </is>
      </c>
      <c r="E666" t="inlineStr">
        <is>
          <t>VÄSTERVIK</t>
        </is>
      </c>
      <c r="G666" t="n">
        <v>3.7</v>
      </c>
      <c r="H666" t="n">
        <v>0</v>
      </c>
      <c r="I666" t="n">
        <v>0</v>
      </c>
      <c r="J666" t="n">
        <v>0</v>
      </c>
      <c r="K666" t="n">
        <v>0</v>
      </c>
      <c r="L666" t="n">
        <v>0</v>
      </c>
      <c r="M666" t="n">
        <v>0</v>
      </c>
      <c r="N666" t="n">
        <v>0</v>
      </c>
      <c r="O666" t="n">
        <v>0</v>
      </c>
      <c r="P666" t="n">
        <v>0</v>
      </c>
      <c r="Q666" t="n">
        <v>0</v>
      </c>
      <c r="R666" s="2" t="inlineStr"/>
    </row>
    <row r="667" ht="15" customHeight="1">
      <c r="A667" t="inlineStr">
        <is>
          <t>A 16726-2021</t>
        </is>
      </c>
      <c r="B667" s="1" t="n">
        <v>44294</v>
      </c>
      <c r="C667" s="1" t="n">
        <v>45799</v>
      </c>
      <c r="D667" t="inlineStr">
        <is>
          <t>KALMAR LÄN</t>
        </is>
      </c>
      <c r="E667" t="inlineStr">
        <is>
          <t>VÄSTERVIK</t>
        </is>
      </c>
      <c r="G667" t="n">
        <v>4.6</v>
      </c>
      <c r="H667" t="n">
        <v>0</v>
      </c>
      <c r="I667" t="n">
        <v>0</v>
      </c>
      <c r="J667" t="n">
        <v>0</v>
      </c>
      <c r="K667" t="n">
        <v>0</v>
      </c>
      <c r="L667" t="n">
        <v>0</v>
      </c>
      <c r="M667" t="n">
        <v>0</v>
      </c>
      <c r="N667" t="n">
        <v>0</v>
      </c>
      <c r="O667" t="n">
        <v>0</v>
      </c>
      <c r="P667" t="n">
        <v>0</v>
      </c>
      <c r="Q667" t="n">
        <v>0</v>
      </c>
      <c r="R667" s="2" t="inlineStr"/>
    </row>
    <row r="668" ht="15" customHeight="1">
      <c r="A668" t="inlineStr">
        <is>
          <t>A 16992-2021</t>
        </is>
      </c>
      <c r="B668" s="1" t="n">
        <v>44295</v>
      </c>
      <c r="C668" s="1" t="n">
        <v>45799</v>
      </c>
      <c r="D668" t="inlineStr">
        <is>
          <t>KALMAR LÄN</t>
        </is>
      </c>
      <c r="E668" t="inlineStr">
        <is>
          <t>VÄSTERVIK</t>
        </is>
      </c>
      <c r="G668" t="n">
        <v>3.6</v>
      </c>
      <c r="H668" t="n">
        <v>0</v>
      </c>
      <c r="I668" t="n">
        <v>0</v>
      </c>
      <c r="J668" t="n">
        <v>0</v>
      </c>
      <c r="K668" t="n">
        <v>0</v>
      </c>
      <c r="L668" t="n">
        <v>0</v>
      </c>
      <c r="M668" t="n">
        <v>0</v>
      </c>
      <c r="N668" t="n">
        <v>0</v>
      </c>
      <c r="O668" t="n">
        <v>0</v>
      </c>
      <c r="P668" t="n">
        <v>0</v>
      </c>
      <c r="Q668" t="n">
        <v>0</v>
      </c>
      <c r="R668" s="2" t="inlineStr"/>
    </row>
    <row r="669" ht="15" customHeight="1">
      <c r="A669" t="inlineStr">
        <is>
          <t>A 17124-2021</t>
        </is>
      </c>
      <c r="B669" s="1" t="n">
        <v>44298</v>
      </c>
      <c r="C669" s="1" t="n">
        <v>45799</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17200-2021</t>
        </is>
      </c>
      <c r="B670" s="1" t="n">
        <v>44298</v>
      </c>
      <c r="C670" s="1" t="n">
        <v>45799</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17277-2021</t>
        </is>
      </c>
      <c r="B671" s="1" t="n">
        <v>44298</v>
      </c>
      <c r="C671" s="1" t="n">
        <v>45799</v>
      </c>
      <c r="D671" t="inlineStr">
        <is>
          <t>KALMAR LÄN</t>
        </is>
      </c>
      <c r="E671" t="inlineStr">
        <is>
          <t>VÄSTERVIK</t>
        </is>
      </c>
      <c r="G671" t="n">
        <v>7</v>
      </c>
      <c r="H671" t="n">
        <v>0</v>
      </c>
      <c r="I671" t="n">
        <v>0</v>
      </c>
      <c r="J671" t="n">
        <v>0</v>
      </c>
      <c r="K671" t="n">
        <v>0</v>
      </c>
      <c r="L671" t="n">
        <v>0</v>
      </c>
      <c r="M671" t="n">
        <v>0</v>
      </c>
      <c r="N671" t="n">
        <v>0</v>
      </c>
      <c r="O671" t="n">
        <v>0</v>
      </c>
      <c r="P671" t="n">
        <v>0</v>
      </c>
      <c r="Q671" t="n">
        <v>0</v>
      </c>
      <c r="R671" s="2" t="inlineStr"/>
    </row>
    <row r="672" ht="15" customHeight="1">
      <c r="A672" t="inlineStr">
        <is>
          <t>A 17216-2021</t>
        </is>
      </c>
      <c r="B672" s="1" t="n">
        <v>44298</v>
      </c>
      <c r="C672" s="1" t="n">
        <v>45799</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17253-2021</t>
        </is>
      </c>
      <c r="B673" s="1" t="n">
        <v>44298</v>
      </c>
      <c r="C673" s="1" t="n">
        <v>45799</v>
      </c>
      <c r="D673" t="inlineStr">
        <is>
          <t>KALMAR LÄN</t>
        </is>
      </c>
      <c r="E673" t="inlineStr">
        <is>
          <t>VÄSTERVIK</t>
        </is>
      </c>
      <c r="G673" t="n">
        <v>4.6</v>
      </c>
      <c r="H673" t="n">
        <v>0</v>
      </c>
      <c r="I673" t="n">
        <v>0</v>
      </c>
      <c r="J673" t="n">
        <v>0</v>
      </c>
      <c r="K673" t="n">
        <v>0</v>
      </c>
      <c r="L673" t="n">
        <v>0</v>
      </c>
      <c r="M673" t="n">
        <v>0</v>
      </c>
      <c r="N673" t="n">
        <v>0</v>
      </c>
      <c r="O673" t="n">
        <v>0</v>
      </c>
      <c r="P673" t="n">
        <v>0</v>
      </c>
      <c r="Q673" t="n">
        <v>0</v>
      </c>
      <c r="R673" s="2" t="inlineStr"/>
    </row>
    <row r="674" ht="15" customHeight="1">
      <c r="A674" t="inlineStr">
        <is>
          <t>A 18013-2021</t>
        </is>
      </c>
      <c r="B674" s="1" t="n">
        <v>44302</v>
      </c>
      <c r="C674" s="1" t="n">
        <v>45799</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18470-2021</t>
        </is>
      </c>
      <c r="B675" s="1" t="n">
        <v>44306</v>
      </c>
      <c r="C675" s="1" t="n">
        <v>45799</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row>
    <row r="676" ht="15" customHeight="1">
      <c r="A676" t="inlineStr">
        <is>
          <t>A 18837-2021</t>
        </is>
      </c>
      <c r="B676" s="1" t="n">
        <v>44307</v>
      </c>
      <c r="C676" s="1" t="n">
        <v>45799</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18900-2021</t>
        </is>
      </c>
      <c r="B677" s="1" t="n">
        <v>44308</v>
      </c>
      <c r="C677" s="1" t="n">
        <v>45799</v>
      </c>
      <c r="D677" t="inlineStr">
        <is>
          <t>KALMAR LÄN</t>
        </is>
      </c>
      <c r="E677" t="inlineStr">
        <is>
          <t>VÄSTERVIK</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18915-2021</t>
        </is>
      </c>
      <c r="B678" s="1" t="n">
        <v>44308</v>
      </c>
      <c r="C678" s="1" t="n">
        <v>45799</v>
      </c>
      <c r="D678" t="inlineStr">
        <is>
          <t>KALMAR LÄN</t>
        </is>
      </c>
      <c r="E678" t="inlineStr">
        <is>
          <t>VÄSTERVIK</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19219-2021</t>
        </is>
      </c>
      <c r="B679" s="1" t="n">
        <v>44309</v>
      </c>
      <c r="C679" s="1" t="n">
        <v>45799</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19644-2021</t>
        </is>
      </c>
      <c r="B680" s="1" t="n">
        <v>44312</v>
      </c>
      <c r="C680" s="1" t="n">
        <v>45799</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19660-2021</t>
        </is>
      </c>
      <c r="B681" s="1" t="n">
        <v>44312</v>
      </c>
      <c r="C681" s="1" t="n">
        <v>45799</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20204-2021</t>
        </is>
      </c>
      <c r="B682" s="1" t="n">
        <v>44314</v>
      </c>
      <c r="C682" s="1" t="n">
        <v>45799</v>
      </c>
      <c r="D682" t="inlineStr">
        <is>
          <t>KALMAR LÄN</t>
        </is>
      </c>
      <c r="E682" t="inlineStr">
        <is>
          <t>VÄSTERVIK</t>
        </is>
      </c>
      <c r="F682" t="inlineStr">
        <is>
          <t>Holmen skog AB</t>
        </is>
      </c>
      <c r="G682" t="n">
        <v>12.1</v>
      </c>
      <c r="H682" t="n">
        <v>0</v>
      </c>
      <c r="I682" t="n">
        <v>0</v>
      </c>
      <c r="J682" t="n">
        <v>0</v>
      </c>
      <c r="K682" t="n">
        <v>0</v>
      </c>
      <c r="L682" t="n">
        <v>0</v>
      </c>
      <c r="M682" t="n">
        <v>0</v>
      </c>
      <c r="N682" t="n">
        <v>0</v>
      </c>
      <c r="O682" t="n">
        <v>0</v>
      </c>
      <c r="P682" t="n">
        <v>0</v>
      </c>
      <c r="Q682" t="n">
        <v>0</v>
      </c>
      <c r="R682" s="2" t="inlineStr"/>
    </row>
    <row r="683" ht="15" customHeight="1">
      <c r="A683" t="inlineStr">
        <is>
          <t>A 20772-2021</t>
        </is>
      </c>
      <c r="B683" s="1" t="n">
        <v>44316</v>
      </c>
      <c r="C683" s="1" t="n">
        <v>45799</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20945-2021</t>
        </is>
      </c>
      <c r="B684" s="1" t="n">
        <v>44319</v>
      </c>
      <c r="C684" s="1" t="n">
        <v>45799</v>
      </c>
      <c r="D684" t="inlineStr">
        <is>
          <t>KALMAR LÄN</t>
        </is>
      </c>
      <c r="E684" t="inlineStr">
        <is>
          <t>VÄSTERVIK</t>
        </is>
      </c>
      <c r="G684" t="n">
        <v>3.7</v>
      </c>
      <c r="H684" t="n">
        <v>0</v>
      </c>
      <c r="I684" t="n">
        <v>0</v>
      </c>
      <c r="J684" t="n">
        <v>0</v>
      </c>
      <c r="K684" t="n">
        <v>0</v>
      </c>
      <c r="L684" t="n">
        <v>0</v>
      </c>
      <c r="M684" t="n">
        <v>0</v>
      </c>
      <c r="N684" t="n">
        <v>0</v>
      </c>
      <c r="O684" t="n">
        <v>0</v>
      </c>
      <c r="P684" t="n">
        <v>0</v>
      </c>
      <c r="Q684" t="n">
        <v>0</v>
      </c>
      <c r="R684" s="2" t="inlineStr"/>
    </row>
    <row r="685" ht="15" customHeight="1">
      <c r="A685" t="inlineStr">
        <is>
          <t>A 21036-2021</t>
        </is>
      </c>
      <c r="B685" s="1" t="n">
        <v>44319</v>
      </c>
      <c r="C685" s="1" t="n">
        <v>45799</v>
      </c>
      <c r="D685" t="inlineStr">
        <is>
          <t>KALMAR LÄN</t>
        </is>
      </c>
      <c r="E685" t="inlineStr">
        <is>
          <t>VÄSTERVIK</t>
        </is>
      </c>
      <c r="G685" t="n">
        <v>3.1</v>
      </c>
      <c r="H685" t="n">
        <v>0</v>
      </c>
      <c r="I685" t="n">
        <v>0</v>
      </c>
      <c r="J685" t="n">
        <v>0</v>
      </c>
      <c r="K685" t="n">
        <v>0</v>
      </c>
      <c r="L685" t="n">
        <v>0</v>
      </c>
      <c r="M685" t="n">
        <v>0</v>
      </c>
      <c r="N685" t="n">
        <v>0</v>
      </c>
      <c r="O685" t="n">
        <v>0</v>
      </c>
      <c r="P685" t="n">
        <v>0</v>
      </c>
      <c r="Q685" t="n">
        <v>0</v>
      </c>
      <c r="R685" s="2" t="inlineStr"/>
    </row>
    <row r="686" ht="15" customHeight="1">
      <c r="A686" t="inlineStr">
        <is>
          <t>A 21057-2021</t>
        </is>
      </c>
      <c r="B686" s="1" t="n">
        <v>44319</v>
      </c>
      <c r="C686" s="1" t="n">
        <v>45799</v>
      </c>
      <c r="D686" t="inlineStr">
        <is>
          <t>KALMAR LÄN</t>
        </is>
      </c>
      <c r="E686" t="inlineStr">
        <is>
          <t>VÄSTERVIK</t>
        </is>
      </c>
      <c r="G686" t="n">
        <v>5.7</v>
      </c>
      <c r="H686" t="n">
        <v>0</v>
      </c>
      <c r="I686" t="n">
        <v>0</v>
      </c>
      <c r="J686" t="n">
        <v>0</v>
      </c>
      <c r="K686" t="n">
        <v>0</v>
      </c>
      <c r="L686" t="n">
        <v>0</v>
      </c>
      <c r="M686" t="n">
        <v>0</v>
      </c>
      <c r="N686" t="n">
        <v>0</v>
      </c>
      <c r="O686" t="n">
        <v>0</v>
      </c>
      <c r="P686" t="n">
        <v>0</v>
      </c>
      <c r="Q686" t="n">
        <v>0</v>
      </c>
      <c r="R686" s="2" t="inlineStr"/>
    </row>
    <row r="687" ht="15" customHeight="1">
      <c r="A687" t="inlineStr">
        <is>
          <t>A 21255-2021</t>
        </is>
      </c>
      <c r="B687" s="1" t="n">
        <v>44320</v>
      </c>
      <c r="C687" s="1" t="n">
        <v>45799</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23090-2021</t>
        </is>
      </c>
      <c r="B688" s="1" t="n">
        <v>44330</v>
      </c>
      <c r="C688" s="1" t="n">
        <v>45799</v>
      </c>
      <c r="D688" t="inlineStr">
        <is>
          <t>KALMAR LÄN</t>
        </is>
      </c>
      <c r="E688" t="inlineStr">
        <is>
          <t>VÄSTERVIK</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23097-2021</t>
        </is>
      </c>
      <c r="B689" s="1" t="n">
        <v>44330</v>
      </c>
      <c r="C689" s="1" t="n">
        <v>45799</v>
      </c>
      <c r="D689" t="inlineStr">
        <is>
          <t>KALMAR LÄN</t>
        </is>
      </c>
      <c r="E689" t="inlineStr">
        <is>
          <t>VÄSTERVIK</t>
        </is>
      </c>
      <c r="F689" t="inlineStr">
        <is>
          <t>Holmen skog AB</t>
        </is>
      </c>
      <c r="G689" t="n">
        <v>0.4</v>
      </c>
      <c r="H689" t="n">
        <v>0</v>
      </c>
      <c r="I689" t="n">
        <v>0</v>
      </c>
      <c r="J689" t="n">
        <v>0</v>
      </c>
      <c r="K689" t="n">
        <v>0</v>
      </c>
      <c r="L689" t="n">
        <v>0</v>
      </c>
      <c r="M689" t="n">
        <v>0</v>
      </c>
      <c r="N689" t="n">
        <v>0</v>
      </c>
      <c r="O689" t="n">
        <v>0</v>
      </c>
      <c r="P689" t="n">
        <v>0</v>
      </c>
      <c r="Q689" t="n">
        <v>0</v>
      </c>
      <c r="R689" s="2" t="inlineStr"/>
    </row>
    <row r="690" ht="15" customHeight="1">
      <c r="A690" t="inlineStr">
        <is>
          <t>A 23150-2021</t>
        </is>
      </c>
      <c r="B690" s="1" t="n">
        <v>44331</v>
      </c>
      <c r="C690" s="1" t="n">
        <v>45799</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23504-2021</t>
        </is>
      </c>
      <c r="B691" s="1" t="n">
        <v>44334</v>
      </c>
      <c r="C691" s="1" t="n">
        <v>45799</v>
      </c>
      <c r="D691" t="inlineStr">
        <is>
          <t>KALMAR LÄN</t>
        </is>
      </c>
      <c r="E691" t="inlineStr">
        <is>
          <t>VÄSTERVIK</t>
        </is>
      </c>
      <c r="G691" t="n">
        <v>1.3</v>
      </c>
      <c r="H691" t="n">
        <v>0</v>
      </c>
      <c r="I691" t="n">
        <v>0</v>
      </c>
      <c r="J691" t="n">
        <v>0</v>
      </c>
      <c r="K691" t="n">
        <v>0</v>
      </c>
      <c r="L691" t="n">
        <v>0</v>
      </c>
      <c r="M691" t="n">
        <v>0</v>
      </c>
      <c r="N691" t="n">
        <v>0</v>
      </c>
      <c r="O691" t="n">
        <v>0</v>
      </c>
      <c r="P691" t="n">
        <v>0</v>
      </c>
      <c r="Q691" t="n">
        <v>0</v>
      </c>
      <c r="R691" s="2" t="inlineStr"/>
    </row>
    <row r="692" ht="15" customHeight="1">
      <c r="A692" t="inlineStr">
        <is>
          <t>A 23628-2021</t>
        </is>
      </c>
      <c r="B692" s="1" t="n">
        <v>44334</v>
      </c>
      <c r="C692" s="1" t="n">
        <v>45799</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23626-2021</t>
        </is>
      </c>
      <c r="B693" s="1" t="n">
        <v>44334</v>
      </c>
      <c r="C693" s="1" t="n">
        <v>45799</v>
      </c>
      <c r="D693" t="inlineStr">
        <is>
          <t>KALMAR LÄN</t>
        </is>
      </c>
      <c r="E693" t="inlineStr">
        <is>
          <t>VÄSTERVIK</t>
        </is>
      </c>
      <c r="G693" t="n">
        <v>9</v>
      </c>
      <c r="H693" t="n">
        <v>0</v>
      </c>
      <c r="I693" t="n">
        <v>0</v>
      </c>
      <c r="J693" t="n">
        <v>0</v>
      </c>
      <c r="K693" t="n">
        <v>0</v>
      </c>
      <c r="L693" t="n">
        <v>0</v>
      </c>
      <c r="M693" t="n">
        <v>0</v>
      </c>
      <c r="N693" t="n">
        <v>0</v>
      </c>
      <c r="O693" t="n">
        <v>0</v>
      </c>
      <c r="P693" t="n">
        <v>0</v>
      </c>
      <c r="Q693" t="n">
        <v>0</v>
      </c>
      <c r="R693" s="2" t="inlineStr"/>
    </row>
    <row r="694" ht="15" customHeight="1">
      <c r="A694" t="inlineStr">
        <is>
          <t>A 23995-2021</t>
        </is>
      </c>
      <c r="B694" s="1" t="n">
        <v>44335</v>
      </c>
      <c r="C694" s="1" t="n">
        <v>45799</v>
      </c>
      <c r="D694" t="inlineStr">
        <is>
          <t>KALMAR LÄN</t>
        </is>
      </c>
      <c r="E694" t="inlineStr">
        <is>
          <t>VÄSTERVIK</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23993-2021</t>
        </is>
      </c>
      <c r="B695" s="1" t="n">
        <v>44335</v>
      </c>
      <c r="C695" s="1" t="n">
        <v>45799</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23998-2021</t>
        </is>
      </c>
      <c r="B696" s="1" t="n">
        <v>44335</v>
      </c>
      <c r="C696" s="1" t="n">
        <v>45799</v>
      </c>
      <c r="D696" t="inlineStr">
        <is>
          <t>KALMAR LÄN</t>
        </is>
      </c>
      <c r="E696" t="inlineStr">
        <is>
          <t>VÄSTERVIK</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23992-2021</t>
        </is>
      </c>
      <c r="B697" s="1" t="n">
        <v>44335</v>
      </c>
      <c r="C697" s="1" t="n">
        <v>45799</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23997-2021</t>
        </is>
      </c>
      <c r="B698" s="1" t="n">
        <v>44335</v>
      </c>
      <c r="C698" s="1" t="n">
        <v>45799</v>
      </c>
      <c r="D698" t="inlineStr">
        <is>
          <t>KALMAR LÄN</t>
        </is>
      </c>
      <c r="E698" t="inlineStr">
        <is>
          <t>VÄSTERVIK</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24000-2021</t>
        </is>
      </c>
      <c r="B699" s="1" t="n">
        <v>44335</v>
      </c>
      <c r="C699" s="1" t="n">
        <v>45799</v>
      </c>
      <c r="D699" t="inlineStr">
        <is>
          <t>KALMAR LÄN</t>
        </is>
      </c>
      <c r="E699" t="inlineStr">
        <is>
          <t>VÄSTERVIK</t>
        </is>
      </c>
      <c r="F699" t="inlineStr">
        <is>
          <t>Sveaskog</t>
        </is>
      </c>
      <c r="G699" t="n">
        <v>6.9</v>
      </c>
      <c r="H699" t="n">
        <v>0</v>
      </c>
      <c r="I699" t="n">
        <v>0</v>
      </c>
      <c r="J699" t="n">
        <v>0</v>
      </c>
      <c r="K699" t="n">
        <v>0</v>
      </c>
      <c r="L699" t="n">
        <v>0</v>
      </c>
      <c r="M699" t="n">
        <v>0</v>
      </c>
      <c r="N699" t="n">
        <v>0</v>
      </c>
      <c r="O699" t="n">
        <v>0</v>
      </c>
      <c r="P699" t="n">
        <v>0</v>
      </c>
      <c r="Q699" t="n">
        <v>0</v>
      </c>
      <c r="R699" s="2" t="inlineStr"/>
    </row>
    <row r="700" ht="15" customHeight="1">
      <c r="A700" t="inlineStr">
        <is>
          <t>A 23996-2021</t>
        </is>
      </c>
      <c r="B700" s="1" t="n">
        <v>44335</v>
      </c>
      <c r="C700" s="1" t="n">
        <v>45799</v>
      </c>
      <c r="D700" t="inlineStr">
        <is>
          <t>KALMAR LÄN</t>
        </is>
      </c>
      <c r="E700" t="inlineStr">
        <is>
          <t>VÄSTERVIK</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24570-2021</t>
        </is>
      </c>
      <c r="B701" s="1" t="n">
        <v>44339</v>
      </c>
      <c r="C701" s="1" t="n">
        <v>45799</v>
      </c>
      <c r="D701" t="inlineStr">
        <is>
          <t>KALMAR LÄN</t>
        </is>
      </c>
      <c r="E701" t="inlineStr">
        <is>
          <t>VÄSTERVIK</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25238-2021</t>
        </is>
      </c>
      <c r="B702" s="1" t="n">
        <v>44342</v>
      </c>
      <c r="C702" s="1" t="n">
        <v>45799</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25418-2021</t>
        </is>
      </c>
      <c r="B703" s="1" t="n">
        <v>44342</v>
      </c>
      <c r="C703" s="1" t="n">
        <v>45799</v>
      </c>
      <c r="D703" t="inlineStr">
        <is>
          <t>KALMAR LÄN</t>
        </is>
      </c>
      <c r="E703" t="inlineStr">
        <is>
          <t>VÄSTERVIK</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25408-2021</t>
        </is>
      </c>
      <c r="B704" s="1" t="n">
        <v>44342</v>
      </c>
      <c r="C704" s="1" t="n">
        <v>45799</v>
      </c>
      <c r="D704" t="inlineStr">
        <is>
          <t>KALMAR LÄN</t>
        </is>
      </c>
      <c r="E704" t="inlineStr">
        <is>
          <t>VÄSTERVIK</t>
        </is>
      </c>
      <c r="F704" t="inlineStr">
        <is>
          <t>Holmen skog AB</t>
        </is>
      </c>
      <c r="G704" t="n">
        <v>1.1</v>
      </c>
      <c r="H704" t="n">
        <v>0</v>
      </c>
      <c r="I704" t="n">
        <v>0</v>
      </c>
      <c r="J704" t="n">
        <v>0</v>
      </c>
      <c r="K704" t="n">
        <v>0</v>
      </c>
      <c r="L704" t="n">
        <v>0</v>
      </c>
      <c r="M704" t="n">
        <v>0</v>
      </c>
      <c r="N704" t="n">
        <v>0</v>
      </c>
      <c r="O704" t="n">
        <v>0</v>
      </c>
      <c r="P704" t="n">
        <v>0</v>
      </c>
      <c r="Q704" t="n">
        <v>0</v>
      </c>
      <c r="R704" s="2" t="inlineStr"/>
      <c r="U704">
        <f>HYPERLINK("https://klasma.github.io/Logging_0883/knärot/A 25408-2021 karta knärot.png", "A 25408-2021")</f>
        <v/>
      </c>
      <c r="V704">
        <f>HYPERLINK("https://klasma.github.io/Logging_0883/klagomål/A 25408-2021 FSC-klagomål.docx", "A 25408-2021")</f>
        <v/>
      </c>
      <c r="W704">
        <f>HYPERLINK("https://klasma.github.io/Logging_0883/klagomålsmail/A 25408-2021 FSC-klagomål mail.docx", "A 25408-2021")</f>
        <v/>
      </c>
      <c r="X704">
        <f>HYPERLINK("https://klasma.github.io/Logging_0883/tillsyn/A 25408-2021 tillsynsbegäran.docx", "A 25408-2021")</f>
        <v/>
      </c>
      <c r="Y704">
        <f>HYPERLINK("https://klasma.github.io/Logging_0883/tillsynsmail/A 25408-2021 tillsynsbegäran mail.docx", "A 25408-2021")</f>
        <v/>
      </c>
    </row>
    <row r="705" ht="15" customHeight="1">
      <c r="A705" t="inlineStr">
        <is>
          <t>A 27183-2021</t>
        </is>
      </c>
      <c r="B705" s="1" t="n">
        <v>44350</v>
      </c>
      <c r="C705" s="1" t="n">
        <v>45799</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29460-2021</t>
        </is>
      </c>
      <c r="B706" s="1" t="n">
        <v>44361</v>
      </c>
      <c r="C706" s="1" t="n">
        <v>45799</v>
      </c>
      <c r="D706" t="inlineStr">
        <is>
          <t>KALMAR LÄN</t>
        </is>
      </c>
      <c r="E706" t="inlineStr">
        <is>
          <t>VÄSTERVIK</t>
        </is>
      </c>
      <c r="F706" t="inlineStr">
        <is>
          <t>Övriga Aktiebolag</t>
        </is>
      </c>
      <c r="G706" t="n">
        <v>3.2</v>
      </c>
      <c r="H706" t="n">
        <v>0</v>
      </c>
      <c r="I706" t="n">
        <v>0</v>
      </c>
      <c r="J706" t="n">
        <v>0</v>
      </c>
      <c r="K706" t="n">
        <v>0</v>
      </c>
      <c r="L706" t="n">
        <v>0</v>
      </c>
      <c r="M706" t="n">
        <v>0</v>
      </c>
      <c r="N706" t="n">
        <v>0</v>
      </c>
      <c r="O706" t="n">
        <v>0</v>
      </c>
      <c r="P706" t="n">
        <v>0</v>
      </c>
      <c r="Q706" t="n">
        <v>0</v>
      </c>
      <c r="R706" s="2" t="inlineStr"/>
    </row>
    <row r="707" ht="15" customHeight="1">
      <c r="A707" t="inlineStr">
        <is>
          <t>A 31061-2021</t>
        </is>
      </c>
      <c r="B707" s="1" t="n">
        <v>44368</v>
      </c>
      <c r="C707" s="1" t="n">
        <v>45799</v>
      </c>
      <c r="D707" t="inlineStr">
        <is>
          <t>KALMAR LÄN</t>
        </is>
      </c>
      <c r="E707" t="inlineStr">
        <is>
          <t>VÄSTERVIK</t>
        </is>
      </c>
      <c r="G707" t="n">
        <v>8.1</v>
      </c>
      <c r="H707" t="n">
        <v>0</v>
      </c>
      <c r="I707" t="n">
        <v>0</v>
      </c>
      <c r="J707" t="n">
        <v>0</v>
      </c>
      <c r="K707" t="n">
        <v>0</v>
      </c>
      <c r="L707" t="n">
        <v>0</v>
      </c>
      <c r="M707" t="n">
        <v>0</v>
      </c>
      <c r="N707" t="n">
        <v>0</v>
      </c>
      <c r="O707" t="n">
        <v>0</v>
      </c>
      <c r="P707" t="n">
        <v>0</v>
      </c>
      <c r="Q707" t="n">
        <v>0</v>
      </c>
      <c r="R707" s="2" t="inlineStr"/>
    </row>
    <row r="708" ht="15" customHeight="1">
      <c r="A708" t="inlineStr">
        <is>
          <t>A 31318-2021</t>
        </is>
      </c>
      <c r="B708" s="1" t="n">
        <v>44368</v>
      </c>
      <c r="C708" s="1" t="n">
        <v>45799</v>
      </c>
      <c r="D708" t="inlineStr">
        <is>
          <t>KALMAR LÄN</t>
        </is>
      </c>
      <c r="E708" t="inlineStr">
        <is>
          <t>VÄSTERVIK</t>
        </is>
      </c>
      <c r="G708" t="n">
        <v>1.6</v>
      </c>
      <c r="H708" t="n">
        <v>0</v>
      </c>
      <c r="I708" t="n">
        <v>0</v>
      </c>
      <c r="J708" t="n">
        <v>0</v>
      </c>
      <c r="K708" t="n">
        <v>0</v>
      </c>
      <c r="L708" t="n">
        <v>0</v>
      </c>
      <c r="M708" t="n">
        <v>0</v>
      </c>
      <c r="N708" t="n">
        <v>0</v>
      </c>
      <c r="O708" t="n">
        <v>0</v>
      </c>
      <c r="P708" t="n">
        <v>0</v>
      </c>
      <c r="Q708" t="n">
        <v>0</v>
      </c>
      <c r="R708" s="2" t="inlineStr"/>
    </row>
    <row r="709" ht="15" customHeight="1">
      <c r="A709" t="inlineStr">
        <is>
          <t>A 31319-2021</t>
        </is>
      </c>
      <c r="B709" s="1" t="n">
        <v>44368</v>
      </c>
      <c r="C709" s="1" t="n">
        <v>45799</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31317-2021</t>
        </is>
      </c>
      <c r="B710" s="1" t="n">
        <v>44368</v>
      </c>
      <c r="C710" s="1" t="n">
        <v>45799</v>
      </c>
      <c r="D710" t="inlineStr">
        <is>
          <t>KALMAR LÄN</t>
        </is>
      </c>
      <c r="E710" t="inlineStr">
        <is>
          <t>VÄSTERVIK</t>
        </is>
      </c>
      <c r="G710" t="n">
        <v>2.3</v>
      </c>
      <c r="H710" t="n">
        <v>0</v>
      </c>
      <c r="I710" t="n">
        <v>0</v>
      </c>
      <c r="J710" t="n">
        <v>0</v>
      </c>
      <c r="K710" t="n">
        <v>0</v>
      </c>
      <c r="L710" t="n">
        <v>0</v>
      </c>
      <c r="M710" t="n">
        <v>0</v>
      </c>
      <c r="N710" t="n">
        <v>0</v>
      </c>
      <c r="O710" t="n">
        <v>0</v>
      </c>
      <c r="P710" t="n">
        <v>0</v>
      </c>
      <c r="Q710" t="n">
        <v>0</v>
      </c>
      <c r="R710" s="2" t="inlineStr"/>
    </row>
    <row r="711" ht="15" customHeight="1">
      <c r="A711" t="inlineStr">
        <is>
          <t>A 31479-2021</t>
        </is>
      </c>
      <c r="B711" s="1" t="n">
        <v>44369</v>
      </c>
      <c r="C711" s="1" t="n">
        <v>45799</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31558-2021</t>
        </is>
      </c>
      <c r="B712" s="1" t="n">
        <v>44369</v>
      </c>
      <c r="C712" s="1" t="n">
        <v>45799</v>
      </c>
      <c r="D712" t="inlineStr">
        <is>
          <t>KALMAR LÄN</t>
        </is>
      </c>
      <c r="E712" t="inlineStr">
        <is>
          <t>VÄSTERVIK</t>
        </is>
      </c>
      <c r="G712" t="n">
        <v>22.9</v>
      </c>
      <c r="H712" t="n">
        <v>0</v>
      </c>
      <c r="I712" t="n">
        <v>0</v>
      </c>
      <c r="J712" t="n">
        <v>0</v>
      </c>
      <c r="K712" t="n">
        <v>0</v>
      </c>
      <c r="L712" t="n">
        <v>0</v>
      </c>
      <c r="M712" t="n">
        <v>0</v>
      </c>
      <c r="N712" t="n">
        <v>0</v>
      </c>
      <c r="O712" t="n">
        <v>0</v>
      </c>
      <c r="P712" t="n">
        <v>0</v>
      </c>
      <c r="Q712" t="n">
        <v>0</v>
      </c>
      <c r="R712" s="2" t="inlineStr"/>
    </row>
    <row r="713" ht="15" customHeight="1">
      <c r="A713" t="inlineStr">
        <is>
          <t>A 31545-2021</t>
        </is>
      </c>
      <c r="B713" s="1" t="n">
        <v>44369</v>
      </c>
      <c r="C713" s="1" t="n">
        <v>45799</v>
      </c>
      <c r="D713" t="inlineStr">
        <is>
          <t>KALMAR LÄN</t>
        </is>
      </c>
      <c r="E713" t="inlineStr">
        <is>
          <t>VÄSTERVIK</t>
        </is>
      </c>
      <c r="G713" t="n">
        <v>0.8</v>
      </c>
      <c r="H713" t="n">
        <v>0</v>
      </c>
      <c r="I713" t="n">
        <v>0</v>
      </c>
      <c r="J713" t="n">
        <v>0</v>
      </c>
      <c r="K713" t="n">
        <v>0</v>
      </c>
      <c r="L713" t="n">
        <v>0</v>
      </c>
      <c r="M713" t="n">
        <v>0</v>
      </c>
      <c r="N713" t="n">
        <v>0</v>
      </c>
      <c r="O713" t="n">
        <v>0</v>
      </c>
      <c r="P713" t="n">
        <v>0</v>
      </c>
      <c r="Q713" t="n">
        <v>0</v>
      </c>
      <c r="R713" s="2" t="inlineStr"/>
    </row>
    <row r="714" ht="15" customHeight="1">
      <c r="A714" t="inlineStr">
        <is>
          <t>A 31633-2021</t>
        </is>
      </c>
      <c r="B714" s="1" t="n">
        <v>44369</v>
      </c>
      <c r="C714" s="1" t="n">
        <v>45799</v>
      </c>
      <c r="D714" t="inlineStr">
        <is>
          <t>KALMAR LÄN</t>
        </is>
      </c>
      <c r="E714" t="inlineStr">
        <is>
          <t>VÄSTERVIK</t>
        </is>
      </c>
      <c r="G714" t="n">
        <v>2.1</v>
      </c>
      <c r="H714" t="n">
        <v>0</v>
      </c>
      <c r="I714" t="n">
        <v>0</v>
      </c>
      <c r="J714" t="n">
        <v>0</v>
      </c>
      <c r="K714" t="n">
        <v>0</v>
      </c>
      <c r="L714" t="n">
        <v>0</v>
      </c>
      <c r="M714" t="n">
        <v>0</v>
      </c>
      <c r="N714" t="n">
        <v>0</v>
      </c>
      <c r="O714" t="n">
        <v>0</v>
      </c>
      <c r="P714" t="n">
        <v>0</v>
      </c>
      <c r="Q714" t="n">
        <v>0</v>
      </c>
      <c r="R714" s="2" t="inlineStr"/>
    </row>
    <row r="715" ht="15" customHeight="1">
      <c r="A715" t="inlineStr">
        <is>
          <t>A 31592-2021</t>
        </is>
      </c>
      <c r="B715" s="1" t="n">
        <v>44369</v>
      </c>
      <c r="C715" s="1" t="n">
        <v>45799</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31952-2021</t>
        </is>
      </c>
      <c r="B716" s="1" t="n">
        <v>44370</v>
      </c>
      <c r="C716" s="1" t="n">
        <v>45799</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32394-2021</t>
        </is>
      </c>
      <c r="B717" s="1" t="n">
        <v>44371</v>
      </c>
      <c r="C717" s="1" t="n">
        <v>45799</v>
      </c>
      <c r="D717" t="inlineStr">
        <is>
          <t>KALMAR LÄN</t>
        </is>
      </c>
      <c r="E717" t="inlineStr">
        <is>
          <t>VÄSTERVIK</t>
        </is>
      </c>
      <c r="G717" t="n">
        <v>2.2</v>
      </c>
      <c r="H717" t="n">
        <v>0</v>
      </c>
      <c r="I717" t="n">
        <v>0</v>
      </c>
      <c r="J717" t="n">
        <v>0</v>
      </c>
      <c r="K717" t="n">
        <v>0</v>
      </c>
      <c r="L717" t="n">
        <v>0</v>
      </c>
      <c r="M717" t="n">
        <v>0</v>
      </c>
      <c r="N717" t="n">
        <v>0</v>
      </c>
      <c r="O717" t="n">
        <v>0</v>
      </c>
      <c r="P717" t="n">
        <v>0</v>
      </c>
      <c r="Q717" t="n">
        <v>0</v>
      </c>
      <c r="R717" s="2" t="inlineStr"/>
    </row>
    <row r="718" ht="15" customHeight="1">
      <c r="A718" t="inlineStr">
        <is>
          <t>A 32583-2021</t>
        </is>
      </c>
      <c r="B718" s="1" t="n">
        <v>44375</v>
      </c>
      <c r="C718" s="1" t="n">
        <v>45799</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32822-2021</t>
        </is>
      </c>
      <c r="B719" s="1" t="n">
        <v>44375</v>
      </c>
      <c r="C719" s="1" t="n">
        <v>45799</v>
      </c>
      <c r="D719" t="inlineStr">
        <is>
          <t>KALMAR LÄN</t>
        </is>
      </c>
      <c r="E719" t="inlineStr">
        <is>
          <t>VÄSTERVIK</t>
        </is>
      </c>
      <c r="G719" t="n">
        <v>5.1</v>
      </c>
      <c r="H719" t="n">
        <v>0</v>
      </c>
      <c r="I719" t="n">
        <v>0</v>
      </c>
      <c r="J719" t="n">
        <v>0</v>
      </c>
      <c r="K719" t="n">
        <v>0</v>
      </c>
      <c r="L719" t="n">
        <v>0</v>
      </c>
      <c r="M719" t="n">
        <v>0</v>
      </c>
      <c r="N719" t="n">
        <v>0</v>
      </c>
      <c r="O719" t="n">
        <v>0</v>
      </c>
      <c r="P719" t="n">
        <v>0</v>
      </c>
      <c r="Q719" t="n">
        <v>0</v>
      </c>
      <c r="R719" s="2" t="inlineStr"/>
    </row>
    <row r="720" ht="15" customHeight="1">
      <c r="A720" t="inlineStr">
        <is>
          <t>A 34125-2021</t>
        </is>
      </c>
      <c r="B720" s="1" t="n">
        <v>44379</v>
      </c>
      <c r="C720" s="1" t="n">
        <v>45799</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34118-2021</t>
        </is>
      </c>
      <c r="B721" s="1" t="n">
        <v>44379</v>
      </c>
      <c r="C721" s="1" t="n">
        <v>45799</v>
      </c>
      <c r="D721" t="inlineStr">
        <is>
          <t>KALMAR LÄN</t>
        </is>
      </c>
      <c r="E721" t="inlineStr">
        <is>
          <t>VÄSTERVIK</t>
        </is>
      </c>
      <c r="G721" t="n">
        <v>0.4</v>
      </c>
      <c r="H721" t="n">
        <v>0</v>
      </c>
      <c r="I721" t="n">
        <v>0</v>
      </c>
      <c r="J721" t="n">
        <v>0</v>
      </c>
      <c r="K721" t="n">
        <v>0</v>
      </c>
      <c r="L721" t="n">
        <v>0</v>
      </c>
      <c r="M721" t="n">
        <v>0</v>
      </c>
      <c r="N721" t="n">
        <v>0</v>
      </c>
      <c r="O721" t="n">
        <v>0</v>
      </c>
      <c r="P721" t="n">
        <v>0</v>
      </c>
      <c r="Q721" t="n">
        <v>0</v>
      </c>
      <c r="R721" s="2" t="inlineStr"/>
    </row>
    <row r="722" ht="15" customHeight="1">
      <c r="A722" t="inlineStr">
        <is>
          <t>A 34493-2021</t>
        </is>
      </c>
      <c r="B722" s="1" t="n">
        <v>44382</v>
      </c>
      <c r="C722" s="1" t="n">
        <v>45799</v>
      </c>
      <c r="D722" t="inlineStr">
        <is>
          <t>KALMAR LÄN</t>
        </is>
      </c>
      <c r="E722" t="inlineStr">
        <is>
          <t>VÄSTERVIK</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34953-2021</t>
        </is>
      </c>
      <c r="B723" s="1" t="n">
        <v>44383</v>
      </c>
      <c r="C723" s="1" t="n">
        <v>45799</v>
      </c>
      <c r="D723" t="inlineStr">
        <is>
          <t>KALMAR LÄN</t>
        </is>
      </c>
      <c r="E723" t="inlineStr">
        <is>
          <t>VÄSTERVIK</t>
        </is>
      </c>
      <c r="G723" t="n">
        <v>4.4</v>
      </c>
      <c r="H723" t="n">
        <v>0</v>
      </c>
      <c r="I723" t="n">
        <v>0</v>
      </c>
      <c r="J723" t="n">
        <v>0</v>
      </c>
      <c r="K723" t="n">
        <v>0</v>
      </c>
      <c r="L723" t="n">
        <v>0</v>
      </c>
      <c r="M723" t="n">
        <v>0</v>
      </c>
      <c r="N723" t="n">
        <v>0</v>
      </c>
      <c r="O723" t="n">
        <v>0</v>
      </c>
      <c r="P723" t="n">
        <v>0</v>
      </c>
      <c r="Q723" t="n">
        <v>0</v>
      </c>
      <c r="R723" s="2" t="inlineStr"/>
    </row>
    <row r="724" ht="15" customHeight="1">
      <c r="A724" t="inlineStr">
        <is>
          <t>A 34958-2021</t>
        </is>
      </c>
      <c r="B724" s="1" t="n">
        <v>44383</v>
      </c>
      <c r="C724" s="1" t="n">
        <v>45799</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36125-2021</t>
        </is>
      </c>
      <c r="B725" s="1" t="n">
        <v>44386</v>
      </c>
      <c r="C725" s="1" t="n">
        <v>45799</v>
      </c>
      <c r="D725" t="inlineStr">
        <is>
          <t>KALMAR LÄN</t>
        </is>
      </c>
      <c r="E725" t="inlineStr">
        <is>
          <t>VÄSTERVIK</t>
        </is>
      </c>
      <c r="G725" t="n">
        <v>5.1</v>
      </c>
      <c r="H725" t="n">
        <v>0</v>
      </c>
      <c r="I725" t="n">
        <v>0</v>
      </c>
      <c r="J725" t="n">
        <v>0</v>
      </c>
      <c r="K725" t="n">
        <v>0</v>
      </c>
      <c r="L725" t="n">
        <v>0</v>
      </c>
      <c r="M725" t="n">
        <v>0</v>
      </c>
      <c r="N725" t="n">
        <v>0</v>
      </c>
      <c r="O725" t="n">
        <v>0</v>
      </c>
      <c r="P725" t="n">
        <v>0</v>
      </c>
      <c r="Q725" t="n">
        <v>0</v>
      </c>
      <c r="R725" s="2" t="inlineStr"/>
    </row>
    <row r="726" ht="15" customHeight="1">
      <c r="A726" t="inlineStr">
        <is>
          <t>A 35906-2021</t>
        </is>
      </c>
      <c r="B726" s="1" t="n">
        <v>44387</v>
      </c>
      <c r="C726" s="1" t="n">
        <v>45799</v>
      </c>
      <c r="D726" t="inlineStr">
        <is>
          <t>KALMAR LÄN</t>
        </is>
      </c>
      <c r="E726" t="inlineStr">
        <is>
          <t>VÄSTERVIK</t>
        </is>
      </c>
      <c r="G726" t="n">
        <v>2.5</v>
      </c>
      <c r="H726" t="n">
        <v>0</v>
      </c>
      <c r="I726" t="n">
        <v>0</v>
      </c>
      <c r="J726" t="n">
        <v>0</v>
      </c>
      <c r="K726" t="n">
        <v>0</v>
      </c>
      <c r="L726" t="n">
        <v>0</v>
      </c>
      <c r="M726" t="n">
        <v>0</v>
      </c>
      <c r="N726" t="n">
        <v>0</v>
      </c>
      <c r="O726" t="n">
        <v>0</v>
      </c>
      <c r="P726" t="n">
        <v>0</v>
      </c>
      <c r="Q726" t="n">
        <v>0</v>
      </c>
      <c r="R726" s="2" t="inlineStr"/>
    </row>
    <row r="727" ht="15" customHeight="1">
      <c r="A727" t="inlineStr">
        <is>
          <t>A 37036-2021</t>
        </is>
      </c>
      <c r="B727" s="1" t="n">
        <v>44393</v>
      </c>
      <c r="C727" s="1" t="n">
        <v>45799</v>
      </c>
      <c r="D727" t="inlineStr">
        <is>
          <t>KALMAR LÄN</t>
        </is>
      </c>
      <c r="E727" t="inlineStr">
        <is>
          <t>VÄSTERVIK</t>
        </is>
      </c>
      <c r="G727" t="n">
        <v>16.1</v>
      </c>
      <c r="H727" t="n">
        <v>0</v>
      </c>
      <c r="I727" t="n">
        <v>0</v>
      </c>
      <c r="J727" t="n">
        <v>0</v>
      </c>
      <c r="K727" t="n">
        <v>0</v>
      </c>
      <c r="L727" t="n">
        <v>0</v>
      </c>
      <c r="M727" t="n">
        <v>0</v>
      </c>
      <c r="N727" t="n">
        <v>0</v>
      </c>
      <c r="O727" t="n">
        <v>0</v>
      </c>
      <c r="P727" t="n">
        <v>0</v>
      </c>
      <c r="Q727" t="n">
        <v>0</v>
      </c>
      <c r="R727" s="2" t="inlineStr"/>
    </row>
    <row r="728" ht="15" customHeight="1">
      <c r="A728" t="inlineStr">
        <is>
          <t>A 37033-2021</t>
        </is>
      </c>
      <c r="B728" s="1" t="n">
        <v>44393</v>
      </c>
      <c r="C728" s="1" t="n">
        <v>45799</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37441-2021</t>
        </is>
      </c>
      <c r="B729" s="1" t="n">
        <v>44398</v>
      </c>
      <c r="C729" s="1" t="n">
        <v>45799</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37545-2021</t>
        </is>
      </c>
      <c r="B730" s="1" t="n">
        <v>44399</v>
      </c>
      <c r="C730" s="1" t="n">
        <v>45799</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37550-2021</t>
        </is>
      </c>
      <c r="B731" s="1" t="n">
        <v>44399</v>
      </c>
      <c r="C731" s="1" t="n">
        <v>45799</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37717-2021</t>
        </is>
      </c>
      <c r="B732" s="1" t="n">
        <v>44400</v>
      </c>
      <c r="C732" s="1" t="n">
        <v>45799</v>
      </c>
      <c r="D732" t="inlineStr">
        <is>
          <t>KALMAR LÄN</t>
        </is>
      </c>
      <c r="E732" t="inlineStr">
        <is>
          <t>VÄSTERVIK</t>
        </is>
      </c>
      <c r="G732" t="n">
        <v>3.7</v>
      </c>
      <c r="H732" t="n">
        <v>0</v>
      </c>
      <c r="I732" t="n">
        <v>0</v>
      </c>
      <c r="J732" t="n">
        <v>0</v>
      </c>
      <c r="K732" t="n">
        <v>0</v>
      </c>
      <c r="L732" t="n">
        <v>0</v>
      </c>
      <c r="M732" t="n">
        <v>0</v>
      </c>
      <c r="N732" t="n">
        <v>0</v>
      </c>
      <c r="O732" t="n">
        <v>0</v>
      </c>
      <c r="P732" t="n">
        <v>0</v>
      </c>
      <c r="Q732" t="n">
        <v>0</v>
      </c>
      <c r="R732" s="2" t="inlineStr"/>
    </row>
    <row r="733" ht="15" customHeight="1">
      <c r="A733" t="inlineStr">
        <is>
          <t>A 37748-2021</t>
        </is>
      </c>
      <c r="B733" s="1" t="n">
        <v>44400</v>
      </c>
      <c r="C733" s="1" t="n">
        <v>45799</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37753-2021</t>
        </is>
      </c>
      <c r="B734" s="1" t="n">
        <v>44400</v>
      </c>
      <c r="C734" s="1" t="n">
        <v>45799</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38613-2021</t>
        </is>
      </c>
      <c r="B735" s="1" t="n">
        <v>44409</v>
      </c>
      <c r="C735" s="1" t="n">
        <v>45799</v>
      </c>
      <c r="D735" t="inlineStr">
        <is>
          <t>KALMAR LÄN</t>
        </is>
      </c>
      <c r="E735" t="inlineStr">
        <is>
          <t>VÄSTERVIK</t>
        </is>
      </c>
      <c r="G735" t="n">
        <v>7</v>
      </c>
      <c r="H735" t="n">
        <v>0</v>
      </c>
      <c r="I735" t="n">
        <v>0</v>
      </c>
      <c r="J735" t="n">
        <v>0</v>
      </c>
      <c r="K735" t="n">
        <v>0</v>
      </c>
      <c r="L735" t="n">
        <v>0</v>
      </c>
      <c r="M735" t="n">
        <v>0</v>
      </c>
      <c r="N735" t="n">
        <v>0</v>
      </c>
      <c r="O735" t="n">
        <v>0</v>
      </c>
      <c r="P735" t="n">
        <v>0</v>
      </c>
      <c r="Q735" t="n">
        <v>0</v>
      </c>
      <c r="R735" s="2" t="inlineStr"/>
    </row>
    <row r="736" ht="15" customHeight="1">
      <c r="A736" t="inlineStr">
        <is>
          <t>A 42052-2021</t>
        </is>
      </c>
      <c r="B736" s="1" t="n">
        <v>44426</v>
      </c>
      <c r="C736" s="1" t="n">
        <v>45799</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42112-2021</t>
        </is>
      </c>
      <c r="B737" s="1" t="n">
        <v>44426</v>
      </c>
      <c r="C737" s="1" t="n">
        <v>45799</v>
      </c>
      <c r="D737" t="inlineStr">
        <is>
          <t>KALMAR LÄN</t>
        </is>
      </c>
      <c r="E737" t="inlineStr">
        <is>
          <t>VÄSTERVIK</t>
        </is>
      </c>
      <c r="G737" t="n">
        <v>2.6</v>
      </c>
      <c r="H737" t="n">
        <v>0</v>
      </c>
      <c r="I737" t="n">
        <v>0</v>
      </c>
      <c r="J737" t="n">
        <v>0</v>
      </c>
      <c r="K737" t="n">
        <v>0</v>
      </c>
      <c r="L737" t="n">
        <v>0</v>
      </c>
      <c r="M737" t="n">
        <v>0</v>
      </c>
      <c r="N737" t="n">
        <v>0</v>
      </c>
      <c r="O737" t="n">
        <v>0</v>
      </c>
      <c r="P737" t="n">
        <v>0</v>
      </c>
      <c r="Q737" t="n">
        <v>0</v>
      </c>
      <c r="R737" s="2" t="inlineStr"/>
    </row>
    <row r="738" ht="15" customHeight="1">
      <c r="A738" t="inlineStr">
        <is>
          <t>A 42131-2021</t>
        </is>
      </c>
      <c r="B738" s="1" t="n">
        <v>44426</v>
      </c>
      <c r="C738" s="1" t="n">
        <v>45799</v>
      </c>
      <c r="D738" t="inlineStr">
        <is>
          <t>KALMAR LÄN</t>
        </is>
      </c>
      <c r="E738" t="inlineStr">
        <is>
          <t>VÄSTERVIK</t>
        </is>
      </c>
      <c r="G738" t="n">
        <v>2.3</v>
      </c>
      <c r="H738" t="n">
        <v>0</v>
      </c>
      <c r="I738" t="n">
        <v>0</v>
      </c>
      <c r="J738" t="n">
        <v>0</v>
      </c>
      <c r="K738" t="n">
        <v>0</v>
      </c>
      <c r="L738" t="n">
        <v>0</v>
      </c>
      <c r="M738" t="n">
        <v>0</v>
      </c>
      <c r="N738" t="n">
        <v>0</v>
      </c>
      <c r="O738" t="n">
        <v>0</v>
      </c>
      <c r="P738" t="n">
        <v>0</v>
      </c>
      <c r="Q738" t="n">
        <v>0</v>
      </c>
      <c r="R738" s="2" t="inlineStr"/>
    </row>
    <row r="739" ht="15" customHeight="1">
      <c r="A739" t="inlineStr">
        <is>
          <t>A 42150-2021</t>
        </is>
      </c>
      <c r="B739" s="1" t="n">
        <v>44426</v>
      </c>
      <c r="C739" s="1" t="n">
        <v>45799</v>
      </c>
      <c r="D739" t="inlineStr">
        <is>
          <t>KALMAR LÄN</t>
        </is>
      </c>
      <c r="E739" t="inlineStr">
        <is>
          <t>VÄSTERVIK</t>
        </is>
      </c>
      <c r="G739" t="n">
        <v>0.3</v>
      </c>
      <c r="H739" t="n">
        <v>0</v>
      </c>
      <c r="I739" t="n">
        <v>0</v>
      </c>
      <c r="J739" t="n">
        <v>0</v>
      </c>
      <c r="K739" t="n">
        <v>0</v>
      </c>
      <c r="L739" t="n">
        <v>0</v>
      </c>
      <c r="M739" t="n">
        <v>0</v>
      </c>
      <c r="N739" t="n">
        <v>0</v>
      </c>
      <c r="O739" t="n">
        <v>0</v>
      </c>
      <c r="P739" t="n">
        <v>0</v>
      </c>
      <c r="Q739" t="n">
        <v>0</v>
      </c>
      <c r="R739" s="2" t="inlineStr"/>
    </row>
    <row r="740" ht="15" customHeight="1">
      <c r="A740" t="inlineStr">
        <is>
          <t>A 42137-2021</t>
        </is>
      </c>
      <c r="B740" s="1" t="n">
        <v>44426</v>
      </c>
      <c r="C740" s="1" t="n">
        <v>45799</v>
      </c>
      <c r="D740" t="inlineStr">
        <is>
          <t>KALMAR LÄN</t>
        </is>
      </c>
      <c r="E740" t="inlineStr">
        <is>
          <t>VÄSTERVIK</t>
        </is>
      </c>
      <c r="G740" t="n">
        <v>1.2</v>
      </c>
      <c r="H740" t="n">
        <v>0</v>
      </c>
      <c r="I740" t="n">
        <v>0</v>
      </c>
      <c r="J740" t="n">
        <v>0</v>
      </c>
      <c r="K740" t="n">
        <v>0</v>
      </c>
      <c r="L740" t="n">
        <v>0</v>
      </c>
      <c r="M740" t="n">
        <v>0</v>
      </c>
      <c r="N740" t="n">
        <v>0</v>
      </c>
      <c r="O740" t="n">
        <v>0</v>
      </c>
      <c r="P740" t="n">
        <v>0</v>
      </c>
      <c r="Q740" t="n">
        <v>0</v>
      </c>
      <c r="R740" s="2" t="inlineStr"/>
    </row>
    <row r="741" ht="15" customHeight="1">
      <c r="A741" t="inlineStr">
        <is>
          <t>A 42164-2021</t>
        </is>
      </c>
      <c r="B741" s="1" t="n">
        <v>44426</v>
      </c>
      <c r="C741" s="1" t="n">
        <v>45799</v>
      </c>
      <c r="D741" t="inlineStr">
        <is>
          <t>KALMAR LÄN</t>
        </is>
      </c>
      <c r="E741" t="inlineStr">
        <is>
          <t>VÄSTERVIK</t>
        </is>
      </c>
      <c r="G741" t="n">
        <v>5.5</v>
      </c>
      <c r="H741" t="n">
        <v>0</v>
      </c>
      <c r="I741" t="n">
        <v>0</v>
      </c>
      <c r="J741" t="n">
        <v>0</v>
      </c>
      <c r="K741" t="n">
        <v>0</v>
      </c>
      <c r="L741" t="n">
        <v>0</v>
      </c>
      <c r="M741" t="n">
        <v>0</v>
      </c>
      <c r="N741" t="n">
        <v>0</v>
      </c>
      <c r="O741" t="n">
        <v>0</v>
      </c>
      <c r="P741" t="n">
        <v>0</v>
      </c>
      <c r="Q741" t="n">
        <v>0</v>
      </c>
      <c r="R741" s="2" t="inlineStr"/>
      <c r="U741">
        <f>HYPERLINK("https://klasma.github.io/Logging_0883/knärot/A 42164-2021 karta knärot.png", "A 42164-2021")</f>
        <v/>
      </c>
      <c r="V741">
        <f>HYPERLINK("https://klasma.github.io/Logging_0883/klagomål/A 42164-2021 FSC-klagomål.docx", "A 42164-2021")</f>
        <v/>
      </c>
      <c r="W741">
        <f>HYPERLINK("https://klasma.github.io/Logging_0883/klagomålsmail/A 42164-2021 FSC-klagomål mail.docx", "A 42164-2021")</f>
        <v/>
      </c>
      <c r="X741">
        <f>HYPERLINK("https://klasma.github.io/Logging_0883/tillsyn/A 42164-2021 tillsynsbegäran.docx", "A 42164-2021")</f>
        <v/>
      </c>
      <c r="Y741">
        <f>HYPERLINK("https://klasma.github.io/Logging_0883/tillsynsmail/A 42164-2021 tillsynsbegäran mail.docx", "A 42164-2021")</f>
        <v/>
      </c>
    </row>
    <row r="742" ht="15" customHeight="1">
      <c r="A742" t="inlineStr">
        <is>
          <t>A 42353-2021</t>
        </is>
      </c>
      <c r="B742" s="1" t="n">
        <v>44427</v>
      </c>
      <c r="C742" s="1" t="n">
        <v>45799</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43759-2021</t>
        </is>
      </c>
      <c r="B743" s="1" t="n">
        <v>44433</v>
      </c>
      <c r="C743" s="1" t="n">
        <v>45799</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43828-2021</t>
        </is>
      </c>
      <c r="B744" s="1" t="n">
        <v>44433</v>
      </c>
      <c r="C744" s="1" t="n">
        <v>45799</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43805-2021</t>
        </is>
      </c>
      <c r="B745" s="1" t="n">
        <v>44433</v>
      </c>
      <c r="C745" s="1" t="n">
        <v>45799</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43810-2021</t>
        </is>
      </c>
      <c r="B746" s="1" t="n">
        <v>44433</v>
      </c>
      <c r="C746" s="1" t="n">
        <v>45799</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43826-2021</t>
        </is>
      </c>
      <c r="B747" s="1" t="n">
        <v>44433</v>
      </c>
      <c r="C747" s="1" t="n">
        <v>45799</v>
      </c>
      <c r="D747" t="inlineStr">
        <is>
          <t>KALMAR LÄN</t>
        </is>
      </c>
      <c r="E747" t="inlineStr">
        <is>
          <t>VÄSTERVIK</t>
        </is>
      </c>
      <c r="G747" t="n">
        <v>4.2</v>
      </c>
      <c r="H747" t="n">
        <v>0</v>
      </c>
      <c r="I747" t="n">
        <v>0</v>
      </c>
      <c r="J747" t="n">
        <v>0</v>
      </c>
      <c r="K747" t="n">
        <v>0</v>
      </c>
      <c r="L747" t="n">
        <v>0</v>
      </c>
      <c r="M747" t="n">
        <v>0</v>
      </c>
      <c r="N747" t="n">
        <v>0</v>
      </c>
      <c r="O747" t="n">
        <v>0</v>
      </c>
      <c r="P747" t="n">
        <v>0</v>
      </c>
      <c r="Q747" t="n">
        <v>0</v>
      </c>
      <c r="R747" s="2" t="inlineStr"/>
    </row>
    <row r="748" ht="15" customHeight="1">
      <c r="A748" t="inlineStr">
        <is>
          <t>A 43803-2021</t>
        </is>
      </c>
      <c r="B748" s="1" t="n">
        <v>44433</v>
      </c>
      <c r="C748" s="1" t="n">
        <v>45799</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43802-2021</t>
        </is>
      </c>
      <c r="B749" s="1" t="n">
        <v>44433</v>
      </c>
      <c r="C749" s="1" t="n">
        <v>45799</v>
      </c>
      <c r="D749" t="inlineStr">
        <is>
          <t>KALMAR LÄN</t>
        </is>
      </c>
      <c r="E749" t="inlineStr">
        <is>
          <t>VÄSTERVIK</t>
        </is>
      </c>
      <c r="G749" t="n">
        <v>6</v>
      </c>
      <c r="H749" t="n">
        <v>0</v>
      </c>
      <c r="I749" t="n">
        <v>0</v>
      </c>
      <c r="J749" t="n">
        <v>0</v>
      </c>
      <c r="K749" t="n">
        <v>0</v>
      </c>
      <c r="L749" t="n">
        <v>0</v>
      </c>
      <c r="M749" t="n">
        <v>0</v>
      </c>
      <c r="N749" t="n">
        <v>0</v>
      </c>
      <c r="O749" t="n">
        <v>0</v>
      </c>
      <c r="P749" t="n">
        <v>0</v>
      </c>
      <c r="Q749" t="n">
        <v>0</v>
      </c>
      <c r="R749" s="2" t="inlineStr"/>
    </row>
    <row r="750" ht="15" customHeight="1">
      <c r="A750" t="inlineStr">
        <is>
          <t>A 43808-2021</t>
        </is>
      </c>
      <c r="B750" s="1" t="n">
        <v>44433</v>
      </c>
      <c r="C750" s="1" t="n">
        <v>45799</v>
      </c>
      <c r="D750" t="inlineStr">
        <is>
          <t>KALMAR LÄN</t>
        </is>
      </c>
      <c r="E750" t="inlineStr">
        <is>
          <t>VÄSTERVIK</t>
        </is>
      </c>
      <c r="G750" t="n">
        <v>3.1</v>
      </c>
      <c r="H750" t="n">
        <v>0</v>
      </c>
      <c r="I750" t="n">
        <v>0</v>
      </c>
      <c r="J750" t="n">
        <v>0</v>
      </c>
      <c r="K750" t="n">
        <v>0</v>
      </c>
      <c r="L750" t="n">
        <v>0</v>
      </c>
      <c r="M750" t="n">
        <v>0</v>
      </c>
      <c r="N750" t="n">
        <v>0</v>
      </c>
      <c r="O750" t="n">
        <v>0</v>
      </c>
      <c r="P750" t="n">
        <v>0</v>
      </c>
      <c r="Q750" t="n">
        <v>0</v>
      </c>
      <c r="R750" s="2" t="inlineStr"/>
    </row>
    <row r="751" ht="15" customHeight="1">
      <c r="A751" t="inlineStr">
        <is>
          <t>A 43807-2021</t>
        </is>
      </c>
      <c r="B751" s="1" t="n">
        <v>44433</v>
      </c>
      <c r="C751" s="1" t="n">
        <v>45799</v>
      </c>
      <c r="D751" t="inlineStr">
        <is>
          <t>KALMAR LÄN</t>
        </is>
      </c>
      <c r="E751" t="inlineStr">
        <is>
          <t>VÄSTERVIK</t>
        </is>
      </c>
      <c r="G751" t="n">
        <v>3.2</v>
      </c>
      <c r="H751" t="n">
        <v>0</v>
      </c>
      <c r="I751" t="n">
        <v>0</v>
      </c>
      <c r="J751" t="n">
        <v>0</v>
      </c>
      <c r="K751" t="n">
        <v>0</v>
      </c>
      <c r="L751" t="n">
        <v>0</v>
      </c>
      <c r="M751" t="n">
        <v>0</v>
      </c>
      <c r="N751" t="n">
        <v>0</v>
      </c>
      <c r="O751" t="n">
        <v>0</v>
      </c>
      <c r="P751" t="n">
        <v>0</v>
      </c>
      <c r="Q751" t="n">
        <v>0</v>
      </c>
      <c r="R751" s="2" t="inlineStr"/>
    </row>
    <row r="752" ht="15" customHeight="1">
      <c r="A752" t="inlineStr">
        <is>
          <t>A 43953-2021</t>
        </is>
      </c>
      <c r="B752" s="1" t="n">
        <v>44434</v>
      </c>
      <c r="C752" s="1" t="n">
        <v>45799</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44454-2021</t>
        </is>
      </c>
      <c r="B753" s="1" t="n">
        <v>44435</v>
      </c>
      <c r="C753" s="1" t="n">
        <v>45799</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c r="U753">
        <f>HYPERLINK("https://klasma.github.io/Logging_0883/knärot/A 44454-2021 karta knärot.png", "A 44454-2021")</f>
        <v/>
      </c>
      <c r="V753">
        <f>HYPERLINK("https://klasma.github.io/Logging_0883/klagomål/A 44454-2021 FSC-klagomål.docx", "A 44454-2021")</f>
        <v/>
      </c>
      <c r="W753">
        <f>HYPERLINK("https://klasma.github.io/Logging_0883/klagomålsmail/A 44454-2021 FSC-klagomål mail.docx", "A 44454-2021")</f>
        <v/>
      </c>
      <c r="X753">
        <f>HYPERLINK("https://klasma.github.io/Logging_0883/tillsyn/A 44454-2021 tillsynsbegäran.docx", "A 44454-2021")</f>
        <v/>
      </c>
      <c r="Y753">
        <f>HYPERLINK("https://klasma.github.io/Logging_0883/tillsynsmail/A 44454-2021 tillsynsbegäran mail.docx", "A 44454-2021")</f>
        <v/>
      </c>
    </row>
    <row r="754" ht="15" customHeight="1">
      <c r="A754" t="inlineStr">
        <is>
          <t>A 44668-2021</t>
        </is>
      </c>
      <c r="B754" s="1" t="n">
        <v>44438</v>
      </c>
      <c r="C754" s="1" t="n">
        <v>45799</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47404-2021</t>
        </is>
      </c>
      <c r="B755" s="1" t="n">
        <v>44447</v>
      </c>
      <c r="C755" s="1" t="n">
        <v>45799</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47527-2021</t>
        </is>
      </c>
      <c r="B756" s="1" t="n">
        <v>44447</v>
      </c>
      <c r="C756" s="1" t="n">
        <v>45799</v>
      </c>
      <c r="D756" t="inlineStr">
        <is>
          <t>KALMAR LÄN</t>
        </is>
      </c>
      <c r="E756" t="inlineStr">
        <is>
          <t>VÄSTERVIK</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47525-2021</t>
        </is>
      </c>
      <c r="B757" s="1" t="n">
        <v>44447</v>
      </c>
      <c r="C757" s="1" t="n">
        <v>45799</v>
      </c>
      <c r="D757" t="inlineStr">
        <is>
          <t>KALMAR LÄN</t>
        </is>
      </c>
      <c r="E757" t="inlineStr">
        <is>
          <t>VÄSTERVIK</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47530-2021</t>
        </is>
      </c>
      <c r="B758" s="1" t="n">
        <v>44447</v>
      </c>
      <c r="C758" s="1" t="n">
        <v>45799</v>
      </c>
      <c r="D758" t="inlineStr">
        <is>
          <t>KALMAR LÄN</t>
        </is>
      </c>
      <c r="E758" t="inlineStr">
        <is>
          <t>VÄSTERVIK</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48021-2021</t>
        </is>
      </c>
      <c r="B759" s="1" t="n">
        <v>44449</v>
      </c>
      <c r="C759" s="1" t="n">
        <v>45799</v>
      </c>
      <c r="D759" t="inlineStr">
        <is>
          <t>KALMAR LÄN</t>
        </is>
      </c>
      <c r="E759" t="inlineStr">
        <is>
          <t>VÄSTERVIK</t>
        </is>
      </c>
      <c r="G759" t="n">
        <v>1.5</v>
      </c>
      <c r="H759" t="n">
        <v>0</v>
      </c>
      <c r="I759" t="n">
        <v>0</v>
      </c>
      <c r="J759" t="n">
        <v>0</v>
      </c>
      <c r="K759" t="n">
        <v>0</v>
      </c>
      <c r="L759" t="n">
        <v>0</v>
      </c>
      <c r="M759" t="n">
        <v>0</v>
      </c>
      <c r="N759" t="n">
        <v>0</v>
      </c>
      <c r="O759" t="n">
        <v>0</v>
      </c>
      <c r="P759" t="n">
        <v>0</v>
      </c>
      <c r="Q759" t="n">
        <v>0</v>
      </c>
      <c r="R759" s="2" t="inlineStr"/>
    </row>
    <row r="760" ht="15" customHeight="1">
      <c r="A760" t="inlineStr">
        <is>
          <t>A 48018-2021</t>
        </is>
      </c>
      <c r="B760" s="1" t="n">
        <v>44449</v>
      </c>
      <c r="C760" s="1" t="n">
        <v>45799</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48041-2021</t>
        </is>
      </c>
      <c r="B761" s="1" t="n">
        <v>44449</v>
      </c>
      <c r="C761" s="1" t="n">
        <v>45799</v>
      </c>
      <c r="D761" t="inlineStr">
        <is>
          <t>KALMAR LÄN</t>
        </is>
      </c>
      <c r="E761" t="inlineStr">
        <is>
          <t>VÄSTERVIK</t>
        </is>
      </c>
      <c r="G761" t="n">
        <v>2.6</v>
      </c>
      <c r="H761" t="n">
        <v>0</v>
      </c>
      <c r="I761" t="n">
        <v>0</v>
      </c>
      <c r="J761" t="n">
        <v>0</v>
      </c>
      <c r="K761" t="n">
        <v>0</v>
      </c>
      <c r="L761" t="n">
        <v>0</v>
      </c>
      <c r="M761" t="n">
        <v>0</v>
      </c>
      <c r="N761" t="n">
        <v>0</v>
      </c>
      <c r="O761" t="n">
        <v>0</v>
      </c>
      <c r="P761" t="n">
        <v>0</v>
      </c>
      <c r="Q761" t="n">
        <v>0</v>
      </c>
      <c r="R761" s="2" t="inlineStr"/>
    </row>
    <row r="762" ht="15" customHeight="1">
      <c r="A762" t="inlineStr">
        <is>
          <t>A 48254-2021</t>
        </is>
      </c>
      <c r="B762" s="1" t="n">
        <v>44449</v>
      </c>
      <c r="C762" s="1" t="n">
        <v>45799</v>
      </c>
      <c r="D762" t="inlineStr">
        <is>
          <t>KALMAR LÄN</t>
        </is>
      </c>
      <c r="E762" t="inlineStr">
        <is>
          <t>VÄSTERVIK</t>
        </is>
      </c>
      <c r="F762" t="inlineStr">
        <is>
          <t>Kyrkan</t>
        </is>
      </c>
      <c r="G762" t="n">
        <v>2.7</v>
      </c>
      <c r="H762" t="n">
        <v>0</v>
      </c>
      <c r="I762" t="n">
        <v>0</v>
      </c>
      <c r="J762" t="n">
        <v>0</v>
      </c>
      <c r="K762" t="n">
        <v>0</v>
      </c>
      <c r="L762" t="n">
        <v>0</v>
      </c>
      <c r="M762" t="n">
        <v>0</v>
      </c>
      <c r="N762" t="n">
        <v>0</v>
      </c>
      <c r="O762" t="n">
        <v>0</v>
      </c>
      <c r="P762" t="n">
        <v>0</v>
      </c>
      <c r="Q762" t="n">
        <v>0</v>
      </c>
      <c r="R762" s="2" t="inlineStr"/>
    </row>
    <row r="763" ht="15" customHeight="1">
      <c r="A763" t="inlineStr">
        <is>
          <t>A 49402-2021</t>
        </is>
      </c>
      <c r="B763" s="1" t="n">
        <v>44454</v>
      </c>
      <c r="C763" s="1" t="n">
        <v>45799</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49407-2021</t>
        </is>
      </c>
      <c r="B764" s="1" t="n">
        <v>44454</v>
      </c>
      <c r="C764" s="1" t="n">
        <v>45799</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49398-2021</t>
        </is>
      </c>
      <c r="B765" s="1" t="n">
        <v>44454</v>
      </c>
      <c r="C765" s="1" t="n">
        <v>45799</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49404-2021</t>
        </is>
      </c>
      <c r="B766" s="1" t="n">
        <v>44454</v>
      </c>
      <c r="C766" s="1" t="n">
        <v>45799</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50977-2021</t>
        </is>
      </c>
      <c r="B767" s="1" t="n">
        <v>44460</v>
      </c>
      <c r="C767" s="1" t="n">
        <v>45799</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51504-2021</t>
        </is>
      </c>
      <c r="B768" s="1" t="n">
        <v>44461</v>
      </c>
      <c r="C768" s="1" t="n">
        <v>45799</v>
      </c>
      <c r="D768" t="inlineStr">
        <is>
          <t>KALMAR LÄN</t>
        </is>
      </c>
      <c r="E768" t="inlineStr">
        <is>
          <t>VÄSTERVIK</t>
        </is>
      </c>
      <c r="G768" t="n">
        <v>6.4</v>
      </c>
      <c r="H768" t="n">
        <v>0</v>
      </c>
      <c r="I768" t="n">
        <v>0</v>
      </c>
      <c r="J768" t="n">
        <v>0</v>
      </c>
      <c r="K768" t="n">
        <v>0</v>
      </c>
      <c r="L768" t="n">
        <v>0</v>
      </c>
      <c r="M768" t="n">
        <v>0</v>
      </c>
      <c r="N768" t="n">
        <v>0</v>
      </c>
      <c r="O768" t="n">
        <v>0</v>
      </c>
      <c r="P768" t="n">
        <v>0</v>
      </c>
      <c r="Q768" t="n">
        <v>0</v>
      </c>
      <c r="R768" s="2" t="inlineStr"/>
    </row>
    <row r="769" ht="15" customHeight="1">
      <c r="A769" t="inlineStr">
        <is>
          <t>A 51883-2021</t>
        </is>
      </c>
      <c r="B769" s="1" t="n">
        <v>44462</v>
      </c>
      <c r="C769" s="1" t="n">
        <v>45799</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51884-2021</t>
        </is>
      </c>
      <c r="B770" s="1" t="n">
        <v>44462</v>
      </c>
      <c r="C770" s="1" t="n">
        <v>45799</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52155-2021</t>
        </is>
      </c>
      <c r="B771" s="1" t="n">
        <v>44463</v>
      </c>
      <c r="C771" s="1" t="n">
        <v>45799</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52645-2021</t>
        </is>
      </c>
      <c r="B772" s="1" t="n">
        <v>44466</v>
      </c>
      <c r="C772" s="1" t="n">
        <v>45799</v>
      </c>
      <c r="D772" t="inlineStr">
        <is>
          <t>KALMAR LÄN</t>
        </is>
      </c>
      <c r="E772" t="inlineStr">
        <is>
          <t>VÄSTERVIK</t>
        </is>
      </c>
      <c r="G772" t="n">
        <v>5</v>
      </c>
      <c r="H772" t="n">
        <v>0</v>
      </c>
      <c r="I772" t="n">
        <v>0</v>
      </c>
      <c r="J772" t="n">
        <v>0</v>
      </c>
      <c r="K772" t="n">
        <v>0</v>
      </c>
      <c r="L772" t="n">
        <v>0</v>
      </c>
      <c r="M772" t="n">
        <v>0</v>
      </c>
      <c r="N772" t="n">
        <v>0</v>
      </c>
      <c r="O772" t="n">
        <v>0</v>
      </c>
      <c r="P772" t="n">
        <v>0</v>
      </c>
      <c r="Q772" t="n">
        <v>0</v>
      </c>
      <c r="R772" s="2" t="inlineStr"/>
    </row>
    <row r="773" ht="15" customHeight="1">
      <c r="A773" t="inlineStr">
        <is>
          <t>A 53259-2021</t>
        </is>
      </c>
      <c r="B773" s="1" t="n">
        <v>44468</v>
      </c>
      <c r="C773" s="1" t="n">
        <v>45799</v>
      </c>
      <c r="D773" t="inlineStr">
        <is>
          <t>KALMAR LÄN</t>
        </is>
      </c>
      <c r="E773" t="inlineStr">
        <is>
          <t>VÄSTERVIK</t>
        </is>
      </c>
      <c r="G773" t="n">
        <v>2.8</v>
      </c>
      <c r="H773" t="n">
        <v>0</v>
      </c>
      <c r="I773" t="n">
        <v>0</v>
      </c>
      <c r="J773" t="n">
        <v>0</v>
      </c>
      <c r="K773" t="n">
        <v>0</v>
      </c>
      <c r="L773" t="n">
        <v>0</v>
      </c>
      <c r="M773" t="n">
        <v>0</v>
      </c>
      <c r="N773" t="n">
        <v>0</v>
      </c>
      <c r="O773" t="n">
        <v>0</v>
      </c>
      <c r="P773" t="n">
        <v>0</v>
      </c>
      <c r="Q773" t="n">
        <v>0</v>
      </c>
      <c r="R773" s="2" t="inlineStr"/>
    </row>
    <row r="774" ht="15" customHeight="1">
      <c r="A774" t="inlineStr">
        <is>
          <t>A 53254-2021</t>
        </is>
      </c>
      <c r="B774" s="1" t="n">
        <v>44468</v>
      </c>
      <c r="C774" s="1" t="n">
        <v>45799</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53913-2021</t>
        </is>
      </c>
      <c r="B775" s="1" t="n">
        <v>44469</v>
      </c>
      <c r="C775" s="1" t="n">
        <v>45799</v>
      </c>
      <c r="D775" t="inlineStr">
        <is>
          <t>KALMAR LÄN</t>
        </is>
      </c>
      <c r="E775" t="inlineStr">
        <is>
          <t>VÄSTERVIK</t>
        </is>
      </c>
      <c r="G775" t="n">
        <v>2.4</v>
      </c>
      <c r="H775" t="n">
        <v>0</v>
      </c>
      <c r="I775" t="n">
        <v>0</v>
      </c>
      <c r="J775" t="n">
        <v>0</v>
      </c>
      <c r="K775" t="n">
        <v>0</v>
      </c>
      <c r="L775" t="n">
        <v>0</v>
      </c>
      <c r="M775" t="n">
        <v>0</v>
      </c>
      <c r="N775" t="n">
        <v>0</v>
      </c>
      <c r="O775" t="n">
        <v>0</v>
      </c>
      <c r="P775" t="n">
        <v>0</v>
      </c>
      <c r="Q775" t="n">
        <v>0</v>
      </c>
      <c r="R775" s="2" t="inlineStr"/>
    </row>
    <row r="776" ht="15" customHeight="1">
      <c r="A776" t="inlineStr">
        <is>
          <t>A 55008-2021</t>
        </is>
      </c>
      <c r="B776" s="1" t="n">
        <v>44474</v>
      </c>
      <c r="C776" s="1" t="n">
        <v>45799</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55023-2021</t>
        </is>
      </c>
      <c r="B777" s="1" t="n">
        <v>44474</v>
      </c>
      <c r="C777" s="1" t="n">
        <v>45799</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56617-2021</t>
        </is>
      </c>
      <c r="B778" s="1" t="n">
        <v>44480</v>
      </c>
      <c r="C778" s="1" t="n">
        <v>45799</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56620-2021</t>
        </is>
      </c>
      <c r="B779" s="1" t="n">
        <v>44480</v>
      </c>
      <c r="C779" s="1" t="n">
        <v>45799</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56619-2021</t>
        </is>
      </c>
      <c r="B780" s="1" t="n">
        <v>44480</v>
      </c>
      <c r="C780" s="1" t="n">
        <v>45799</v>
      </c>
      <c r="D780" t="inlineStr">
        <is>
          <t>KALMAR LÄN</t>
        </is>
      </c>
      <c r="E780" t="inlineStr">
        <is>
          <t>VÄSTERVIK</t>
        </is>
      </c>
      <c r="G780" t="n">
        <v>1.8</v>
      </c>
      <c r="H780" t="n">
        <v>0</v>
      </c>
      <c r="I780" t="n">
        <v>0</v>
      </c>
      <c r="J780" t="n">
        <v>0</v>
      </c>
      <c r="K780" t="n">
        <v>0</v>
      </c>
      <c r="L780" t="n">
        <v>0</v>
      </c>
      <c r="M780" t="n">
        <v>0</v>
      </c>
      <c r="N780" t="n">
        <v>0</v>
      </c>
      <c r="O780" t="n">
        <v>0</v>
      </c>
      <c r="P780" t="n">
        <v>0</v>
      </c>
      <c r="Q780" t="n">
        <v>0</v>
      </c>
      <c r="R780" s="2" t="inlineStr"/>
    </row>
    <row r="781" ht="15" customHeight="1">
      <c r="A781" t="inlineStr">
        <is>
          <t>A 57804-2021</t>
        </is>
      </c>
      <c r="B781" s="1" t="n">
        <v>44484</v>
      </c>
      <c r="C781" s="1" t="n">
        <v>45799</v>
      </c>
      <c r="D781" t="inlineStr">
        <is>
          <t>KALMAR LÄN</t>
        </is>
      </c>
      <c r="E781" t="inlineStr">
        <is>
          <t>VÄSTERVIK</t>
        </is>
      </c>
      <c r="G781" t="n">
        <v>1.6</v>
      </c>
      <c r="H781" t="n">
        <v>0</v>
      </c>
      <c r="I781" t="n">
        <v>0</v>
      </c>
      <c r="J781" t="n">
        <v>0</v>
      </c>
      <c r="K781" t="n">
        <v>0</v>
      </c>
      <c r="L781" t="n">
        <v>0</v>
      </c>
      <c r="M781" t="n">
        <v>0</v>
      </c>
      <c r="N781" t="n">
        <v>0</v>
      </c>
      <c r="O781" t="n">
        <v>0</v>
      </c>
      <c r="P781" t="n">
        <v>0</v>
      </c>
      <c r="Q781" t="n">
        <v>0</v>
      </c>
      <c r="R781" s="2" t="inlineStr"/>
    </row>
    <row r="782" ht="15" customHeight="1">
      <c r="A782" t="inlineStr">
        <is>
          <t>A 57808-2021</t>
        </is>
      </c>
      <c r="B782" s="1" t="n">
        <v>44484</v>
      </c>
      <c r="C782" s="1" t="n">
        <v>45799</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57983-2021</t>
        </is>
      </c>
      <c r="B783" s="1" t="n">
        <v>44487</v>
      </c>
      <c r="C783" s="1" t="n">
        <v>45799</v>
      </c>
      <c r="D783" t="inlineStr">
        <is>
          <t>KALMAR LÄN</t>
        </is>
      </c>
      <c r="E783" t="inlineStr">
        <is>
          <t>VÄSTERVIK</t>
        </is>
      </c>
      <c r="G783" t="n">
        <v>4.4</v>
      </c>
      <c r="H783" t="n">
        <v>0</v>
      </c>
      <c r="I783" t="n">
        <v>0</v>
      </c>
      <c r="J783" t="n">
        <v>0</v>
      </c>
      <c r="K783" t="n">
        <v>0</v>
      </c>
      <c r="L783" t="n">
        <v>0</v>
      </c>
      <c r="M783" t="n">
        <v>0</v>
      </c>
      <c r="N783" t="n">
        <v>0</v>
      </c>
      <c r="O783" t="n">
        <v>0</v>
      </c>
      <c r="P783" t="n">
        <v>0</v>
      </c>
      <c r="Q783" t="n">
        <v>0</v>
      </c>
      <c r="R783" s="2" t="inlineStr"/>
    </row>
    <row r="784" ht="15" customHeight="1">
      <c r="A784" t="inlineStr">
        <is>
          <t>A 57928-2021</t>
        </is>
      </c>
      <c r="B784" s="1" t="n">
        <v>44487</v>
      </c>
      <c r="C784" s="1" t="n">
        <v>45799</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57937-2021</t>
        </is>
      </c>
      <c r="B785" s="1" t="n">
        <v>44487</v>
      </c>
      <c r="C785" s="1" t="n">
        <v>45799</v>
      </c>
      <c r="D785" t="inlineStr">
        <is>
          <t>KALMAR LÄN</t>
        </is>
      </c>
      <c r="E785" t="inlineStr">
        <is>
          <t>VÄSTERVIK</t>
        </is>
      </c>
      <c r="G785" t="n">
        <v>1.8</v>
      </c>
      <c r="H785" t="n">
        <v>0</v>
      </c>
      <c r="I785" t="n">
        <v>0</v>
      </c>
      <c r="J785" t="n">
        <v>0</v>
      </c>
      <c r="K785" t="n">
        <v>0</v>
      </c>
      <c r="L785" t="n">
        <v>0</v>
      </c>
      <c r="M785" t="n">
        <v>0</v>
      </c>
      <c r="N785" t="n">
        <v>0</v>
      </c>
      <c r="O785" t="n">
        <v>0</v>
      </c>
      <c r="P785" t="n">
        <v>0</v>
      </c>
      <c r="Q785" t="n">
        <v>0</v>
      </c>
      <c r="R785" s="2" t="inlineStr"/>
    </row>
    <row r="786" ht="15" customHeight="1">
      <c r="A786" t="inlineStr">
        <is>
          <t>A 58090-2021</t>
        </is>
      </c>
      <c r="B786" s="1" t="n">
        <v>44487</v>
      </c>
      <c r="C786" s="1" t="n">
        <v>45799</v>
      </c>
      <c r="D786" t="inlineStr">
        <is>
          <t>KALMAR LÄN</t>
        </is>
      </c>
      <c r="E786" t="inlineStr">
        <is>
          <t>VÄSTERVIK</t>
        </is>
      </c>
      <c r="G786" t="n">
        <v>2.9</v>
      </c>
      <c r="H786" t="n">
        <v>0</v>
      </c>
      <c r="I786" t="n">
        <v>0</v>
      </c>
      <c r="J786" t="n">
        <v>0</v>
      </c>
      <c r="K786" t="n">
        <v>0</v>
      </c>
      <c r="L786" t="n">
        <v>0</v>
      </c>
      <c r="M786" t="n">
        <v>0</v>
      </c>
      <c r="N786" t="n">
        <v>0</v>
      </c>
      <c r="O786" t="n">
        <v>0</v>
      </c>
      <c r="P786" t="n">
        <v>0</v>
      </c>
      <c r="Q786" t="n">
        <v>0</v>
      </c>
      <c r="R786" s="2" t="inlineStr"/>
    </row>
    <row r="787" ht="15" customHeight="1">
      <c r="A787" t="inlineStr">
        <is>
          <t>A 58555-2021</t>
        </is>
      </c>
      <c r="B787" s="1" t="n">
        <v>44488</v>
      </c>
      <c r="C787" s="1" t="n">
        <v>45799</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61317-2021</t>
        </is>
      </c>
      <c r="B788" s="1" t="n">
        <v>44498</v>
      </c>
      <c r="C788" s="1" t="n">
        <v>45799</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61584-2021</t>
        </is>
      </c>
      <c r="B789" s="1" t="n">
        <v>44501</v>
      </c>
      <c r="C789" s="1" t="n">
        <v>45799</v>
      </c>
      <c r="D789" t="inlineStr">
        <is>
          <t>KALMAR LÄN</t>
        </is>
      </c>
      <c r="E789" t="inlineStr">
        <is>
          <t>VÄSTERVIK</t>
        </is>
      </c>
      <c r="G789" t="n">
        <v>3.3</v>
      </c>
      <c r="H789" t="n">
        <v>0</v>
      </c>
      <c r="I789" t="n">
        <v>0</v>
      </c>
      <c r="J789" t="n">
        <v>0</v>
      </c>
      <c r="K789" t="n">
        <v>0</v>
      </c>
      <c r="L789" t="n">
        <v>0</v>
      </c>
      <c r="M789" t="n">
        <v>0</v>
      </c>
      <c r="N789" t="n">
        <v>0</v>
      </c>
      <c r="O789" t="n">
        <v>0</v>
      </c>
      <c r="P789" t="n">
        <v>0</v>
      </c>
      <c r="Q789" t="n">
        <v>0</v>
      </c>
      <c r="R789" s="2" t="inlineStr"/>
    </row>
    <row r="790" ht="15" customHeight="1">
      <c r="A790" t="inlineStr">
        <is>
          <t>A 62930-2021</t>
        </is>
      </c>
      <c r="B790" s="1" t="n">
        <v>44504</v>
      </c>
      <c r="C790" s="1" t="n">
        <v>45799</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63812-2021</t>
        </is>
      </c>
      <c r="B791" s="1" t="n">
        <v>44509</v>
      </c>
      <c r="C791" s="1" t="n">
        <v>45799</v>
      </c>
      <c r="D791" t="inlineStr">
        <is>
          <t>KALMAR LÄN</t>
        </is>
      </c>
      <c r="E791" t="inlineStr">
        <is>
          <t>VÄSTERVIK</t>
        </is>
      </c>
      <c r="G791" t="n">
        <v>2.1</v>
      </c>
      <c r="H791" t="n">
        <v>0</v>
      </c>
      <c r="I791" t="n">
        <v>0</v>
      </c>
      <c r="J791" t="n">
        <v>0</v>
      </c>
      <c r="K791" t="n">
        <v>0</v>
      </c>
      <c r="L791" t="n">
        <v>0</v>
      </c>
      <c r="M791" t="n">
        <v>0</v>
      </c>
      <c r="N791" t="n">
        <v>0</v>
      </c>
      <c r="O791" t="n">
        <v>0</v>
      </c>
      <c r="P791" t="n">
        <v>0</v>
      </c>
      <c r="Q791" t="n">
        <v>0</v>
      </c>
      <c r="R791" s="2" t="inlineStr"/>
    </row>
    <row r="792" ht="15" customHeight="1">
      <c r="A792" t="inlineStr">
        <is>
          <t>A 64497-2021</t>
        </is>
      </c>
      <c r="B792" s="1" t="n">
        <v>44511</v>
      </c>
      <c r="C792" s="1" t="n">
        <v>45799</v>
      </c>
      <c r="D792" t="inlineStr">
        <is>
          <t>KALMAR LÄN</t>
        </is>
      </c>
      <c r="E792" t="inlineStr">
        <is>
          <t>VÄSTERVIK</t>
        </is>
      </c>
      <c r="F792" t="inlineStr">
        <is>
          <t>Övriga Aktiebolag</t>
        </is>
      </c>
      <c r="G792" t="n">
        <v>0.7</v>
      </c>
      <c r="H792" t="n">
        <v>0</v>
      </c>
      <c r="I792" t="n">
        <v>0</v>
      </c>
      <c r="J792" t="n">
        <v>0</v>
      </c>
      <c r="K792" t="n">
        <v>0</v>
      </c>
      <c r="L792" t="n">
        <v>0</v>
      </c>
      <c r="M792" t="n">
        <v>0</v>
      </c>
      <c r="N792" t="n">
        <v>0</v>
      </c>
      <c r="O792" t="n">
        <v>0</v>
      </c>
      <c r="P792" t="n">
        <v>0</v>
      </c>
      <c r="Q792" t="n">
        <v>0</v>
      </c>
      <c r="R792" s="2" t="inlineStr"/>
    </row>
    <row r="793" ht="15" customHeight="1">
      <c r="A793" t="inlineStr">
        <is>
          <t>A 64558-2021</t>
        </is>
      </c>
      <c r="B793" s="1" t="n">
        <v>44511</v>
      </c>
      <c r="C793" s="1" t="n">
        <v>45799</v>
      </c>
      <c r="D793" t="inlineStr">
        <is>
          <t>KALMAR LÄN</t>
        </is>
      </c>
      <c r="E793" t="inlineStr">
        <is>
          <t>VÄSTERVIK</t>
        </is>
      </c>
      <c r="F793" t="inlineStr">
        <is>
          <t>Övriga Aktiebolag</t>
        </is>
      </c>
      <c r="G793" t="n">
        <v>0.5</v>
      </c>
      <c r="H793" t="n">
        <v>0</v>
      </c>
      <c r="I793" t="n">
        <v>0</v>
      </c>
      <c r="J793" t="n">
        <v>0</v>
      </c>
      <c r="K793" t="n">
        <v>0</v>
      </c>
      <c r="L793" t="n">
        <v>0</v>
      </c>
      <c r="M793" t="n">
        <v>0</v>
      </c>
      <c r="N793" t="n">
        <v>0</v>
      </c>
      <c r="O793" t="n">
        <v>0</v>
      </c>
      <c r="P793" t="n">
        <v>0</v>
      </c>
      <c r="Q793" t="n">
        <v>0</v>
      </c>
      <c r="R793" s="2" t="inlineStr"/>
    </row>
    <row r="794" ht="15" customHeight="1">
      <c r="A794" t="inlineStr">
        <is>
          <t>A 64822-2021</t>
        </is>
      </c>
      <c r="B794" s="1" t="n">
        <v>44512</v>
      </c>
      <c r="C794" s="1" t="n">
        <v>45799</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64920-2021</t>
        </is>
      </c>
      <c r="B795" s="1" t="n">
        <v>44512</v>
      </c>
      <c r="C795" s="1" t="n">
        <v>45799</v>
      </c>
      <c r="D795" t="inlineStr">
        <is>
          <t>KALMAR LÄN</t>
        </is>
      </c>
      <c r="E795" t="inlineStr">
        <is>
          <t>VÄSTERVIK</t>
        </is>
      </c>
      <c r="G795" t="n">
        <v>1.2</v>
      </c>
      <c r="H795" t="n">
        <v>0</v>
      </c>
      <c r="I795" t="n">
        <v>0</v>
      </c>
      <c r="J795" t="n">
        <v>0</v>
      </c>
      <c r="K795" t="n">
        <v>0</v>
      </c>
      <c r="L795" t="n">
        <v>0</v>
      </c>
      <c r="M795" t="n">
        <v>0</v>
      </c>
      <c r="N795" t="n">
        <v>0</v>
      </c>
      <c r="O795" t="n">
        <v>0</v>
      </c>
      <c r="P795" t="n">
        <v>0</v>
      </c>
      <c r="Q795" t="n">
        <v>0</v>
      </c>
      <c r="R795" s="2" t="inlineStr"/>
      <c r="U795">
        <f>HYPERLINK("https://klasma.github.io/Logging_0883/knärot/A 64920-2021 karta knärot.png", "A 64920-2021")</f>
        <v/>
      </c>
      <c r="V795">
        <f>HYPERLINK("https://klasma.github.io/Logging_0883/klagomål/A 64920-2021 FSC-klagomål.docx", "A 64920-2021")</f>
        <v/>
      </c>
      <c r="W795">
        <f>HYPERLINK("https://klasma.github.io/Logging_0883/klagomålsmail/A 64920-2021 FSC-klagomål mail.docx", "A 64920-2021")</f>
        <v/>
      </c>
      <c r="X795">
        <f>HYPERLINK("https://klasma.github.io/Logging_0883/tillsyn/A 64920-2021 tillsynsbegäran.docx", "A 64920-2021")</f>
        <v/>
      </c>
      <c r="Y795">
        <f>HYPERLINK("https://klasma.github.io/Logging_0883/tillsynsmail/A 64920-2021 tillsynsbegäran mail.docx", "A 64920-2021")</f>
        <v/>
      </c>
    </row>
    <row r="796" ht="15" customHeight="1">
      <c r="A796" t="inlineStr">
        <is>
          <t>A 65408-2021</t>
        </is>
      </c>
      <c r="B796" s="1" t="n">
        <v>44515</v>
      </c>
      <c r="C796" s="1" t="n">
        <v>45799</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68920-2021</t>
        </is>
      </c>
      <c r="B797" s="1" t="n">
        <v>44530</v>
      </c>
      <c r="C797" s="1" t="n">
        <v>45799</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69328-2021</t>
        </is>
      </c>
      <c r="B798" s="1" t="n">
        <v>44531</v>
      </c>
      <c r="C798" s="1" t="n">
        <v>45799</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69702-2021</t>
        </is>
      </c>
      <c r="B799" s="1" t="n">
        <v>44532</v>
      </c>
      <c r="C799" s="1" t="n">
        <v>45799</v>
      </c>
      <c r="D799" t="inlineStr">
        <is>
          <t>KALMAR LÄN</t>
        </is>
      </c>
      <c r="E799" t="inlineStr">
        <is>
          <t>VÄSTERVIK</t>
        </is>
      </c>
      <c r="G799" t="n">
        <v>4.4</v>
      </c>
      <c r="H799" t="n">
        <v>0</v>
      </c>
      <c r="I799" t="n">
        <v>0</v>
      </c>
      <c r="J799" t="n">
        <v>0</v>
      </c>
      <c r="K799" t="n">
        <v>0</v>
      </c>
      <c r="L799" t="n">
        <v>0</v>
      </c>
      <c r="M799" t="n">
        <v>0</v>
      </c>
      <c r="N799" t="n">
        <v>0</v>
      </c>
      <c r="O799" t="n">
        <v>0</v>
      </c>
      <c r="P799" t="n">
        <v>0</v>
      </c>
      <c r="Q799" t="n">
        <v>0</v>
      </c>
      <c r="R799" s="2" t="inlineStr"/>
    </row>
    <row r="800" ht="15" customHeight="1">
      <c r="A800" t="inlineStr">
        <is>
          <t>A 69750-2021</t>
        </is>
      </c>
      <c r="B800" s="1" t="n">
        <v>44532</v>
      </c>
      <c r="C800" s="1" t="n">
        <v>45799</v>
      </c>
      <c r="D800" t="inlineStr">
        <is>
          <t>KALMAR LÄN</t>
        </is>
      </c>
      <c r="E800" t="inlineStr">
        <is>
          <t>VÄSTERVIK</t>
        </is>
      </c>
      <c r="G800" t="n">
        <v>3.1</v>
      </c>
      <c r="H800" t="n">
        <v>0</v>
      </c>
      <c r="I800" t="n">
        <v>0</v>
      </c>
      <c r="J800" t="n">
        <v>0</v>
      </c>
      <c r="K800" t="n">
        <v>0</v>
      </c>
      <c r="L800" t="n">
        <v>0</v>
      </c>
      <c r="M800" t="n">
        <v>0</v>
      </c>
      <c r="N800" t="n">
        <v>0</v>
      </c>
      <c r="O800" t="n">
        <v>0</v>
      </c>
      <c r="P800" t="n">
        <v>0</v>
      </c>
      <c r="Q800" t="n">
        <v>0</v>
      </c>
      <c r="R800" s="2" t="inlineStr"/>
    </row>
    <row r="801" ht="15" customHeight="1">
      <c r="A801" t="inlineStr">
        <is>
          <t>A 69753-2021</t>
        </is>
      </c>
      <c r="B801" s="1" t="n">
        <v>44532</v>
      </c>
      <c r="C801" s="1" t="n">
        <v>45799</v>
      </c>
      <c r="D801" t="inlineStr">
        <is>
          <t>KALMAR LÄN</t>
        </is>
      </c>
      <c r="E801" t="inlineStr">
        <is>
          <t>VÄSTERVIK</t>
        </is>
      </c>
      <c r="G801" t="n">
        <v>3.2</v>
      </c>
      <c r="H801" t="n">
        <v>0</v>
      </c>
      <c r="I801" t="n">
        <v>0</v>
      </c>
      <c r="J801" t="n">
        <v>0</v>
      </c>
      <c r="K801" t="n">
        <v>0</v>
      </c>
      <c r="L801" t="n">
        <v>0</v>
      </c>
      <c r="M801" t="n">
        <v>0</v>
      </c>
      <c r="N801" t="n">
        <v>0</v>
      </c>
      <c r="O801" t="n">
        <v>0</v>
      </c>
      <c r="P801" t="n">
        <v>0</v>
      </c>
      <c r="Q801" t="n">
        <v>0</v>
      </c>
      <c r="R801" s="2" t="inlineStr"/>
    </row>
    <row r="802" ht="15" customHeight="1">
      <c r="A802" t="inlineStr">
        <is>
          <t>A 71114-2021</t>
        </is>
      </c>
      <c r="B802" s="1" t="n">
        <v>44539</v>
      </c>
      <c r="C802" s="1" t="n">
        <v>45799</v>
      </c>
      <c r="D802" t="inlineStr">
        <is>
          <t>KALMAR LÄN</t>
        </is>
      </c>
      <c r="E802" t="inlineStr">
        <is>
          <t>VÄSTERVIK</t>
        </is>
      </c>
      <c r="G802" t="n">
        <v>1.9</v>
      </c>
      <c r="H802" t="n">
        <v>0</v>
      </c>
      <c r="I802" t="n">
        <v>0</v>
      </c>
      <c r="J802" t="n">
        <v>0</v>
      </c>
      <c r="K802" t="n">
        <v>0</v>
      </c>
      <c r="L802" t="n">
        <v>0</v>
      </c>
      <c r="M802" t="n">
        <v>0</v>
      </c>
      <c r="N802" t="n">
        <v>0</v>
      </c>
      <c r="O802" t="n">
        <v>0</v>
      </c>
      <c r="P802" t="n">
        <v>0</v>
      </c>
      <c r="Q802" t="n">
        <v>0</v>
      </c>
      <c r="R802" s="2" t="inlineStr"/>
    </row>
    <row r="803" ht="15" customHeight="1">
      <c r="A803" t="inlineStr">
        <is>
          <t>A 72378-2021</t>
        </is>
      </c>
      <c r="B803" s="1" t="n">
        <v>44545</v>
      </c>
      <c r="C803" s="1" t="n">
        <v>45799</v>
      </c>
      <c r="D803" t="inlineStr">
        <is>
          <t>KALMAR LÄN</t>
        </is>
      </c>
      <c r="E803" t="inlineStr">
        <is>
          <t>VÄSTERVIK</t>
        </is>
      </c>
      <c r="G803" t="n">
        <v>4.4</v>
      </c>
      <c r="H803" t="n">
        <v>0</v>
      </c>
      <c r="I803" t="n">
        <v>0</v>
      </c>
      <c r="J803" t="n">
        <v>0</v>
      </c>
      <c r="K803" t="n">
        <v>0</v>
      </c>
      <c r="L803" t="n">
        <v>0</v>
      </c>
      <c r="M803" t="n">
        <v>0</v>
      </c>
      <c r="N803" t="n">
        <v>0</v>
      </c>
      <c r="O803" t="n">
        <v>0</v>
      </c>
      <c r="P803" t="n">
        <v>0</v>
      </c>
      <c r="Q803" t="n">
        <v>0</v>
      </c>
      <c r="R803" s="2" t="inlineStr"/>
    </row>
    <row r="804" ht="15" customHeight="1">
      <c r="A804" t="inlineStr">
        <is>
          <t>A 72733-2021</t>
        </is>
      </c>
      <c r="B804" s="1" t="n">
        <v>44546</v>
      </c>
      <c r="C804" s="1" t="n">
        <v>45799</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row>
    <row r="805" ht="15" customHeight="1">
      <c r="A805" t="inlineStr">
        <is>
          <t>A 73640-2021</t>
        </is>
      </c>
      <c r="B805" s="1" t="n">
        <v>44552</v>
      </c>
      <c r="C805" s="1" t="n">
        <v>45799</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73638-2021</t>
        </is>
      </c>
      <c r="B806" s="1" t="n">
        <v>44552</v>
      </c>
      <c r="C806" s="1" t="n">
        <v>45799</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166-2022</t>
        </is>
      </c>
      <c r="B807" s="1" t="n">
        <v>44564</v>
      </c>
      <c r="C807" s="1" t="n">
        <v>45799</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174-2022</t>
        </is>
      </c>
      <c r="B808" s="1" t="n">
        <v>44564</v>
      </c>
      <c r="C808" s="1" t="n">
        <v>45799</v>
      </c>
      <c r="D808" t="inlineStr">
        <is>
          <t>KALMAR LÄN</t>
        </is>
      </c>
      <c r="E808" t="inlineStr">
        <is>
          <t>VÄSTERVIK</t>
        </is>
      </c>
      <c r="G808" t="n">
        <v>1.9</v>
      </c>
      <c r="H808" t="n">
        <v>0</v>
      </c>
      <c r="I808" t="n">
        <v>0</v>
      </c>
      <c r="J808" t="n">
        <v>0</v>
      </c>
      <c r="K808" t="n">
        <v>0</v>
      </c>
      <c r="L808" t="n">
        <v>0</v>
      </c>
      <c r="M808" t="n">
        <v>0</v>
      </c>
      <c r="N808" t="n">
        <v>0</v>
      </c>
      <c r="O808" t="n">
        <v>0</v>
      </c>
      <c r="P808" t="n">
        <v>0</v>
      </c>
      <c r="Q808" t="n">
        <v>0</v>
      </c>
      <c r="R808" s="2" t="inlineStr"/>
    </row>
    <row r="809" ht="15" customHeight="1">
      <c r="A809" t="inlineStr">
        <is>
          <t>A 170-2022</t>
        </is>
      </c>
      <c r="B809" s="1" t="n">
        <v>44564</v>
      </c>
      <c r="C809" s="1" t="n">
        <v>45799</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358-2022</t>
        </is>
      </c>
      <c r="B810" s="1" t="n">
        <v>44565</v>
      </c>
      <c r="C810" s="1" t="n">
        <v>45799</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320-2022</t>
        </is>
      </c>
      <c r="B811" s="1" t="n">
        <v>44565</v>
      </c>
      <c r="C811" s="1" t="n">
        <v>45799</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360-2022</t>
        </is>
      </c>
      <c r="B812" s="1" t="n">
        <v>44565</v>
      </c>
      <c r="C812" s="1" t="n">
        <v>45799</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959-2022</t>
        </is>
      </c>
      <c r="B813" s="1" t="n">
        <v>44571</v>
      </c>
      <c r="C813" s="1" t="n">
        <v>45799</v>
      </c>
      <c r="D813" t="inlineStr">
        <is>
          <t>KALMAR LÄN</t>
        </is>
      </c>
      <c r="E813" t="inlineStr">
        <is>
          <t>VÄSTERVIK</t>
        </is>
      </c>
      <c r="G813" t="n">
        <v>2.5</v>
      </c>
      <c r="H813" t="n">
        <v>0</v>
      </c>
      <c r="I813" t="n">
        <v>0</v>
      </c>
      <c r="J813" t="n">
        <v>0</v>
      </c>
      <c r="K813" t="n">
        <v>0</v>
      </c>
      <c r="L813" t="n">
        <v>0</v>
      </c>
      <c r="M813" t="n">
        <v>0</v>
      </c>
      <c r="N813" t="n">
        <v>0</v>
      </c>
      <c r="O813" t="n">
        <v>0</v>
      </c>
      <c r="P813" t="n">
        <v>0</v>
      </c>
      <c r="Q813" t="n">
        <v>0</v>
      </c>
      <c r="R813" s="2" t="inlineStr"/>
    </row>
    <row r="814" ht="15" customHeight="1">
      <c r="A814" t="inlineStr">
        <is>
          <t>A 1585-2022</t>
        </is>
      </c>
      <c r="B814" s="1" t="n">
        <v>44573</v>
      </c>
      <c r="C814" s="1" t="n">
        <v>45799</v>
      </c>
      <c r="D814" t="inlineStr">
        <is>
          <t>KALMAR LÄN</t>
        </is>
      </c>
      <c r="E814" t="inlineStr">
        <is>
          <t>VÄSTERVIK</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1843-2022</t>
        </is>
      </c>
      <c r="B815" s="1" t="n">
        <v>44574</v>
      </c>
      <c r="C815" s="1" t="n">
        <v>45799</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3145-2022</t>
        </is>
      </c>
      <c r="B816" s="1" t="n">
        <v>44582</v>
      </c>
      <c r="C816" s="1" t="n">
        <v>45799</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3718-2022</t>
        </is>
      </c>
      <c r="B817" s="1" t="n">
        <v>44586</v>
      </c>
      <c r="C817" s="1" t="n">
        <v>45799</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4463-2022</t>
        </is>
      </c>
      <c r="B818" s="1" t="n">
        <v>44589</v>
      </c>
      <c r="C818" s="1" t="n">
        <v>45799</v>
      </c>
      <c r="D818" t="inlineStr">
        <is>
          <t>KALMAR LÄN</t>
        </is>
      </c>
      <c r="E818" t="inlineStr">
        <is>
          <t>VÄSTERVIK</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4490-2022</t>
        </is>
      </c>
      <c r="B819" s="1" t="n">
        <v>44589</v>
      </c>
      <c r="C819" s="1" t="n">
        <v>45799</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4812-2022</t>
        </is>
      </c>
      <c r="B820" s="1" t="n">
        <v>44592</v>
      </c>
      <c r="C820" s="1" t="n">
        <v>45799</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5450-2022</t>
        </is>
      </c>
      <c r="B821" s="1" t="n">
        <v>44595</v>
      </c>
      <c r="C821" s="1" t="n">
        <v>45799</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5551-2022</t>
        </is>
      </c>
      <c r="B822" s="1" t="n">
        <v>44595</v>
      </c>
      <c r="C822" s="1" t="n">
        <v>45799</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5761-2022</t>
        </is>
      </c>
      <c r="B823" s="1" t="n">
        <v>44596</v>
      </c>
      <c r="C823" s="1" t="n">
        <v>45799</v>
      </c>
      <c r="D823" t="inlineStr">
        <is>
          <t>KALMAR LÄN</t>
        </is>
      </c>
      <c r="E823" t="inlineStr">
        <is>
          <t>VÄSTERVIK</t>
        </is>
      </c>
      <c r="G823" t="n">
        <v>4.5</v>
      </c>
      <c r="H823" t="n">
        <v>0</v>
      </c>
      <c r="I823" t="n">
        <v>0</v>
      </c>
      <c r="J823" t="n">
        <v>0</v>
      </c>
      <c r="K823" t="n">
        <v>0</v>
      </c>
      <c r="L823" t="n">
        <v>0</v>
      </c>
      <c r="M823" t="n">
        <v>0</v>
      </c>
      <c r="N823" t="n">
        <v>0</v>
      </c>
      <c r="O823" t="n">
        <v>0</v>
      </c>
      <c r="P823" t="n">
        <v>0</v>
      </c>
      <c r="Q823" t="n">
        <v>0</v>
      </c>
      <c r="R823" s="2" t="inlineStr"/>
    </row>
    <row r="824" ht="15" customHeight="1">
      <c r="A824" t="inlineStr">
        <is>
          <t>A 7580-2022</t>
        </is>
      </c>
      <c r="B824" s="1" t="n">
        <v>44607</v>
      </c>
      <c r="C824" s="1" t="n">
        <v>45799</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7826-2022</t>
        </is>
      </c>
      <c r="B825" s="1" t="n">
        <v>44608</v>
      </c>
      <c r="C825" s="1" t="n">
        <v>45799</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8355-2022</t>
        </is>
      </c>
      <c r="B826" s="1" t="n">
        <v>44610</v>
      </c>
      <c r="C826" s="1" t="n">
        <v>45799</v>
      </c>
      <c r="D826" t="inlineStr">
        <is>
          <t>KALMAR LÄN</t>
        </is>
      </c>
      <c r="E826" t="inlineStr">
        <is>
          <t>VÄSTERVIK</t>
        </is>
      </c>
      <c r="F826" t="inlineStr">
        <is>
          <t>Holmen skog AB</t>
        </is>
      </c>
      <c r="G826" t="n">
        <v>2.3</v>
      </c>
      <c r="H826" t="n">
        <v>0</v>
      </c>
      <c r="I826" t="n">
        <v>0</v>
      </c>
      <c r="J826" t="n">
        <v>0</v>
      </c>
      <c r="K826" t="n">
        <v>0</v>
      </c>
      <c r="L826" t="n">
        <v>0</v>
      </c>
      <c r="M826" t="n">
        <v>0</v>
      </c>
      <c r="N826" t="n">
        <v>0</v>
      </c>
      <c r="O826" t="n">
        <v>0</v>
      </c>
      <c r="P826" t="n">
        <v>0</v>
      </c>
      <c r="Q826" t="n">
        <v>0</v>
      </c>
      <c r="R826" s="2" t="inlineStr"/>
    </row>
    <row r="827" ht="15" customHeight="1">
      <c r="A827" t="inlineStr">
        <is>
          <t>A 9025-2022</t>
        </is>
      </c>
      <c r="B827" s="1" t="n">
        <v>44615</v>
      </c>
      <c r="C827" s="1" t="n">
        <v>45799</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9605-2022</t>
        </is>
      </c>
      <c r="B828" s="1" t="n">
        <v>44617</v>
      </c>
      <c r="C828" s="1" t="n">
        <v>45799</v>
      </c>
      <c r="D828" t="inlineStr">
        <is>
          <t>KALMAR LÄN</t>
        </is>
      </c>
      <c r="E828" t="inlineStr">
        <is>
          <t>VÄSTERVIK</t>
        </is>
      </c>
      <c r="F828" t="inlineStr">
        <is>
          <t>Holmen skog AB</t>
        </is>
      </c>
      <c r="G828" t="n">
        <v>4.5</v>
      </c>
      <c r="H828" t="n">
        <v>0</v>
      </c>
      <c r="I828" t="n">
        <v>0</v>
      </c>
      <c r="J828" t="n">
        <v>0</v>
      </c>
      <c r="K828" t="n">
        <v>0</v>
      </c>
      <c r="L828" t="n">
        <v>0</v>
      </c>
      <c r="M828" t="n">
        <v>0</v>
      </c>
      <c r="N828" t="n">
        <v>0</v>
      </c>
      <c r="O828" t="n">
        <v>0</v>
      </c>
      <c r="P828" t="n">
        <v>0</v>
      </c>
      <c r="Q828" t="n">
        <v>0</v>
      </c>
      <c r="R828" s="2" t="inlineStr"/>
      <c r="U828">
        <f>HYPERLINK("https://klasma.github.io/Logging_0883/knärot/A 9605-2022 karta knärot.png", "A 9605-2022")</f>
        <v/>
      </c>
      <c r="V828">
        <f>HYPERLINK("https://klasma.github.io/Logging_0883/klagomål/A 9605-2022 FSC-klagomål.docx", "A 9605-2022")</f>
        <v/>
      </c>
      <c r="W828">
        <f>HYPERLINK("https://klasma.github.io/Logging_0883/klagomålsmail/A 9605-2022 FSC-klagomål mail.docx", "A 9605-2022")</f>
        <v/>
      </c>
      <c r="X828">
        <f>HYPERLINK("https://klasma.github.io/Logging_0883/tillsyn/A 9605-2022 tillsynsbegäran.docx", "A 9605-2022")</f>
        <v/>
      </c>
      <c r="Y828">
        <f>HYPERLINK("https://klasma.github.io/Logging_0883/tillsynsmail/A 9605-2022 tillsynsbegäran mail.docx", "A 9605-2022")</f>
        <v/>
      </c>
    </row>
    <row r="829" ht="15" customHeight="1">
      <c r="A829" t="inlineStr">
        <is>
          <t>A 10071-2022</t>
        </is>
      </c>
      <c r="B829" s="1" t="n">
        <v>44621</v>
      </c>
      <c r="C829" s="1" t="n">
        <v>45799</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10119-2022</t>
        </is>
      </c>
      <c r="B830" s="1" t="n">
        <v>44621</v>
      </c>
      <c r="C830" s="1" t="n">
        <v>45799</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10117-2022</t>
        </is>
      </c>
      <c r="B831" s="1" t="n">
        <v>44621</v>
      </c>
      <c r="C831" s="1" t="n">
        <v>45799</v>
      </c>
      <c r="D831" t="inlineStr">
        <is>
          <t>KALMAR LÄN</t>
        </is>
      </c>
      <c r="E831" t="inlineStr">
        <is>
          <t>VÄSTERVIK</t>
        </is>
      </c>
      <c r="G831" t="n">
        <v>0.6</v>
      </c>
      <c r="H831" t="n">
        <v>0</v>
      </c>
      <c r="I831" t="n">
        <v>0</v>
      </c>
      <c r="J831" t="n">
        <v>0</v>
      </c>
      <c r="K831" t="n">
        <v>0</v>
      </c>
      <c r="L831" t="n">
        <v>0</v>
      </c>
      <c r="M831" t="n">
        <v>0</v>
      </c>
      <c r="N831" t="n">
        <v>0</v>
      </c>
      <c r="O831" t="n">
        <v>0</v>
      </c>
      <c r="P831" t="n">
        <v>0</v>
      </c>
      <c r="Q831" t="n">
        <v>0</v>
      </c>
      <c r="R831" s="2" t="inlineStr"/>
    </row>
    <row r="832" ht="15" customHeight="1">
      <c r="A832" t="inlineStr">
        <is>
          <t>A 10116-2022</t>
        </is>
      </c>
      <c r="B832" s="1" t="n">
        <v>44621</v>
      </c>
      <c r="C832" s="1" t="n">
        <v>45799</v>
      </c>
      <c r="D832" t="inlineStr">
        <is>
          <t>KALMAR LÄN</t>
        </is>
      </c>
      <c r="E832" t="inlineStr">
        <is>
          <t>VÄSTERVIK</t>
        </is>
      </c>
      <c r="G832" t="n">
        <v>1.6</v>
      </c>
      <c r="H832" t="n">
        <v>0</v>
      </c>
      <c r="I832" t="n">
        <v>0</v>
      </c>
      <c r="J832" t="n">
        <v>0</v>
      </c>
      <c r="K832" t="n">
        <v>0</v>
      </c>
      <c r="L832" t="n">
        <v>0</v>
      </c>
      <c r="M832" t="n">
        <v>0</v>
      </c>
      <c r="N832" t="n">
        <v>0</v>
      </c>
      <c r="O832" t="n">
        <v>0</v>
      </c>
      <c r="P832" t="n">
        <v>0</v>
      </c>
      <c r="Q832" t="n">
        <v>0</v>
      </c>
      <c r="R832" s="2" t="inlineStr"/>
    </row>
    <row r="833" ht="15" customHeight="1">
      <c r="A833" t="inlineStr">
        <is>
          <t>A 10406-2022</t>
        </is>
      </c>
      <c r="B833" s="1" t="n">
        <v>44623</v>
      </c>
      <c r="C833" s="1" t="n">
        <v>45799</v>
      </c>
      <c r="D833" t="inlineStr">
        <is>
          <t>KALMAR LÄN</t>
        </is>
      </c>
      <c r="E833" t="inlineStr">
        <is>
          <t>VÄSTERVIK</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10441-2022</t>
        </is>
      </c>
      <c r="B834" s="1" t="n">
        <v>44623</v>
      </c>
      <c r="C834" s="1" t="n">
        <v>45799</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10452-2022</t>
        </is>
      </c>
      <c r="B835" s="1" t="n">
        <v>44623</v>
      </c>
      <c r="C835" s="1" t="n">
        <v>45799</v>
      </c>
      <c r="D835" t="inlineStr">
        <is>
          <t>KALMAR LÄN</t>
        </is>
      </c>
      <c r="E835" t="inlineStr">
        <is>
          <t>VÄSTERVIK</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11988-2022</t>
        </is>
      </c>
      <c r="B836" s="1" t="n">
        <v>44635</v>
      </c>
      <c r="C836" s="1" t="n">
        <v>45799</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12652-2022</t>
        </is>
      </c>
      <c r="B837" s="1" t="n">
        <v>44641</v>
      </c>
      <c r="C837" s="1" t="n">
        <v>45799</v>
      </c>
      <c r="D837" t="inlineStr">
        <is>
          <t>KALMAR LÄN</t>
        </is>
      </c>
      <c r="E837" t="inlineStr">
        <is>
          <t>VÄSTERVIK</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13023-2022</t>
        </is>
      </c>
      <c r="B838" s="1" t="n">
        <v>44643</v>
      </c>
      <c r="C838" s="1" t="n">
        <v>45799</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13375-2022</t>
        </is>
      </c>
      <c r="B839" s="1" t="n">
        <v>44645</v>
      </c>
      <c r="C839" s="1" t="n">
        <v>45799</v>
      </c>
      <c r="D839" t="inlineStr">
        <is>
          <t>KALMAR LÄN</t>
        </is>
      </c>
      <c r="E839" t="inlineStr">
        <is>
          <t>VÄSTERVIK</t>
        </is>
      </c>
      <c r="G839" t="n">
        <v>2.4</v>
      </c>
      <c r="H839" t="n">
        <v>0</v>
      </c>
      <c r="I839" t="n">
        <v>0</v>
      </c>
      <c r="J839" t="n">
        <v>0</v>
      </c>
      <c r="K839" t="n">
        <v>0</v>
      </c>
      <c r="L839" t="n">
        <v>0</v>
      </c>
      <c r="M839" t="n">
        <v>0</v>
      </c>
      <c r="N839" t="n">
        <v>0</v>
      </c>
      <c r="O839" t="n">
        <v>0</v>
      </c>
      <c r="P839" t="n">
        <v>0</v>
      </c>
      <c r="Q839" t="n">
        <v>0</v>
      </c>
      <c r="R839" s="2" t="inlineStr"/>
    </row>
    <row r="840" ht="15" customHeight="1">
      <c r="A840" t="inlineStr">
        <is>
          <t>A 13491-2022</t>
        </is>
      </c>
      <c r="B840" s="1" t="n">
        <v>44646</v>
      </c>
      <c r="C840" s="1" t="n">
        <v>45799</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13489-2022</t>
        </is>
      </c>
      <c r="B841" s="1" t="n">
        <v>44646</v>
      </c>
      <c r="C841" s="1" t="n">
        <v>45799</v>
      </c>
      <c r="D841" t="inlineStr">
        <is>
          <t>KALMAR LÄN</t>
        </is>
      </c>
      <c r="E841" t="inlineStr">
        <is>
          <t>VÄSTERVIK</t>
        </is>
      </c>
      <c r="G841" t="n">
        <v>2.5</v>
      </c>
      <c r="H841" t="n">
        <v>0</v>
      </c>
      <c r="I841" t="n">
        <v>0</v>
      </c>
      <c r="J841" t="n">
        <v>0</v>
      </c>
      <c r="K841" t="n">
        <v>0</v>
      </c>
      <c r="L841" t="n">
        <v>0</v>
      </c>
      <c r="M841" t="n">
        <v>0</v>
      </c>
      <c r="N841" t="n">
        <v>0</v>
      </c>
      <c r="O841" t="n">
        <v>0</v>
      </c>
      <c r="P841" t="n">
        <v>0</v>
      </c>
      <c r="Q841" t="n">
        <v>0</v>
      </c>
      <c r="R841" s="2" t="inlineStr"/>
    </row>
    <row r="842" ht="15" customHeight="1">
      <c r="A842" t="inlineStr">
        <is>
          <t>A 13490-2022</t>
        </is>
      </c>
      <c r="B842" s="1" t="n">
        <v>44646</v>
      </c>
      <c r="C842" s="1" t="n">
        <v>45799</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13765-2022</t>
        </is>
      </c>
      <c r="B843" s="1" t="n">
        <v>44649</v>
      </c>
      <c r="C843" s="1" t="n">
        <v>45799</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14038-2022</t>
        </is>
      </c>
      <c r="B844" s="1" t="n">
        <v>44650</v>
      </c>
      <c r="C844" s="1" t="n">
        <v>45799</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14212-2022</t>
        </is>
      </c>
      <c r="B845" s="1" t="n">
        <v>44651</v>
      </c>
      <c r="C845" s="1" t="n">
        <v>45799</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14529-2022</t>
        </is>
      </c>
      <c r="B846" s="1" t="n">
        <v>44655</v>
      </c>
      <c r="C846" s="1" t="n">
        <v>45799</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15379-2022</t>
        </is>
      </c>
      <c r="B847" s="1" t="n">
        <v>44659</v>
      </c>
      <c r="C847" s="1" t="n">
        <v>45799</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16207-2022</t>
        </is>
      </c>
      <c r="B848" s="1" t="n">
        <v>44669</v>
      </c>
      <c r="C848" s="1" t="n">
        <v>45799</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16587-2022</t>
        </is>
      </c>
      <c r="B849" s="1" t="n">
        <v>44672</v>
      </c>
      <c r="C849" s="1" t="n">
        <v>45799</v>
      </c>
      <c r="D849" t="inlineStr">
        <is>
          <t>KALMAR LÄN</t>
        </is>
      </c>
      <c r="E849" t="inlineStr">
        <is>
          <t>VÄSTERVIK</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16586-2022</t>
        </is>
      </c>
      <c r="B850" s="1" t="n">
        <v>44672</v>
      </c>
      <c r="C850" s="1" t="n">
        <v>45799</v>
      </c>
      <c r="D850" t="inlineStr">
        <is>
          <t>KALMAR LÄN</t>
        </is>
      </c>
      <c r="E850" t="inlineStr">
        <is>
          <t>VÄSTERVIK</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16765-2022</t>
        </is>
      </c>
      <c r="B851" s="1" t="n">
        <v>44673</v>
      </c>
      <c r="C851" s="1" t="n">
        <v>45799</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17953-2022</t>
        </is>
      </c>
      <c r="B852" s="1" t="n">
        <v>44683</v>
      </c>
      <c r="C852" s="1" t="n">
        <v>45799</v>
      </c>
      <c r="D852" t="inlineStr">
        <is>
          <t>KALMAR LÄN</t>
        </is>
      </c>
      <c r="E852" t="inlineStr">
        <is>
          <t>VÄSTERVIK</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17954-2022</t>
        </is>
      </c>
      <c r="B853" s="1" t="n">
        <v>44683</v>
      </c>
      <c r="C853" s="1" t="n">
        <v>45799</v>
      </c>
      <c r="D853" t="inlineStr">
        <is>
          <t>KALMAR LÄN</t>
        </is>
      </c>
      <c r="E853" t="inlineStr">
        <is>
          <t>VÄSTERVIK</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19648-2022</t>
        </is>
      </c>
      <c r="B854" s="1" t="n">
        <v>44694</v>
      </c>
      <c r="C854" s="1" t="n">
        <v>45799</v>
      </c>
      <c r="D854" t="inlineStr">
        <is>
          <t>KALMAR LÄN</t>
        </is>
      </c>
      <c r="E854" t="inlineStr">
        <is>
          <t>VÄSTERVIK</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19656-2022</t>
        </is>
      </c>
      <c r="B855" s="1" t="n">
        <v>44694</v>
      </c>
      <c r="C855" s="1" t="n">
        <v>45799</v>
      </c>
      <c r="D855" t="inlineStr">
        <is>
          <t>KALMAR LÄN</t>
        </is>
      </c>
      <c r="E855" t="inlineStr">
        <is>
          <t>VÄSTERVIK</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19653-2022</t>
        </is>
      </c>
      <c r="B856" s="1" t="n">
        <v>44694</v>
      </c>
      <c r="C856" s="1" t="n">
        <v>45799</v>
      </c>
      <c r="D856" t="inlineStr">
        <is>
          <t>KALMAR LÄN</t>
        </is>
      </c>
      <c r="E856" t="inlineStr">
        <is>
          <t>VÄSTERVIK</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23167-2022</t>
        </is>
      </c>
      <c r="B857" s="1" t="n">
        <v>44719</v>
      </c>
      <c r="C857" s="1" t="n">
        <v>45799</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23411-2022</t>
        </is>
      </c>
      <c r="B858" s="1" t="n">
        <v>44720</v>
      </c>
      <c r="C858" s="1" t="n">
        <v>45799</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23589-2022</t>
        </is>
      </c>
      <c r="B859" s="1" t="n">
        <v>44721</v>
      </c>
      <c r="C859" s="1" t="n">
        <v>45799</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23743-2022</t>
        </is>
      </c>
      <c r="B860" s="1" t="n">
        <v>44722</v>
      </c>
      <c r="C860" s="1" t="n">
        <v>45799</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24040-2022</t>
        </is>
      </c>
      <c r="B861" s="1" t="n">
        <v>44724</v>
      </c>
      <c r="C861" s="1" t="n">
        <v>45799</v>
      </c>
      <c r="D861" t="inlineStr">
        <is>
          <t>KALMAR LÄN</t>
        </is>
      </c>
      <c r="E861" t="inlineStr">
        <is>
          <t>VÄSTERVIK</t>
        </is>
      </c>
      <c r="G861" t="n">
        <v>1.3</v>
      </c>
      <c r="H861" t="n">
        <v>0</v>
      </c>
      <c r="I861" t="n">
        <v>0</v>
      </c>
      <c r="J861" t="n">
        <v>0</v>
      </c>
      <c r="K861" t="n">
        <v>0</v>
      </c>
      <c r="L861" t="n">
        <v>0</v>
      </c>
      <c r="M861" t="n">
        <v>0</v>
      </c>
      <c r="N861" t="n">
        <v>0</v>
      </c>
      <c r="O861" t="n">
        <v>0</v>
      </c>
      <c r="P861" t="n">
        <v>0</v>
      </c>
      <c r="Q861" t="n">
        <v>0</v>
      </c>
      <c r="R861" s="2" t="inlineStr"/>
    </row>
    <row r="862" ht="15" customHeight="1">
      <c r="A862" t="inlineStr">
        <is>
          <t>A 24830-2022</t>
        </is>
      </c>
      <c r="B862" s="1" t="n">
        <v>44728</v>
      </c>
      <c r="C862" s="1" t="n">
        <v>45799</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24829-2022</t>
        </is>
      </c>
      <c r="B863" s="1" t="n">
        <v>44728</v>
      </c>
      <c r="C863" s="1" t="n">
        <v>45799</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26059-2022</t>
        </is>
      </c>
      <c r="B864" s="1" t="n">
        <v>44734</v>
      </c>
      <c r="C864" s="1" t="n">
        <v>45799</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27552-2022</t>
        </is>
      </c>
      <c r="B865" s="1" t="n">
        <v>44742</v>
      </c>
      <c r="C865" s="1" t="n">
        <v>45799</v>
      </c>
      <c r="D865" t="inlineStr">
        <is>
          <t>KALMAR LÄN</t>
        </is>
      </c>
      <c r="E865" t="inlineStr">
        <is>
          <t>VÄSTERVIK</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28426-2022</t>
        </is>
      </c>
      <c r="B866" s="1" t="n">
        <v>44747</v>
      </c>
      <c r="C866" s="1" t="n">
        <v>45799</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28588-2022</t>
        </is>
      </c>
      <c r="B867" s="1" t="n">
        <v>44748</v>
      </c>
      <c r="C867" s="1" t="n">
        <v>45799</v>
      </c>
      <c r="D867" t="inlineStr">
        <is>
          <t>KALMAR LÄN</t>
        </is>
      </c>
      <c r="E867" t="inlineStr">
        <is>
          <t>VÄSTERVIK</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28679-2022</t>
        </is>
      </c>
      <c r="B868" s="1" t="n">
        <v>44748</v>
      </c>
      <c r="C868" s="1" t="n">
        <v>45799</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28798-2022</t>
        </is>
      </c>
      <c r="B869" s="1" t="n">
        <v>44749</v>
      </c>
      <c r="C869" s="1" t="n">
        <v>45799</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29816-2022</t>
        </is>
      </c>
      <c r="B870" s="1" t="n">
        <v>44755</v>
      </c>
      <c r="C870" s="1" t="n">
        <v>45799</v>
      </c>
      <c r="D870" t="inlineStr">
        <is>
          <t>KALMAR LÄN</t>
        </is>
      </c>
      <c r="E870" t="inlineStr">
        <is>
          <t>VÄSTERVIK</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29909-2022</t>
        </is>
      </c>
      <c r="B871" s="1" t="n">
        <v>44756</v>
      </c>
      <c r="C871" s="1" t="n">
        <v>45799</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29952-2022</t>
        </is>
      </c>
      <c r="B872" s="1" t="n">
        <v>44756</v>
      </c>
      <c r="C872" s="1" t="n">
        <v>45799</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30186-2022</t>
        </is>
      </c>
      <c r="B873" s="1" t="n">
        <v>44757</v>
      </c>
      <c r="C873" s="1" t="n">
        <v>45799</v>
      </c>
      <c r="D873" t="inlineStr">
        <is>
          <t>KALMAR LÄN</t>
        </is>
      </c>
      <c r="E873" t="inlineStr">
        <is>
          <t>VÄSTERVIK</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31825-2022</t>
        </is>
      </c>
      <c r="B874" s="1" t="n">
        <v>44776</v>
      </c>
      <c r="C874" s="1" t="n">
        <v>45799</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row>
    <row r="875" ht="15" customHeight="1">
      <c r="A875" t="inlineStr">
        <is>
          <t>A 32104-2022</t>
        </is>
      </c>
      <c r="B875" s="1" t="n">
        <v>44778</v>
      </c>
      <c r="C875" s="1" t="n">
        <v>45799</v>
      </c>
      <c r="D875" t="inlineStr">
        <is>
          <t>KALMAR LÄN</t>
        </is>
      </c>
      <c r="E875" t="inlineStr">
        <is>
          <t>VÄSTERVIK</t>
        </is>
      </c>
      <c r="G875" t="n">
        <v>1.8</v>
      </c>
      <c r="H875" t="n">
        <v>0</v>
      </c>
      <c r="I875" t="n">
        <v>0</v>
      </c>
      <c r="J875" t="n">
        <v>0</v>
      </c>
      <c r="K875" t="n">
        <v>0</v>
      </c>
      <c r="L875" t="n">
        <v>0</v>
      </c>
      <c r="M875" t="n">
        <v>0</v>
      </c>
      <c r="N875" t="n">
        <v>0</v>
      </c>
      <c r="O875" t="n">
        <v>0</v>
      </c>
      <c r="P875" t="n">
        <v>0</v>
      </c>
      <c r="Q875" t="n">
        <v>0</v>
      </c>
      <c r="R875" s="2" t="inlineStr"/>
    </row>
    <row r="876" ht="15" customHeight="1">
      <c r="A876" t="inlineStr">
        <is>
          <t>A 32702-2022</t>
        </is>
      </c>
      <c r="B876" s="1" t="n">
        <v>44783</v>
      </c>
      <c r="C876" s="1" t="n">
        <v>45799</v>
      </c>
      <c r="D876" t="inlineStr">
        <is>
          <t>KALMAR LÄN</t>
        </is>
      </c>
      <c r="E876" t="inlineStr">
        <is>
          <t>VÄSTERVIK</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32763-2022</t>
        </is>
      </c>
      <c r="B877" s="1" t="n">
        <v>44783</v>
      </c>
      <c r="C877" s="1" t="n">
        <v>45799</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32764-2022</t>
        </is>
      </c>
      <c r="B878" s="1" t="n">
        <v>44783</v>
      </c>
      <c r="C878" s="1" t="n">
        <v>45799</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32934-2022</t>
        </is>
      </c>
      <c r="B879" s="1" t="n">
        <v>44784</v>
      </c>
      <c r="C879" s="1" t="n">
        <v>45799</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33206-2022</t>
        </is>
      </c>
      <c r="B880" s="1" t="n">
        <v>44785</v>
      </c>
      <c r="C880" s="1" t="n">
        <v>45799</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33204-2022</t>
        </is>
      </c>
      <c r="B881" s="1" t="n">
        <v>44785</v>
      </c>
      <c r="C881" s="1" t="n">
        <v>45799</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33208-2022</t>
        </is>
      </c>
      <c r="B882" s="1" t="n">
        <v>44785</v>
      </c>
      <c r="C882" s="1" t="n">
        <v>45799</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33210-2022</t>
        </is>
      </c>
      <c r="B883" s="1" t="n">
        <v>44785</v>
      </c>
      <c r="C883" s="1" t="n">
        <v>45799</v>
      </c>
      <c r="D883" t="inlineStr">
        <is>
          <t>KALMAR LÄN</t>
        </is>
      </c>
      <c r="E883" t="inlineStr">
        <is>
          <t>VÄSTERVIK</t>
        </is>
      </c>
      <c r="G883" t="n">
        <v>3.2</v>
      </c>
      <c r="H883" t="n">
        <v>0</v>
      </c>
      <c r="I883" t="n">
        <v>0</v>
      </c>
      <c r="J883" t="n">
        <v>0</v>
      </c>
      <c r="K883" t="n">
        <v>0</v>
      </c>
      <c r="L883" t="n">
        <v>0</v>
      </c>
      <c r="M883" t="n">
        <v>0</v>
      </c>
      <c r="N883" t="n">
        <v>0</v>
      </c>
      <c r="O883" t="n">
        <v>0</v>
      </c>
      <c r="P883" t="n">
        <v>0</v>
      </c>
      <c r="Q883" t="n">
        <v>0</v>
      </c>
      <c r="R883" s="2" t="inlineStr"/>
    </row>
    <row r="884" ht="15" customHeight="1">
      <c r="A884" t="inlineStr">
        <is>
          <t>A 33207-2022</t>
        </is>
      </c>
      <c r="B884" s="1" t="n">
        <v>44785</v>
      </c>
      <c r="C884" s="1" t="n">
        <v>45799</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33211-2022</t>
        </is>
      </c>
      <c r="B885" s="1" t="n">
        <v>44785</v>
      </c>
      <c r="C885" s="1" t="n">
        <v>45799</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34241-2022</t>
        </is>
      </c>
      <c r="B886" s="1" t="n">
        <v>44791</v>
      </c>
      <c r="C886" s="1" t="n">
        <v>45799</v>
      </c>
      <c r="D886" t="inlineStr">
        <is>
          <t>KALMAR LÄN</t>
        </is>
      </c>
      <c r="E886" t="inlineStr">
        <is>
          <t>VÄSTERVIK</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34644-2022</t>
        </is>
      </c>
      <c r="B887" s="1" t="n">
        <v>44795</v>
      </c>
      <c r="C887" s="1" t="n">
        <v>45799</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34675-2022</t>
        </is>
      </c>
      <c r="B888" s="1" t="n">
        <v>44795</v>
      </c>
      <c r="C888" s="1" t="n">
        <v>45799</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34672-2022</t>
        </is>
      </c>
      <c r="B889" s="1" t="n">
        <v>44795</v>
      </c>
      <c r="C889" s="1" t="n">
        <v>45799</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34836-2022</t>
        </is>
      </c>
      <c r="B890" s="1" t="n">
        <v>44796</v>
      </c>
      <c r="C890" s="1" t="n">
        <v>45799</v>
      </c>
      <c r="D890" t="inlineStr">
        <is>
          <t>KALMAR LÄN</t>
        </is>
      </c>
      <c r="E890" t="inlineStr">
        <is>
          <t>VÄSTERVIK</t>
        </is>
      </c>
      <c r="G890" t="n">
        <v>1.3</v>
      </c>
      <c r="H890" t="n">
        <v>0</v>
      </c>
      <c r="I890" t="n">
        <v>0</v>
      </c>
      <c r="J890" t="n">
        <v>0</v>
      </c>
      <c r="K890" t="n">
        <v>0</v>
      </c>
      <c r="L890" t="n">
        <v>0</v>
      </c>
      <c r="M890" t="n">
        <v>0</v>
      </c>
      <c r="N890" t="n">
        <v>0</v>
      </c>
      <c r="O890" t="n">
        <v>0</v>
      </c>
      <c r="P890" t="n">
        <v>0</v>
      </c>
      <c r="Q890" t="n">
        <v>0</v>
      </c>
      <c r="R890" s="2" t="inlineStr"/>
    </row>
    <row r="891" ht="15" customHeight="1">
      <c r="A891" t="inlineStr">
        <is>
          <t>A 35417-2022</t>
        </is>
      </c>
      <c r="B891" s="1" t="n">
        <v>44798</v>
      </c>
      <c r="C891" s="1" t="n">
        <v>45799</v>
      </c>
      <c r="D891" t="inlineStr">
        <is>
          <t>KALMAR LÄN</t>
        </is>
      </c>
      <c r="E891" t="inlineStr">
        <is>
          <t>VÄSTERVIK</t>
        </is>
      </c>
      <c r="G891" t="n">
        <v>5.2</v>
      </c>
      <c r="H891" t="n">
        <v>0</v>
      </c>
      <c r="I891" t="n">
        <v>0</v>
      </c>
      <c r="J891" t="n">
        <v>0</v>
      </c>
      <c r="K891" t="n">
        <v>0</v>
      </c>
      <c r="L891" t="n">
        <v>0</v>
      </c>
      <c r="M891" t="n">
        <v>0</v>
      </c>
      <c r="N891" t="n">
        <v>0</v>
      </c>
      <c r="O891" t="n">
        <v>0</v>
      </c>
      <c r="P891" t="n">
        <v>0</v>
      </c>
      <c r="Q891" t="n">
        <v>0</v>
      </c>
      <c r="R891" s="2" t="inlineStr"/>
    </row>
    <row r="892" ht="15" customHeight="1">
      <c r="A892" t="inlineStr">
        <is>
          <t>A 37936-2022</t>
        </is>
      </c>
      <c r="B892" s="1" t="n">
        <v>44811</v>
      </c>
      <c r="C892" s="1" t="n">
        <v>45799</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38069-2022</t>
        </is>
      </c>
      <c r="B893" s="1" t="n">
        <v>44811</v>
      </c>
      <c r="C893" s="1" t="n">
        <v>45799</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38399-2022</t>
        </is>
      </c>
      <c r="B894" s="1" t="n">
        <v>44812</v>
      </c>
      <c r="C894" s="1" t="n">
        <v>45799</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40062-2022</t>
        </is>
      </c>
      <c r="B895" s="1" t="n">
        <v>44820</v>
      </c>
      <c r="C895" s="1" t="n">
        <v>45799</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40050-2022</t>
        </is>
      </c>
      <c r="B896" s="1" t="n">
        <v>44820</v>
      </c>
      <c r="C896" s="1" t="n">
        <v>45799</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40925-2022</t>
        </is>
      </c>
      <c r="B897" s="1" t="n">
        <v>44825</v>
      </c>
      <c r="C897" s="1" t="n">
        <v>45799</v>
      </c>
      <c r="D897" t="inlineStr">
        <is>
          <t>KALMAR LÄN</t>
        </is>
      </c>
      <c r="E897" t="inlineStr">
        <is>
          <t>VÄSTERVIK</t>
        </is>
      </c>
      <c r="F897" t="inlineStr">
        <is>
          <t>Sveaskog</t>
        </is>
      </c>
      <c r="G897" t="n">
        <v>2.4</v>
      </c>
      <c r="H897" t="n">
        <v>0</v>
      </c>
      <c r="I897" t="n">
        <v>0</v>
      </c>
      <c r="J897" t="n">
        <v>0</v>
      </c>
      <c r="K897" t="n">
        <v>0</v>
      </c>
      <c r="L897" t="n">
        <v>0</v>
      </c>
      <c r="M897" t="n">
        <v>0</v>
      </c>
      <c r="N897" t="n">
        <v>0</v>
      </c>
      <c r="O897" t="n">
        <v>0</v>
      </c>
      <c r="P897" t="n">
        <v>0</v>
      </c>
      <c r="Q897" t="n">
        <v>0</v>
      </c>
      <c r="R897" s="2" t="inlineStr"/>
    </row>
    <row r="898" ht="15" customHeight="1">
      <c r="A898" t="inlineStr">
        <is>
          <t>A 40920-2022</t>
        </is>
      </c>
      <c r="B898" s="1" t="n">
        <v>44825</v>
      </c>
      <c r="C898" s="1" t="n">
        <v>45799</v>
      </c>
      <c r="D898" t="inlineStr">
        <is>
          <t>KALMAR LÄN</t>
        </is>
      </c>
      <c r="E898" t="inlineStr">
        <is>
          <t>VÄSTERVIK</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42122-2022</t>
        </is>
      </c>
      <c r="B899" s="1" t="n">
        <v>44830</v>
      </c>
      <c r="C899" s="1" t="n">
        <v>45799</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42130-2022</t>
        </is>
      </c>
      <c r="B900" s="1" t="n">
        <v>44830</v>
      </c>
      <c r="C900" s="1" t="n">
        <v>45799</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42119-2022</t>
        </is>
      </c>
      <c r="B901" s="1" t="n">
        <v>44830</v>
      </c>
      <c r="C901" s="1" t="n">
        <v>45799</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43965-2022</t>
        </is>
      </c>
      <c r="B902" s="1" t="n">
        <v>44838</v>
      </c>
      <c r="C902" s="1" t="n">
        <v>45799</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45721-2022</t>
        </is>
      </c>
      <c r="B903" s="1" t="n">
        <v>44845</v>
      </c>
      <c r="C903" s="1" t="n">
        <v>45799</v>
      </c>
      <c r="D903" t="inlineStr">
        <is>
          <t>KALMAR LÄN</t>
        </is>
      </c>
      <c r="E903" t="inlineStr">
        <is>
          <t>VÄSTERVIK</t>
        </is>
      </c>
      <c r="F903" t="inlineStr">
        <is>
          <t>Holmen skog AB</t>
        </is>
      </c>
      <c r="G903" t="n">
        <v>3.3</v>
      </c>
      <c r="H903" t="n">
        <v>0</v>
      </c>
      <c r="I903" t="n">
        <v>0</v>
      </c>
      <c r="J903" t="n">
        <v>0</v>
      </c>
      <c r="K903" t="n">
        <v>0</v>
      </c>
      <c r="L903" t="n">
        <v>0</v>
      </c>
      <c r="M903" t="n">
        <v>0</v>
      </c>
      <c r="N903" t="n">
        <v>0</v>
      </c>
      <c r="O903" t="n">
        <v>0</v>
      </c>
      <c r="P903" t="n">
        <v>0</v>
      </c>
      <c r="Q903" t="n">
        <v>0</v>
      </c>
      <c r="R903" s="2" t="inlineStr"/>
      <c r="U903">
        <f>HYPERLINK("https://klasma.github.io/Logging_0883/knärot/A 45721-2022 karta knärot.png", "A 45721-2022")</f>
        <v/>
      </c>
      <c r="V903">
        <f>HYPERLINK("https://klasma.github.io/Logging_0883/klagomål/A 45721-2022 FSC-klagomål.docx", "A 45721-2022")</f>
        <v/>
      </c>
      <c r="W903">
        <f>HYPERLINK("https://klasma.github.io/Logging_0883/klagomålsmail/A 45721-2022 FSC-klagomål mail.docx", "A 45721-2022")</f>
        <v/>
      </c>
      <c r="X903">
        <f>HYPERLINK("https://klasma.github.io/Logging_0883/tillsyn/A 45721-2022 tillsynsbegäran.docx", "A 45721-2022")</f>
        <v/>
      </c>
      <c r="Y903">
        <f>HYPERLINK("https://klasma.github.io/Logging_0883/tillsynsmail/A 45721-2022 tillsynsbegäran mail.docx", "A 45721-2022")</f>
        <v/>
      </c>
    </row>
    <row r="904" ht="15" customHeight="1">
      <c r="A904" t="inlineStr">
        <is>
          <t>A 45806-2022</t>
        </is>
      </c>
      <c r="B904" s="1" t="n">
        <v>44846</v>
      </c>
      <c r="C904" s="1" t="n">
        <v>45799</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46018-2022</t>
        </is>
      </c>
      <c r="B905" s="1" t="n">
        <v>44846</v>
      </c>
      <c r="C905" s="1" t="n">
        <v>45799</v>
      </c>
      <c r="D905" t="inlineStr">
        <is>
          <t>KALMAR LÄN</t>
        </is>
      </c>
      <c r="E905" t="inlineStr">
        <is>
          <t>VÄSTERVIK</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46267-2022</t>
        </is>
      </c>
      <c r="B906" s="1" t="n">
        <v>44847</v>
      </c>
      <c r="C906" s="1" t="n">
        <v>45799</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46135-2022</t>
        </is>
      </c>
      <c r="B907" s="1" t="n">
        <v>44847</v>
      </c>
      <c r="C907" s="1" t="n">
        <v>45799</v>
      </c>
      <c r="D907" t="inlineStr">
        <is>
          <t>KALMAR LÄN</t>
        </is>
      </c>
      <c r="E907" t="inlineStr">
        <is>
          <t>VÄSTERVIK</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46354-2022</t>
        </is>
      </c>
      <c r="B908" s="1" t="n">
        <v>44848</v>
      </c>
      <c r="C908" s="1" t="n">
        <v>45799</v>
      </c>
      <c r="D908" t="inlineStr">
        <is>
          <t>KALMAR LÄN</t>
        </is>
      </c>
      <c r="E908" t="inlineStr">
        <is>
          <t>VÄSTERVIK</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46527-2022</t>
        </is>
      </c>
      <c r="B909" s="1" t="n">
        <v>44848</v>
      </c>
      <c r="C909" s="1" t="n">
        <v>45799</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46560-2022</t>
        </is>
      </c>
      <c r="B910" s="1" t="n">
        <v>44848</v>
      </c>
      <c r="C910" s="1" t="n">
        <v>45799</v>
      </c>
      <c r="D910" t="inlineStr">
        <is>
          <t>KALMAR LÄN</t>
        </is>
      </c>
      <c r="E910" t="inlineStr">
        <is>
          <t>VÄSTERVIK</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46561-2022</t>
        </is>
      </c>
      <c r="B911" s="1" t="n">
        <v>44848</v>
      </c>
      <c r="C911" s="1" t="n">
        <v>45799</v>
      </c>
      <c r="D911" t="inlineStr">
        <is>
          <t>KALMAR LÄN</t>
        </is>
      </c>
      <c r="E911" t="inlineStr">
        <is>
          <t>VÄSTERVIK</t>
        </is>
      </c>
      <c r="F911" t="inlineStr">
        <is>
          <t>Sveaskog</t>
        </is>
      </c>
      <c r="G911" t="n">
        <v>2.9</v>
      </c>
      <c r="H911" t="n">
        <v>0</v>
      </c>
      <c r="I911" t="n">
        <v>0</v>
      </c>
      <c r="J911" t="n">
        <v>0</v>
      </c>
      <c r="K911" t="n">
        <v>0</v>
      </c>
      <c r="L911" t="n">
        <v>0</v>
      </c>
      <c r="M911" t="n">
        <v>0</v>
      </c>
      <c r="N911" t="n">
        <v>0</v>
      </c>
      <c r="O911" t="n">
        <v>0</v>
      </c>
      <c r="P911" t="n">
        <v>0</v>
      </c>
      <c r="Q911" t="n">
        <v>0</v>
      </c>
      <c r="R911" s="2" t="inlineStr"/>
    </row>
    <row r="912" ht="15" customHeight="1">
      <c r="A912" t="inlineStr">
        <is>
          <t>A 46596-2022</t>
        </is>
      </c>
      <c r="B912" s="1" t="n">
        <v>44848</v>
      </c>
      <c r="C912" s="1" t="n">
        <v>45799</v>
      </c>
      <c r="D912" t="inlineStr">
        <is>
          <t>KALMAR LÄN</t>
        </is>
      </c>
      <c r="E912" t="inlineStr">
        <is>
          <t>VÄSTERVIK</t>
        </is>
      </c>
      <c r="G912" t="n">
        <v>3.9</v>
      </c>
      <c r="H912" t="n">
        <v>0</v>
      </c>
      <c r="I912" t="n">
        <v>0</v>
      </c>
      <c r="J912" t="n">
        <v>0</v>
      </c>
      <c r="K912" t="n">
        <v>0</v>
      </c>
      <c r="L912" t="n">
        <v>0</v>
      </c>
      <c r="M912" t="n">
        <v>0</v>
      </c>
      <c r="N912" t="n">
        <v>0</v>
      </c>
      <c r="O912" t="n">
        <v>0</v>
      </c>
      <c r="P912" t="n">
        <v>0</v>
      </c>
      <c r="Q912" t="n">
        <v>0</v>
      </c>
      <c r="R912" s="2" t="inlineStr"/>
    </row>
    <row r="913" ht="15" customHeight="1">
      <c r="A913" t="inlineStr">
        <is>
          <t>A 46562-2022</t>
        </is>
      </c>
      <c r="B913" s="1" t="n">
        <v>44848</v>
      </c>
      <c r="C913" s="1" t="n">
        <v>45799</v>
      </c>
      <c r="D913" t="inlineStr">
        <is>
          <t>KALMAR LÄN</t>
        </is>
      </c>
      <c r="E913" t="inlineStr">
        <is>
          <t>VÄSTERVIK</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46781-2022</t>
        </is>
      </c>
      <c r="B914" s="1" t="n">
        <v>44851</v>
      </c>
      <c r="C914" s="1" t="n">
        <v>45799</v>
      </c>
      <c r="D914" t="inlineStr">
        <is>
          <t>KALMAR LÄN</t>
        </is>
      </c>
      <c r="E914" t="inlineStr">
        <is>
          <t>VÄSTERVIK</t>
        </is>
      </c>
      <c r="G914" t="n">
        <v>13.2</v>
      </c>
      <c r="H914" t="n">
        <v>0</v>
      </c>
      <c r="I914" t="n">
        <v>0</v>
      </c>
      <c r="J914" t="n">
        <v>0</v>
      </c>
      <c r="K914" t="n">
        <v>0</v>
      </c>
      <c r="L914" t="n">
        <v>0</v>
      </c>
      <c r="M914" t="n">
        <v>0</v>
      </c>
      <c r="N914" t="n">
        <v>0</v>
      </c>
      <c r="O914" t="n">
        <v>0</v>
      </c>
      <c r="P914" t="n">
        <v>0</v>
      </c>
      <c r="Q914" t="n">
        <v>0</v>
      </c>
      <c r="R914" s="2" t="inlineStr"/>
    </row>
    <row r="915" ht="15" customHeight="1">
      <c r="A915" t="inlineStr">
        <is>
          <t>A 46783-2022</t>
        </is>
      </c>
      <c r="B915" s="1" t="n">
        <v>44851</v>
      </c>
      <c r="C915" s="1" t="n">
        <v>45799</v>
      </c>
      <c r="D915" t="inlineStr">
        <is>
          <t>KALMAR LÄN</t>
        </is>
      </c>
      <c r="E915" t="inlineStr">
        <is>
          <t>VÄSTERVIK</t>
        </is>
      </c>
      <c r="G915" t="n">
        <v>2</v>
      </c>
      <c r="H915" t="n">
        <v>0</v>
      </c>
      <c r="I915" t="n">
        <v>0</v>
      </c>
      <c r="J915" t="n">
        <v>0</v>
      </c>
      <c r="K915" t="n">
        <v>0</v>
      </c>
      <c r="L915" t="n">
        <v>0</v>
      </c>
      <c r="M915" t="n">
        <v>0</v>
      </c>
      <c r="N915" t="n">
        <v>0</v>
      </c>
      <c r="O915" t="n">
        <v>0</v>
      </c>
      <c r="P915" t="n">
        <v>0</v>
      </c>
      <c r="Q915" t="n">
        <v>0</v>
      </c>
      <c r="R915" s="2" t="inlineStr"/>
    </row>
    <row r="916" ht="15" customHeight="1">
      <c r="A916" t="inlineStr">
        <is>
          <t>A 46790-2022</t>
        </is>
      </c>
      <c r="B916" s="1" t="n">
        <v>44851</v>
      </c>
      <c r="C916" s="1" t="n">
        <v>45799</v>
      </c>
      <c r="D916" t="inlineStr">
        <is>
          <t>KALMAR LÄN</t>
        </is>
      </c>
      <c r="E916" t="inlineStr">
        <is>
          <t>VÄSTERVIK</t>
        </is>
      </c>
      <c r="G916" t="n">
        <v>9.9</v>
      </c>
      <c r="H916" t="n">
        <v>0</v>
      </c>
      <c r="I916" t="n">
        <v>0</v>
      </c>
      <c r="J916" t="n">
        <v>0</v>
      </c>
      <c r="K916" t="n">
        <v>0</v>
      </c>
      <c r="L916" t="n">
        <v>0</v>
      </c>
      <c r="M916" t="n">
        <v>0</v>
      </c>
      <c r="N916" t="n">
        <v>0</v>
      </c>
      <c r="O916" t="n">
        <v>0</v>
      </c>
      <c r="P916" t="n">
        <v>0</v>
      </c>
      <c r="Q916" t="n">
        <v>0</v>
      </c>
      <c r="R916" s="2" t="inlineStr"/>
    </row>
    <row r="917" ht="15" customHeight="1">
      <c r="A917" t="inlineStr">
        <is>
          <t>A 47323-2022</t>
        </is>
      </c>
      <c r="B917" s="1" t="n">
        <v>44853</v>
      </c>
      <c r="C917" s="1" t="n">
        <v>45799</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47325-2022</t>
        </is>
      </c>
      <c r="B918" s="1" t="n">
        <v>44853</v>
      </c>
      <c r="C918" s="1" t="n">
        <v>45799</v>
      </c>
      <c r="D918" t="inlineStr">
        <is>
          <t>KALMAR LÄN</t>
        </is>
      </c>
      <c r="E918" t="inlineStr">
        <is>
          <t>VÄSTERVIK</t>
        </is>
      </c>
      <c r="G918" t="n">
        <v>2.3</v>
      </c>
      <c r="H918" t="n">
        <v>0</v>
      </c>
      <c r="I918" t="n">
        <v>0</v>
      </c>
      <c r="J918" t="n">
        <v>0</v>
      </c>
      <c r="K918" t="n">
        <v>0</v>
      </c>
      <c r="L918" t="n">
        <v>0</v>
      </c>
      <c r="M918" t="n">
        <v>0</v>
      </c>
      <c r="N918" t="n">
        <v>0</v>
      </c>
      <c r="O918" t="n">
        <v>0</v>
      </c>
      <c r="P918" t="n">
        <v>0</v>
      </c>
      <c r="Q918" t="n">
        <v>0</v>
      </c>
      <c r="R918" s="2" t="inlineStr"/>
    </row>
    <row r="919" ht="15" customHeight="1">
      <c r="A919" t="inlineStr">
        <is>
          <t>A 47705-2022</t>
        </is>
      </c>
      <c r="B919" s="1" t="n">
        <v>44854</v>
      </c>
      <c r="C919" s="1" t="n">
        <v>45799</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49276-2022</t>
        </is>
      </c>
      <c r="B920" s="1" t="n">
        <v>44858</v>
      </c>
      <c r="C920" s="1" t="n">
        <v>45799</v>
      </c>
      <c r="D920" t="inlineStr">
        <is>
          <t>KALMAR LÄN</t>
        </is>
      </c>
      <c r="E920" t="inlineStr">
        <is>
          <t>VÄSTERVIK</t>
        </is>
      </c>
      <c r="F920" t="inlineStr">
        <is>
          <t>Övriga Aktiebolag</t>
        </is>
      </c>
      <c r="G920" t="n">
        <v>2.4</v>
      </c>
      <c r="H920" t="n">
        <v>0</v>
      </c>
      <c r="I920" t="n">
        <v>0</v>
      </c>
      <c r="J920" t="n">
        <v>0</v>
      </c>
      <c r="K920" t="n">
        <v>0</v>
      </c>
      <c r="L920" t="n">
        <v>0</v>
      </c>
      <c r="M920" t="n">
        <v>0</v>
      </c>
      <c r="N920" t="n">
        <v>0</v>
      </c>
      <c r="O920" t="n">
        <v>0</v>
      </c>
      <c r="P920" t="n">
        <v>0</v>
      </c>
      <c r="Q920" t="n">
        <v>0</v>
      </c>
      <c r="R920" s="2" t="inlineStr"/>
    </row>
    <row r="921" ht="15" customHeight="1">
      <c r="A921" t="inlineStr">
        <is>
          <t>A 48553-2022</t>
        </is>
      </c>
      <c r="B921" s="1" t="n">
        <v>44859</v>
      </c>
      <c r="C921" s="1" t="n">
        <v>45799</v>
      </c>
      <c r="D921" t="inlineStr">
        <is>
          <t>KALMAR LÄN</t>
        </is>
      </c>
      <c r="E921" t="inlineStr">
        <is>
          <t>VÄSTERVIK</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48888-2022</t>
        </is>
      </c>
      <c r="B922" s="1" t="n">
        <v>44859</v>
      </c>
      <c r="C922" s="1" t="n">
        <v>45799</v>
      </c>
      <c r="D922" t="inlineStr">
        <is>
          <t>KALMAR LÄN</t>
        </is>
      </c>
      <c r="E922" t="inlineStr">
        <is>
          <t>VÄSTERVIK</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49205-2022</t>
        </is>
      </c>
      <c r="B923" s="1" t="n">
        <v>44860</v>
      </c>
      <c r="C923" s="1" t="n">
        <v>45799</v>
      </c>
      <c r="D923" t="inlineStr">
        <is>
          <t>KALMAR LÄN</t>
        </is>
      </c>
      <c r="E923" t="inlineStr">
        <is>
          <t>VÄSTERVIK</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50253-2022</t>
        </is>
      </c>
      <c r="B924" s="1" t="n">
        <v>44860</v>
      </c>
      <c r="C924" s="1" t="n">
        <v>45799</v>
      </c>
      <c r="D924" t="inlineStr">
        <is>
          <t>KALMAR LÄN</t>
        </is>
      </c>
      <c r="E924" t="inlineStr">
        <is>
          <t>VÄSTERVIK</t>
        </is>
      </c>
      <c r="G924" t="n">
        <v>2.7</v>
      </c>
      <c r="H924" t="n">
        <v>0</v>
      </c>
      <c r="I924" t="n">
        <v>0</v>
      </c>
      <c r="J924" t="n">
        <v>0</v>
      </c>
      <c r="K924" t="n">
        <v>0</v>
      </c>
      <c r="L924" t="n">
        <v>0</v>
      </c>
      <c r="M924" t="n">
        <v>0</v>
      </c>
      <c r="N924" t="n">
        <v>0</v>
      </c>
      <c r="O924" t="n">
        <v>0</v>
      </c>
      <c r="P924" t="n">
        <v>0</v>
      </c>
      <c r="Q924" t="n">
        <v>0</v>
      </c>
      <c r="R924" s="2" t="inlineStr"/>
    </row>
    <row r="925" ht="15" customHeight="1">
      <c r="A925" t="inlineStr">
        <is>
          <t>A 49286-2022</t>
        </is>
      </c>
      <c r="B925" s="1" t="n">
        <v>44861</v>
      </c>
      <c r="C925" s="1" t="n">
        <v>45799</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49377-2022</t>
        </is>
      </c>
      <c r="B926" s="1" t="n">
        <v>44861</v>
      </c>
      <c r="C926" s="1" t="n">
        <v>45799</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49916-2022</t>
        </is>
      </c>
      <c r="B927" s="1" t="n">
        <v>44865</v>
      </c>
      <c r="C927" s="1" t="n">
        <v>45799</v>
      </c>
      <c r="D927" t="inlineStr">
        <is>
          <t>KALMAR LÄN</t>
        </is>
      </c>
      <c r="E927" t="inlineStr">
        <is>
          <t>VÄSTERVIK</t>
        </is>
      </c>
      <c r="G927" t="n">
        <v>2</v>
      </c>
      <c r="H927" t="n">
        <v>0</v>
      </c>
      <c r="I927" t="n">
        <v>0</v>
      </c>
      <c r="J927" t="n">
        <v>0</v>
      </c>
      <c r="K927" t="n">
        <v>0</v>
      </c>
      <c r="L927" t="n">
        <v>0</v>
      </c>
      <c r="M927" t="n">
        <v>0</v>
      </c>
      <c r="N927" t="n">
        <v>0</v>
      </c>
      <c r="O927" t="n">
        <v>0</v>
      </c>
      <c r="P927" t="n">
        <v>0</v>
      </c>
      <c r="Q927" t="n">
        <v>0</v>
      </c>
      <c r="R927" s="2" t="inlineStr"/>
    </row>
    <row r="928" ht="15" customHeight="1">
      <c r="A928" t="inlineStr">
        <is>
          <t>A 50691-2022</t>
        </is>
      </c>
      <c r="B928" s="1" t="n">
        <v>44867</v>
      </c>
      <c r="C928" s="1" t="n">
        <v>45799</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50911-2022</t>
        </is>
      </c>
      <c r="B929" s="1" t="n">
        <v>44867</v>
      </c>
      <c r="C929" s="1" t="n">
        <v>45799</v>
      </c>
      <c r="D929" t="inlineStr">
        <is>
          <t>KALMAR LÄN</t>
        </is>
      </c>
      <c r="E929" t="inlineStr">
        <is>
          <t>VÄSTERVIK</t>
        </is>
      </c>
      <c r="F929" t="inlineStr">
        <is>
          <t>Sveaskog</t>
        </is>
      </c>
      <c r="G929" t="n">
        <v>3</v>
      </c>
      <c r="H929" t="n">
        <v>0</v>
      </c>
      <c r="I929" t="n">
        <v>0</v>
      </c>
      <c r="J929" t="n">
        <v>0</v>
      </c>
      <c r="K929" t="n">
        <v>0</v>
      </c>
      <c r="L929" t="n">
        <v>0</v>
      </c>
      <c r="M929" t="n">
        <v>0</v>
      </c>
      <c r="N929" t="n">
        <v>0</v>
      </c>
      <c r="O929" t="n">
        <v>0</v>
      </c>
      <c r="P929" t="n">
        <v>0</v>
      </c>
      <c r="Q929" t="n">
        <v>0</v>
      </c>
      <c r="R929" s="2" t="inlineStr"/>
    </row>
    <row r="930" ht="15" customHeight="1">
      <c r="A930" t="inlineStr">
        <is>
          <t>A 50990-2022</t>
        </is>
      </c>
      <c r="B930" s="1" t="n">
        <v>44867</v>
      </c>
      <c r="C930" s="1" t="n">
        <v>45799</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52289-2022</t>
        </is>
      </c>
      <c r="B931" s="1" t="n">
        <v>44873</v>
      </c>
      <c r="C931" s="1" t="n">
        <v>45799</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53108-2022</t>
        </is>
      </c>
      <c r="B932" s="1" t="n">
        <v>44876</v>
      </c>
      <c r="C932" s="1" t="n">
        <v>45799</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53333-2022</t>
        </is>
      </c>
      <c r="B933" s="1" t="n">
        <v>44879</v>
      </c>
      <c r="C933" s="1" t="n">
        <v>45799</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54190-2022</t>
        </is>
      </c>
      <c r="B934" s="1" t="n">
        <v>44881</v>
      </c>
      <c r="C934" s="1" t="n">
        <v>45799</v>
      </c>
      <c r="D934" t="inlineStr">
        <is>
          <t>KALMAR LÄN</t>
        </is>
      </c>
      <c r="E934" t="inlineStr">
        <is>
          <t>VÄSTERVIK</t>
        </is>
      </c>
      <c r="G934" t="n">
        <v>7.4</v>
      </c>
      <c r="H934" t="n">
        <v>0</v>
      </c>
      <c r="I934" t="n">
        <v>0</v>
      </c>
      <c r="J934" t="n">
        <v>0</v>
      </c>
      <c r="K934" t="n">
        <v>0</v>
      </c>
      <c r="L934" t="n">
        <v>0</v>
      </c>
      <c r="M934" t="n">
        <v>0</v>
      </c>
      <c r="N934" t="n">
        <v>0</v>
      </c>
      <c r="O934" t="n">
        <v>0</v>
      </c>
      <c r="P934" t="n">
        <v>0</v>
      </c>
      <c r="Q934" t="n">
        <v>0</v>
      </c>
      <c r="R934" s="2" t="inlineStr"/>
    </row>
    <row r="935" ht="15" customHeight="1">
      <c r="A935" t="inlineStr">
        <is>
          <t>A 55382-2022</t>
        </is>
      </c>
      <c r="B935" s="1" t="n">
        <v>44887</v>
      </c>
      <c r="C935" s="1" t="n">
        <v>45799</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55828-2022</t>
        </is>
      </c>
      <c r="B936" s="1" t="n">
        <v>44888</v>
      </c>
      <c r="C936" s="1" t="n">
        <v>45799</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55922-2022</t>
        </is>
      </c>
      <c r="B937" s="1" t="n">
        <v>44889</v>
      </c>
      <c r="C937" s="1" t="n">
        <v>45799</v>
      </c>
      <c r="D937" t="inlineStr">
        <is>
          <t>KALMAR LÄN</t>
        </is>
      </c>
      <c r="E937" t="inlineStr">
        <is>
          <t>VÄSTERVIK</t>
        </is>
      </c>
      <c r="G937" t="n">
        <v>3.5</v>
      </c>
      <c r="H937" t="n">
        <v>0</v>
      </c>
      <c r="I937" t="n">
        <v>0</v>
      </c>
      <c r="J937" t="n">
        <v>0</v>
      </c>
      <c r="K937" t="n">
        <v>0</v>
      </c>
      <c r="L937" t="n">
        <v>0</v>
      </c>
      <c r="M937" t="n">
        <v>0</v>
      </c>
      <c r="N937" t="n">
        <v>0</v>
      </c>
      <c r="O937" t="n">
        <v>0</v>
      </c>
      <c r="P937" t="n">
        <v>0</v>
      </c>
      <c r="Q937" t="n">
        <v>0</v>
      </c>
      <c r="R937" s="2" t="inlineStr"/>
    </row>
    <row r="938" ht="15" customHeight="1">
      <c r="A938" t="inlineStr">
        <is>
          <t>A 56610-2022</t>
        </is>
      </c>
      <c r="B938" s="1" t="n">
        <v>44893</v>
      </c>
      <c r="C938" s="1" t="n">
        <v>45799</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57023-2022</t>
        </is>
      </c>
      <c r="B939" s="1" t="n">
        <v>44895</v>
      </c>
      <c r="C939" s="1" t="n">
        <v>45799</v>
      </c>
      <c r="D939" t="inlineStr">
        <is>
          <t>KALMAR LÄN</t>
        </is>
      </c>
      <c r="E939" t="inlineStr">
        <is>
          <t>VÄSTERVIK</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58927-2022</t>
        </is>
      </c>
      <c r="B940" s="1" t="n">
        <v>44896</v>
      </c>
      <c r="C940" s="1" t="n">
        <v>45799</v>
      </c>
      <c r="D940" t="inlineStr">
        <is>
          <t>KALMAR LÄN</t>
        </is>
      </c>
      <c r="E940" t="inlineStr">
        <is>
          <t>VÄSTERVIK</t>
        </is>
      </c>
      <c r="G940" t="n">
        <v>2.5</v>
      </c>
      <c r="H940" t="n">
        <v>0</v>
      </c>
      <c r="I940" t="n">
        <v>0</v>
      </c>
      <c r="J940" t="n">
        <v>0</v>
      </c>
      <c r="K940" t="n">
        <v>0</v>
      </c>
      <c r="L940" t="n">
        <v>0</v>
      </c>
      <c r="M940" t="n">
        <v>0</v>
      </c>
      <c r="N940" t="n">
        <v>0</v>
      </c>
      <c r="O940" t="n">
        <v>0</v>
      </c>
      <c r="P940" t="n">
        <v>0</v>
      </c>
      <c r="Q940" t="n">
        <v>0</v>
      </c>
      <c r="R940" s="2" t="inlineStr"/>
    </row>
    <row r="941" ht="15" customHeight="1">
      <c r="A941" t="inlineStr">
        <is>
          <t>A 57997-2022</t>
        </is>
      </c>
      <c r="B941" s="1" t="n">
        <v>44900</v>
      </c>
      <c r="C941" s="1" t="n">
        <v>45799</v>
      </c>
      <c r="D941" t="inlineStr">
        <is>
          <t>KALMAR LÄN</t>
        </is>
      </c>
      <c r="E941" t="inlineStr">
        <is>
          <t>VÄSTERVIK</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58217-2022</t>
        </is>
      </c>
      <c r="B942" s="1" t="n">
        <v>44901</v>
      </c>
      <c r="C942" s="1" t="n">
        <v>45799</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58216-2022</t>
        </is>
      </c>
      <c r="B943" s="1" t="n">
        <v>44901</v>
      </c>
      <c r="C943" s="1" t="n">
        <v>45799</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58209-2022</t>
        </is>
      </c>
      <c r="B944" s="1" t="n">
        <v>44901</v>
      </c>
      <c r="C944" s="1" t="n">
        <v>45799</v>
      </c>
      <c r="D944" t="inlineStr">
        <is>
          <t>KALMAR LÄN</t>
        </is>
      </c>
      <c r="E944" t="inlineStr">
        <is>
          <t>VÄSTERVIK</t>
        </is>
      </c>
      <c r="G944" t="n">
        <v>1.5</v>
      </c>
      <c r="H944" t="n">
        <v>0</v>
      </c>
      <c r="I944" t="n">
        <v>0</v>
      </c>
      <c r="J944" t="n">
        <v>0</v>
      </c>
      <c r="K944" t="n">
        <v>0</v>
      </c>
      <c r="L944" t="n">
        <v>0</v>
      </c>
      <c r="M944" t="n">
        <v>0</v>
      </c>
      <c r="N944" t="n">
        <v>0</v>
      </c>
      <c r="O944" t="n">
        <v>0</v>
      </c>
      <c r="P944" t="n">
        <v>0</v>
      </c>
      <c r="Q944" t="n">
        <v>0</v>
      </c>
      <c r="R944" s="2" t="inlineStr"/>
    </row>
    <row r="945" ht="15" customHeight="1">
      <c r="A945" t="inlineStr">
        <is>
          <t>A 58214-2022</t>
        </is>
      </c>
      <c r="B945" s="1" t="n">
        <v>44901</v>
      </c>
      <c r="C945" s="1" t="n">
        <v>45799</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58707-2022</t>
        </is>
      </c>
      <c r="B946" s="1" t="n">
        <v>44902</v>
      </c>
      <c r="C946" s="1" t="n">
        <v>45799</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58826-2022</t>
        </is>
      </c>
      <c r="B947" s="1" t="n">
        <v>44903</v>
      </c>
      <c r="C947" s="1" t="n">
        <v>45799</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59212-2022</t>
        </is>
      </c>
      <c r="B948" s="1" t="n">
        <v>44904</v>
      </c>
      <c r="C948" s="1" t="n">
        <v>45799</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59227-2022</t>
        </is>
      </c>
      <c r="B949" s="1" t="n">
        <v>44904</v>
      </c>
      <c r="C949" s="1" t="n">
        <v>45799</v>
      </c>
      <c r="D949" t="inlineStr">
        <is>
          <t>KALMAR LÄN</t>
        </is>
      </c>
      <c r="E949" t="inlineStr">
        <is>
          <t>VÄSTERVIK</t>
        </is>
      </c>
      <c r="G949" t="n">
        <v>6</v>
      </c>
      <c r="H949" t="n">
        <v>0</v>
      </c>
      <c r="I949" t="n">
        <v>0</v>
      </c>
      <c r="J949" t="n">
        <v>0</v>
      </c>
      <c r="K949" t="n">
        <v>0</v>
      </c>
      <c r="L949" t="n">
        <v>0</v>
      </c>
      <c r="M949" t="n">
        <v>0</v>
      </c>
      <c r="N949" t="n">
        <v>0</v>
      </c>
      <c r="O949" t="n">
        <v>0</v>
      </c>
      <c r="P949" t="n">
        <v>0</v>
      </c>
      <c r="Q949" t="n">
        <v>0</v>
      </c>
      <c r="R949" s="2" t="inlineStr"/>
    </row>
    <row r="950" ht="15" customHeight="1">
      <c r="A950" t="inlineStr">
        <is>
          <t>A 59210-2022</t>
        </is>
      </c>
      <c r="B950" s="1" t="n">
        <v>44904</v>
      </c>
      <c r="C950" s="1" t="n">
        <v>45799</v>
      </c>
      <c r="D950" t="inlineStr">
        <is>
          <t>KALMAR LÄN</t>
        </is>
      </c>
      <c r="E950" t="inlineStr">
        <is>
          <t>VÄSTERVIK</t>
        </is>
      </c>
      <c r="G950" t="n">
        <v>21.2</v>
      </c>
      <c r="H950" t="n">
        <v>0</v>
      </c>
      <c r="I950" t="n">
        <v>0</v>
      </c>
      <c r="J950" t="n">
        <v>0</v>
      </c>
      <c r="K950" t="n">
        <v>0</v>
      </c>
      <c r="L950" t="n">
        <v>0</v>
      </c>
      <c r="M950" t="n">
        <v>0</v>
      </c>
      <c r="N950" t="n">
        <v>0</v>
      </c>
      <c r="O950" t="n">
        <v>0</v>
      </c>
      <c r="P950" t="n">
        <v>0</v>
      </c>
      <c r="Q950" t="n">
        <v>0</v>
      </c>
      <c r="R950" s="2" t="inlineStr"/>
    </row>
    <row r="951" ht="15" customHeight="1">
      <c r="A951" t="inlineStr">
        <is>
          <t>A 59221-2022</t>
        </is>
      </c>
      <c r="B951" s="1" t="n">
        <v>44904</v>
      </c>
      <c r="C951" s="1" t="n">
        <v>45799</v>
      </c>
      <c r="D951" t="inlineStr">
        <is>
          <t>KALMAR LÄN</t>
        </is>
      </c>
      <c r="E951" t="inlineStr">
        <is>
          <t>VÄSTERVIK</t>
        </is>
      </c>
      <c r="G951" t="n">
        <v>6.1</v>
      </c>
      <c r="H951" t="n">
        <v>0</v>
      </c>
      <c r="I951" t="n">
        <v>0</v>
      </c>
      <c r="J951" t="n">
        <v>0</v>
      </c>
      <c r="K951" t="n">
        <v>0</v>
      </c>
      <c r="L951" t="n">
        <v>0</v>
      </c>
      <c r="M951" t="n">
        <v>0</v>
      </c>
      <c r="N951" t="n">
        <v>0</v>
      </c>
      <c r="O951" t="n">
        <v>0</v>
      </c>
      <c r="P951" t="n">
        <v>0</v>
      </c>
      <c r="Q951" t="n">
        <v>0</v>
      </c>
      <c r="R951" s="2" t="inlineStr"/>
    </row>
    <row r="952" ht="15" customHeight="1">
      <c r="A952" t="inlineStr">
        <is>
          <t>A 59156-2022</t>
        </is>
      </c>
      <c r="B952" s="1" t="n">
        <v>44904</v>
      </c>
      <c r="C952" s="1" t="n">
        <v>45799</v>
      </c>
      <c r="D952" t="inlineStr">
        <is>
          <t>KALMAR LÄN</t>
        </is>
      </c>
      <c r="E952" t="inlineStr">
        <is>
          <t>VÄSTERVIK</t>
        </is>
      </c>
      <c r="G952" t="n">
        <v>9.4</v>
      </c>
      <c r="H952" t="n">
        <v>0</v>
      </c>
      <c r="I952" t="n">
        <v>0</v>
      </c>
      <c r="J952" t="n">
        <v>0</v>
      </c>
      <c r="K952" t="n">
        <v>0</v>
      </c>
      <c r="L952" t="n">
        <v>0</v>
      </c>
      <c r="M952" t="n">
        <v>0</v>
      </c>
      <c r="N952" t="n">
        <v>0</v>
      </c>
      <c r="O952" t="n">
        <v>0</v>
      </c>
      <c r="P952" t="n">
        <v>0</v>
      </c>
      <c r="Q952" t="n">
        <v>0</v>
      </c>
      <c r="R952" s="2" t="inlineStr"/>
    </row>
    <row r="953" ht="15" customHeight="1">
      <c r="A953" t="inlineStr">
        <is>
          <t>A 59170-2022</t>
        </is>
      </c>
      <c r="B953" s="1" t="n">
        <v>44904</v>
      </c>
      <c r="C953" s="1" t="n">
        <v>45799</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59202-2022</t>
        </is>
      </c>
      <c r="B954" s="1" t="n">
        <v>44904</v>
      </c>
      <c r="C954" s="1" t="n">
        <v>45799</v>
      </c>
      <c r="D954" t="inlineStr">
        <is>
          <t>KALMAR LÄN</t>
        </is>
      </c>
      <c r="E954" t="inlineStr">
        <is>
          <t>VÄSTERVIK</t>
        </is>
      </c>
      <c r="G954" t="n">
        <v>1.5</v>
      </c>
      <c r="H954" t="n">
        <v>0</v>
      </c>
      <c r="I954" t="n">
        <v>0</v>
      </c>
      <c r="J954" t="n">
        <v>0</v>
      </c>
      <c r="K954" t="n">
        <v>0</v>
      </c>
      <c r="L954" t="n">
        <v>0</v>
      </c>
      <c r="M954" t="n">
        <v>0</v>
      </c>
      <c r="N954" t="n">
        <v>0</v>
      </c>
      <c r="O954" t="n">
        <v>0</v>
      </c>
      <c r="P954" t="n">
        <v>0</v>
      </c>
      <c r="Q954" t="n">
        <v>0</v>
      </c>
      <c r="R954" s="2" t="inlineStr"/>
    </row>
    <row r="955" ht="15" customHeight="1">
      <c r="A955" t="inlineStr">
        <is>
          <t>A 59220-2022</t>
        </is>
      </c>
      <c r="B955" s="1" t="n">
        <v>44904</v>
      </c>
      <c r="C955" s="1" t="n">
        <v>45799</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59498-2022</t>
        </is>
      </c>
      <c r="B956" s="1" t="n">
        <v>44907</v>
      </c>
      <c r="C956" s="1" t="n">
        <v>45799</v>
      </c>
      <c r="D956" t="inlineStr">
        <is>
          <t>KALMAR LÄN</t>
        </is>
      </c>
      <c r="E956" t="inlineStr">
        <is>
          <t>VÄSTERVIK</t>
        </is>
      </c>
      <c r="G956" t="n">
        <v>4.2</v>
      </c>
      <c r="H956" t="n">
        <v>0</v>
      </c>
      <c r="I956" t="n">
        <v>0</v>
      </c>
      <c r="J956" t="n">
        <v>0</v>
      </c>
      <c r="K956" t="n">
        <v>0</v>
      </c>
      <c r="L956" t="n">
        <v>0</v>
      </c>
      <c r="M956" t="n">
        <v>0</v>
      </c>
      <c r="N956" t="n">
        <v>0</v>
      </c>
      <c r="O956" t="n">
        <v>0</v>
      </c>
      <c r="P956" t="n">
        <v>0</v>
      </c>
      <c r="Q956" t="n">
        <v>0</v>
      </c>
      <c r="R956" s="2" t="inlineStr"/>
    </row>
    <row r="957" ht="15" customHeight="1">
      <c r="A957" t="inlineStr">
        <is>
          <t>A 59675-2022</t>
        </is>
      </c>
      <c r="B957" s="1" t="n">
        <v>44908</v>
      </c>
      <c r="C957" s="1" t="n">
        <v>45799</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59871-2022</t>
        </is>
      </c>
      <c r="B958" s="1" t="n">
        <v>44908</v>
      </c>
      <c r="C958" s="1" t="n">
        <v>45799</v>
      </c>
      <c r="D958" t="inlineStr">
        <is>
          <t>KALMAR LÄN</t>
        </is>
      </c>
      <c r="E958" t="inlineStr">
        <is>
          <t>VÄSTERVIK</t>
        </is>
      </c>
      <c r="F958" t="inlineStr">
        <is>
          <t>Övriga Aktiebolag</t>
        </is>
      </c>
      <c r="G958" t="n">
        <v>0.4</v>
      </c>
      <c r="H958" t="n">
        <v>0</v>
      </c>
      <c r="I958" t="n">
        <v>0</v>
      </c>
      <c r="J958" t="n">
        <v>0</v>
      </c>
      <c r="K958" t="n">
        <v>0</v>
      </c>
      <c r="L958" t="n">
        <v>0</v>
      </c>
      <c r="M958" t="n">
        <v>0</v>
      </c>
      <c r="N958" t="n">
        <v>0</v>
      </c>
      <c r="O958" t="n">
        <v>0</v>
      </c>
      <c r="P958" t="n">
        <v>0</v>
      </c>
      <c r="Q958" t="n">
        <v>0</v>
      </c>
      <c r="R958" s="2" t="inlineStr"/>
    </row>
    <row r="959" ht="15" customHeight="1">
      <c r="A959" t="inlineStr">
        <is>
          <t>A 60263-2022</t>
        </is>
      </c>
      <c r="B959" s="1" t="n">
        <v>44910</v>
      </c>
      <c r="C959" s="1" t="n">
        <v>45799</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60402-2022</t>
        </is>
      </c>
      <c r="B960" s="1" t="n">
        <v>44910</v>
      </c>
      <c r="C960" s="1" t="n">
        <v>45799</v>
      </c>
      <c r="D960" t="inlineStr">
        <is>
          <t>KALMAR LÄN</t>
        </is>
      </c>
      <c r="E960" t="inlineStr">
        <is>
          <t>VÄSTERVIK</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60409-2022</t>
        </is>
      </c>
      <c r="B961" s="1" t="n">
        <v>44910</v>
      </c>
      <c r="C961" s="1" t="n">
        <v>45799</v>
      </c>
      <c r="D961" t="inlineStr">
        <is>
          <t>KALMAR LÄN</t>
        </is>
      </c>
      <c r="E961" t="inlineStr">
        <is>
          <t>VÄSTERVIK</t>
        </is>
      </c>
      <c r="F961" t="inlineStr">
        <is>
          <t>Holmen skog AB</t>
        </is>
      </c>
      <c r="G961" t="n">
        <v>3.1</v>
      </c>
      <c r="H961" t="n">
        <v>0</v>
      </c>
      <c r="I961" t="n">
        <v>0</v>
      </c>
      <c r="J961" t="n">
        <v>0</v>
      </c>
      <c r="K961" t="n">
        <v>0</v>
      </c>
      <c r="L961" t="n">
        <v>0</v>
      </c>
      <c r="M961" t="n">
        <v>0</v>
      </c>
      <c r="N961" t="n">
        <v>0</v>
      </c>
      <c r="O961" t="n">
        <v>0</v>
      </c>
      <c r="P961" t="n">
        <v>0</v>
      </c>
      <c r="Q961" t="n">
        <v>0</v>
      </c>
      <c r="R961" s="2" t="inlineStr"/>
    </row>
    <row r="962" ht="15" customHeight="1">
      <c r="A962" t="inlineStr">
        <is>
          <t>A 61529-2022</t>
        </is>
      </c>
      <c r="B962" s="1" t="n">
        <v>44910</v>
      </c>
      <c r="C962" s="1" t="n">
        <v>45799</v>
      </c>
      <c r="D962" t="inlineStr">
        <is>
          <t>KALMAR LÄN</t>
        </is>
      </c>
      <c r="E962" t="inlineStr">
        <is>
          <t>VÄSTERVIK</t>
        </is>
      </c>
      <c r="G962" t="n">
        <v>6.5</v>
      </c>
      <c r="H962" t="n">
        <v>0</v>
      </c>
      <c r="I962" t="n">
        <v>0</v>
      </c>
      <c r="J962" t="n">
        <v>0</v>
      </c>
      <c r="K962" t="n">
        <v>0</v>
      </c>
      <c r="L962" t="n">
        <v>0</v>
      </c>
      <c r="M962" t="n">
        <v>0</v>
      </c>
      <c r="N962" t="n">
        <v>0</v>
      </c>
      <c r="O962" t="n">
        <v>0</v>
      </c>
      <c r="P962" t="n">
        <v>0</v>
      </c>
      <c r="Q962" t="n">
        <v>0</v>
      </c>
      <c r="R962" s="2" t="inlineStr"/>
    </row>
    <row r="963" ht="15" customHeight="1">
      <c r="A963" t="inlineStr">
        <is>
          <t>A 60710-2022</t>
        </is>
      </c>
      <c r="B963" s="1" t="n">
        <v>44912</v>
      </c>
      <c r="C963" s="1" t="n">
        <v>45799</v>
      </c>
      <c r="D963" t="inlineStr">
        <is>
          <t>KALMAR LÄN</t>
        </is>
      </c>
      <c r="E963" t="inlineStr">
        <is>
          <t>VÄSTERVIK</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60713-2022</t>
        </is>
      </c>
      <c r="B964" s="1" t="n">
        <v>44912</v>
      </c>
      <c r="C964" s="1" t="n">
        <v>45799</v>
      </c>
      <c r="D964" t="inlineStr">
        <is>
          <t>KALMAR LÄN</t>
        </is>
      </c>
      <c r="E964" t="inlineStr">
        <is>
          <t>VÄSTERVIK</t>
        </is>
      </c>
      <c r="F964" t="inlineStr">
        <is>
          <t>Övriga Aktiebolag</t>
        </is>
      </c>
      <c r="G964" t="n">
        <v>2.6</v>
      </c>
      <c r="H964" t="n">
        <v>0</v>
      </c>
      <c r="I964" t="n">
        <v>0</v>
      </c>
      <c r="J964" t="n">
        <v>0</v>
      </c>
      <c r="K964" t="n">
        <v>0</v>
      </c>
      <c r="L964" t="n">
        <v>0</v>
      </c>
      <c r="M964" t="n">
        <v>0</v>
      </c>
      <c r="N964" t="n">
        <v>0</v>
      </c>
      <c r="O964" t="n">
        <v>0</v>
      </c>
      <c r="P964" t="n">
        <v>0</v>
      </c>
      <c r="Q964" t="n">
        <v>0</v>
      </c>
      <c r="R964" s="2" t="inlineStr"/>
    </row>
    <row r="965" ht="15" customHeight="1">
      <c r="A965" t="inlineStr">
        <is>
          <t>A 60711-2022</t>
        </is>
      </c>
      <c r="B965" s="1" t="n">
        <v>44912</v>
      </c>
      <c r="C965" s="1" t="n">
        <v>45799</v>
      </c>
      <c r="D965" t="inlineStr">
        <is>
          <t>KALMAR LÄN</t>
        </is>
      </c>
      <c r="E965" t="inlineStr">
        <is>
          <t>VÄSTERVIK</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61580-2022</t>
        </is>
      </c>
      <c r="B966" s="1" t="n">
        <v>44916</v>
      </c>
      <c r="C966" s="1" t="n">
        <v>45799</v>
      </c>
      <c r="D966" t="inlineStr">
        <is>
          <t>KALMAR LÄN</t>
        </is>
      </c>
      <c r="E966" t="inlineStr">
        <is>
          <t>VÄSTERVIK</t>
        </is>
      </c>
      <c r="G966" t="n">
        <v>3.5</v>
      </c>
      <c r="H966" t="n">
        <v>0</v>
      </c>
      <c r="I966" t="n">
        <v>0</v>
      </c>
      <c r="J966" t="n">
        <v>0</v>
      </c>
      <c r="K966" t="n">
        <v>0</v>
      </c>
      <c r="L966" t="n">
        <v>0</v>
      </c>
      <c r="M966" t="n">
        <v>0</v>
      </c>
      <c r="N966" t="n">
        <v>0</v>
      </c>
      <c r="O966" t="n">
        <v>0</v>
      </c>
      <c r="P966" t="n">
        <v>0</v>
      </c>
      <c r="Q966" t="n">
        <v>0</v>
      </c>
      <c r="R966" s="2" t="inlineStr"/>
    </row>
    <row r="967" ht="15" customHeight="1">
      <c r="A967" t="inlineStr">
        <is>
          <t>A 61649-2022</t>
        </is>
      </c>
      <c r="B967" s="1" t="n">
        <v>44916</v>
      </c>
      <c r="C967" s="1" t="n">
        <v>45799</v>
      </c>
      <c r="D967" t="inlineStr">
        <is>
          <t>KALMAR LÄN</t>
        </is>
      </c>
      <c r="E967" t="inlineStr">
        <is>
          <t>VÄSTERVIK</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62005-2022</t>
        </is>
      </c>
      <c r="B968" s="1" t="n">
        <v>44918</v>
      </c>
      <c r="C968" s="1" t="n">
        <v>45799</v>
      </c>
      <c r="D968" t="inlineStr">
        <is>
          <t>KALMAR LÄN</t>
        </is>
      </c>
      <c r="E968" t="inlineStr">
        <is>
          <t>VÄSTERVIK</t>
        </is>
      </c>
      <c r="G968" t="n">
        <v>1.4</v>
      </c>
      <c r="H968" t="n">
        <v>0</v>
      </c>
      <c r="I968" t="n">
        <v>0</v>
      </c>
      <c r="J968" t="n">
        <v>0</v>
      </c>
      <c r="K968" t="n">
        <v>0</v>
      </c>
      <c r="L968" t="n">
        <v>0</v>
      </c>
      <c r="M968" t="n">
        <v>0</v>
      </c>
      <c r="N968" t="n">
        <v>0</v>
      </c>
      <c r="O968" t="n">
        <v>0</v>
      </c>
      <c r="P968" t="n">
        <v>0</v>
      </c>
      <c r="Q968" t="n">
        <v>0</v>
      </c>
      <c r="R968" s="2" t="inlineStr"/>
    </row>
    <row r="969" ht="15" customHeight="1">
      <c r="A969" t="inlineStr">
        <is>
          <t>A 62306-2022</t>
        </is>
      </c>
      <c r="B969" s="1" t="n">
        <v>44923</v>
      </c>
      <c r="C969" s="1" t="n">
        <v>45799</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62422-2022</t>
        </is>
      </c>
      <c r="B970" s="1" t="n">
        <v>44924</v>
      </c>
      <c r="C970" s="1" t="n">
        <v>45799</v>
      </c>
      <c r="D970" t="inlineStr">
        <is>
          <t>KALMAR LÄN</t>
        </is>
      </c>
      <c r="E970" t="inlineStr">
        <is>
          <t>VÄSTERVIK</t>
        </is>
      </c>
      <c r="G970" t="n">
        <v>4.9</v>
      </c>
      <c r="H970" t="n">
        <v>0</v>
      </c>
      <c r="I970" t="n">
        <v>0</v>
      </c>
      <c r="J970" t="n">
        <v>0</v>
      </c>
      <c r="K970" t="n">
        <v>0</v>
      </c>
      <c r="L970" t="n">
        <v>0</v>
      </c>
      <c r="M970" t="n">
        <v>0</v>
      </c>
      <c r="N970" t="n">
        <v>0</v>
      </c>
      <c r="O970" t="n">
        <v>0</v>
      </c>
      <c r="P970" t="n">
        <v>0</v>
      </c>
      <c r="Q970" t="n">
        <v>0</v>
      </c>
      <c r="R970" s="2" t="inlineStr"/>
    </row>
    <row r="971" ht="15" customHeight="1">
      <c r="A971" t="inlineStr">
        <is>
          <t>A 65-2023</t>
        </is>
      </c>
      <c r="B971" s="1" t="n">
        <v>44928</v>
      </c>
      <c r="C971" s="1" t="n">
        <v>45799</v>
      </c>
      <c r="D971" t="inlineStr">
        <is>
          <t>KALMAR LÄN</t>
        </is>
      </c>
      <c r="E971" t="inlineStr">
        <is>
          <t>VÄSTERVIK</t>
        </is>
      </c>
      <c r="G971" t="n">
        <v>1.8</v>
      </c>
      <c r="H971" t="n">
        <v>0</v>
      </c>
      <c r="I971" t="n">
        <v>0</v>
      </c>
      <c r="J971" t="n">
        <v>0</v>
      </c>
      <c r="K971" t="n">
        <v>0</v>
      </c>
      <c r="L971" t="n">
        <v>0</v>
      </c>
      <c r="M971" t="n">
        <v>0</v>
      </c>
      <c r="N971" t="n">
        <v>0</v>
      </c>
      <c r="O971" t="n">
        <v>0</v>
      </c>
      <c r="P971" t="n">
        <v>0</v>
      </c>
      <c r="Q971" t="n">
        <v>0</v>
      </c>
      <c r="R971" s="2" t="inlineStr"/>
    </row>
    <row r="972" ht="15" customHeight="1">
      <c r="A972" t="inlineStr">
        <is>
          <t>A 352-2023</t>
        </is>
      </c>
      <c r="B972" s="1" t="n">
        <v>44929</v>
      </c>
      <c r="C972" s="1" t="n">
        <v>45799</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351-2023</t>
        </is>
      </c>
      <c r="B973" s="1" t="n">
        <v>44929</v>
      </c>
      <c r="C973" s="1" t="n">
        <v>45799</v>
      </c>
      <c r="D973" t="inlineStr">
        <is>
          <t>KALMAR LÄN</t>
        </is>
      </c>
      <c r="E973" t="inlineStr">
        <is>
          <t>VÄSTERVIK</t>
        </is>
      </c>
      <c r="G973" t="n">
        <v>1.2</v>
      </c>
      <c r="H973" t="n">
        <v>0</v>
      </c>
      <c r="I973" t="n">
        <v>0</v>
      </c>
      <c r="J973" t="n">
        <v>0</v>
      </c>
      <c r="K973" t="n">
        <v>0</v>
      </c>
      <c r="L973" t="n">
        <v>0</v>
      </c>
      <c r="M973" t="n">
        <v>0</v>
      </c>
      <c r="N973" t="n">
        <v>0</v>
      </c>
      <c r="O973" t="n">
        <v>0</v>
      </c>
      <c r="P973" t="n">
        <v>0</v>
      </c>
      <c r="Q973" t="n">
        <v>0</v>
      </c>
      <c r="R973" s="2" t="inlineStr"/>
    </row>
    <row r="974" ht="15" customHeight="1">
      <c r="A974" t="inlineStr">
        <is>
          <t>A 562-2023</t>
        </is>
      </c>
      <c r="B974" s="1" t="n">
        <v>44930</v>
      </c>
      <c r="C974" s="1" t="n">
        <v>45799</v>
      </c>
      <c r="D974" t="inlineStr">
        <is>
          <t>KALMAR LÄN</t>
        </is>
      </c>
      <c r="E974" t="inlineStr">
        <is>
          <t>VÄSTERVIK</t>
        </is>
      </c>
      <c r="G974" t="n">
        <v>0.4</v>
      </c>
      <c r="H974" t="n">
        <v>0</v>
      </c>
      <c r="I974" t="n">
        <v>0</v>
      </c>
      <c r="J974" t="n">
        <v>0</v>
      </c>
      <c r="K974" t="n">
        <v>0</v>
      </c>
      <c r="L974" t="n">
        <v>0</v>
      </c>
      <c r="M974" t="n">
        <v>0</v>
      </c>
      <c r="N974" t="n">
        <v>0</v>
      </c>
      <c r="O974" t="n">
        <v>0</v>
      </c>
      <c r="P974" t="n">
        <v>0</v>
      </c>
      <c r="Q974" t="n">
        <v>0</v>
      </c>
      <c r="R974" s="2" t="inlineStr"/>
    </row>
    <row r="975" ht="15" customHeight="1">
      <c r="A975" t="inlineStr">
        <is>
          <t>A 740-2023</t>
        </is>
      </c>
      <c r="B975" s="1" t="n">
        <v>44931</v>
      </c>
      <c r="C975" s="1" t="n">
        <v>45799</v>
      </c>
      <c r="D975" t="inlineStr">
        <is>
          <t>KALMAR LÄN</t>
        </is>
      </c>
      <c r="E975" t="inlineStr">
        <is>
          <t>VÄSTERVIK</t>
        </is>
      </c>
      <c r="G975" t="n">
        <v>9.6</v>
      </c>
      <c r="H975" t="n">
        <v>0</v>
      </c>
      <c r="I975" t="n">
        <v>0</v>
      </c>
      <c r="J975" t="n">
        <v>0</v>
      </c>
      <c r="K975" t="n">
        <v>0</v>
      </c>
      <c r="L975" t="n">
        <v>0</v>
      </c>
      <c r="M975" t="n">
        <v>0</v>
      </c>
      <c r="N975" t="n">
        <v>0</v>
      </c>
      <c r="O975" t="n">
        <v>0</v>
      </c>
      <c r="P975" t="n">
        <v>0</v>
      </c>
      <c r="Q975" t="n">
        <v>0</v>
      </c>
      <c r="R975" s="2" t="inlineStr"/>
    </row>
    <row r="976" ht="15" customHeight="1">
      <c r="A976" t="inlineStr">
        <is>
          <t>A 792-2023</t>
        </is>
      </c>
      <c r="B976" s="1" t="n">
        <v>44931</v>
      </c>
      <c r="C976" s="1" t="n">
        <v>45799</v>
      </c>
      <c r="D976" t="inlineStr">
        <is>
          <t>KALMAR LÄN</t>
        </is>
      </c>
      <c r="E976" t="inlineStr">
        <is>
          <t>VÄSTERVIK</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808-2023</t>
        </is>
      </c>
      <c r="B977" s="1" t="n">
        <v>44931</v>
      </c>
      <c r="C977" s="1" t="n">
        <v>45799</v>
      </c>
      <c r="D977" t="inlineStr">
        <is>
          <t>KALMAR LÄN</t>
        </is>
      </c>
      <c r="E977" t="inlineStr">
        <is>
          <t>VÄSTERVIK</t>
        </is>
      </c>
      <c r="F977" t="inlineStr">
        <is>
          <t>Holmen skog AB</t>
        </is>
      </c>
      <c r="G977" t="n">
        <v>0.3</v>
      </c>
      <c r="H977" t="n">
        <v>0</v>
      </c>
      <c r="I977" t="n">
        <v>0</v>
      </c>
      <c r="J977" t="n">
        <v>0</v>
      </c>
      <c r="K977" t="n">
        <v>0</v>
      </c>
      <c r="L977" t="n">
        <v>0</v>
      </c>
      <c r="M977" t="n">
        <v>0</v>
      </c>
      <c r="N977" t="n">
        <v>0</v>
      </c>
      <c r="O977" t="n">
        <v>0</v>
      </c>
      <c r="P977" t="n">
        <v>0</v>
      </c>
      <c r="Q977" t="n">
        <v>0</v>
      </c>
      <c r="R977" s="2" t="inlineStr"/>
    </row>
    <row r="978" ht="15" customHeight="1">
      <c r="A978" t="inlineStr">
        <is>
          <t>A 843-2023</t>
        </is>
      </c>
      <c r="B978" s="1" t="n">
        <v>44931</v>
      </c>
      <c r="C978" s="1" t="n">
        <v>45799</v>
      </c>
      <c r="D978" t="inlineStr">
        <is>
          <t>KALMAR LÄN</t>
        </is>
      </c>
      <c r="E978" t="inlineStr">
        <is>
          <t>VÄSTERVIK</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1079-2023</t>
        </is>
      </c>
      <c r="B979" s="1" t="n">
        <v>44935</v>
      </c>
      <c r="C979" s="1" t="n">
        <v>45799</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1699-2023</t>
        </is>
      </c>
      <c r="B980" s="1" t="n">
        <v>44935</v>
      </c>
      <c r="C980" s="1" t="n">
        <v>45799</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1568-2023</t>
        </is>
      </c>
      <c r="B981" s="1" t="n">
        <v>44937</v>
      </c>
      <c r="C981" s="1" t="n">
        <v>45799</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1798-2023</t>
        </is>
      </c>
      <c r="B982" s="1" t="n">
        <v>44938</v>
      </c>
      <c r="C982" s="1" t="n">
        <v>45799</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1961-2023</t>
        </is>
      </c>
      <c r="B983" s="1" t="n">
        <v>44939</v>
      </c>
      <c r="C983" s="1" t="n">
        <v>45799</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2098-2023</t>
        </is>
      </c>
      <c r="B984" s="1" t="n">
        <v>44939</v>
      </c>
      <c r="C984" s="1" t="n">
        <v>45799</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2314-2023</t>
        </is>
      </c>
      <c r="B985" s="1" t="n">
        <v>44942</v>
      </c>
      <c r="C985" s="1" t="n">
        <v>45799</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2738-2023</t>
        </is>
      </c>
      <c r="B986" s="1" t="n">
        <v>44944</v>
      </c>
      <c r="C986" s="1" t="n">
        <v>45799</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2741-2023</t>
        </is>
      </c>
      <c r="B987" s="1" t="n">
        <v>44944</v>
      </c>
      <c r="C987" s="1" t="n">
        <v>45799</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2746-2023</t>
        </is>
      </c>
      <c r="B988" s="1" t="n">
        <v>44944</v>
      </c>
      <c r="C988" s="1" t="n">
        <v>45799</v>
      </c>
      <c r="D988" t="inlineStr">
        <is>
          <t>KALMAR LÄN</t>
        </is>
      </c>
      <c r="E988" t="inlineStr">
        <is>
          <t>VÄSTERVIK</t>
        </is>
      </c>
      <c r="G988" t="n">
        <v>5.5</v>
      </c>
      <c r="H988" t="n">
        <v>0</v>
      </c>
      <c r="I988" t="n">
        <v>0</v>
      </c>
      <c r="J988" t="n">
        <v>0</v>
      </c>
      <c r="K988" t="n">
        <v>0</v>
      </c>
      <c r="L988" t="n">
        <v>0</v>
      </c>
      <c r="M988" t="n">
        <v>0</v>
      </c>
      <c r="N988" t="n">
        <v>0</v>
      </c>
      <c r="O988" t="n">
        <v>0</v>
      </c>
      <c r="P988" t="n">
        <v>0</v>
      </c>
      <c r="Q988" t="n">
        <v>0</v>
      </c>
      <c r="R988" s="2" t="inlineStr"/>
    </row>
    <row r="989" ht="15" customHeight="1">
      <c r="A989" t="inlineStr">
        <is>
          <t>A 3075-2023</t>
        </is>
      </c>
      <c r="B989" s="1" t="n">
        <v>44946</v>
      </c>
      <c r="C989" s="1" t="n">
        <v>45799</v>
      </c>
      <c r="D989" t="inlineStr">
        <is>
          <t>KALMAR LÄN</t>
        </is>
      </c>
      <c r="E989" t="inlineStr">
        <is>
          <t>VÄSTERVIK</t>
        </is>
      </c>
      <c r="G989" t="n">
        <v>1.5</v>
      </c>
      <c r="H989" t="n">
        <v>0</v>
      </c>
      <c r="I989" t="n">
        <v>0</v>
      </c>
      <c r="J989" t="n">
        <v>0</v>
      </c>
      <c r="K989" t="n">
        <v>0</v>
      </c>
      <c r="L989" t="n">
        <v>0</v>
      </c>
      <c r="M989" t="n">
        <v>0</v>
      </c>
      <c r="N989" t="n">
        <v>0</v>
      </c>
      <c r="O989" t="n">
        <v>0</v>
      </c>
      <c r="P989" t="n">
        <v>0</v>
      </c>
      <c r="Q989" t="n">
        <v>0</v>
      </c>
      <c r="R989" s="2" t="inlineStr"/>
    </row>
    <row r="990" ht="15" customHeight="1">
      <c r="A990" t="inlineStr">
        <is>
          <t>A 3187-2023</t>
        </is>
      </c>
      <c r="B990" s="1" t="n">
        <v>44946</v>
      </c>
      <c r="C990" s="1" t="n">
        <v>45799</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3185-2023</t>
        </is>
      </c>
      <c r="B991" s="1" t="n">
        <v>44946</v>
      </c>
      <c r="C991" s="1" t="n">
        <v>45799</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3190-2023</t>
        </is>
      </c>
      <c r="B992" s="1" t="n">
        <v>44946</v>
      </c>
      <c r="C992" s="1" t="n">
        <v>45799</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3867-2023</t>
        </is>
      </c>
      <c r="B993" s="1" t="n">
        <v>44951</v>
      </c>
      <c r="C993" s="1" t="n">
        <v>45799</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4508-2023</t>
        </is>
      </c>
      <c r="B994" s="1" t="n">
        <v>44956</v>
      </c>
      <c r="C994" s="1" t="n">
        <v>45799</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4624-2023</t>
        </is>
      </c>
      <c r="B995" s="1" t="n">
        <v>44956</v>
      </c>
      <c r="C995" s="1" t="n">
        <v>45799</v>
      </c>
      <c r="D995" t="inlineStr">
        <is>
          <t>KALMAR LÄN</t>
        </is>
      </c>
      <c r="E995" t="inlineStr">
        <is>
          <t>VÄSTERVIK</t>
        </is>
      </c>
      <c r="F995" t="inlineStr">
        <is>
          <t>Holmen skog AB</t>
        </is>
      </c>
      <c r="G995" t="n">
        <v>7.1</v>
      </c>
      <c r="H995" t="n">
        <v>0</v>
      </c>
      <c r="I995" t="n">
        <v>0</v>
      </c>
      <c r="J995" t="n">
        <v>0</v>
      </c>
      <c r="K995" t="n">
        <v>0</v>
      </c>
      <c r="L995" t="n">
        <v>0</v>
      </c>
      <c r="M995" t="n">
        <v>0</v>
      </c>
      <c r="N995" t="n">
        <v>0</v>
      </c>
      <c r="O995" t="n">
        <v>0</v>
      </c>
      <c r="P995" t="n">
        <v>0</v>
      </c>
      <c r="Q995" t="n">
        <v>0</v>
      </c>
      <c r="R995" s="2" t="inlineStr"/>
    </row>
    <row r="996" ht="15" customHeight="1">
      <c r="A996" t="inlineStr">
        <is>
          <t>A 4579-2023</t>
        </is>
      </c>
      <c r="B996" s="1" t="n">
        <v>44956</v>
      </c>
      <c r="C996" s="1" t="n">
        <v>45799</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4583-2023</t>
        </is>
      </c>
      <c r="B997" s="1" t="n">
        <v>44956</v>
      </c>
      <c r="C997" s="1" t="n">
        <v>45799</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4951-2023</t>
        </is>
      </c>
      <c r="B998" s="1" t="n">
        <v>44958</v>
      </c>
      <c r="C998" s="1" t="n">
        <v>45799</v>
      </c>
      <c r="D998" t="inlineStr">
        <is>
          <t>KALMAR LÄN</t>
        </is>
      </c>
      <c r="E998" t="inlineStr">
        <is>
          <t>VÄSTERVIK</t>
        </is>
      </c>
      <c r="G998" t="n">
        <v>1.3</v>
      </c>
      <c r="H998" t="n">
        <v>0</v>
      </c>
      <c r="I998" t="n">
        <v>0</v>
      </c>
      <c r="J998" t="n">
        <v>0</v>
      </c>
      <c r="K998" t="n">
        <v>0</v>
      </c>
      <c r="L998" t="n">
        <v>0</v>
      </c>
      <c r="M998" t="n">
        <v>0</v>
      </c>
      <c r="N998" t="n">
        <v>0</v>
      </c>
      <c r="O998" t="n">
        <v>0</v>
      </c>
      <c r="P998" t="n">
        <v>0</v>
      </c>
      <c r="Q998" t="n">
        <v>0</v>
      </c>
      <c r="R998" s="2" t="inlineStr"/>
    </row>
    <row r="999" ht="15" customHeight="1">
      <c r="A999" t="inlineStr">
        <is>
          <t>A 5684-2023</t>
        </is>
      </c>
      <c r="B999" s="1" t="n">
        <v>44960</v>
      </c>
      <c r="C999" s="1" t="n">
        <v>45799</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6346-2023</t>
        </is>
      </c>
      <c r="B1000" s="1" t="n">
        <v>44960</v>
      </c>
      <c r="C1000" s="1" t="n">
        <v>45799</v>
      </c>
      <c r="D1000" t="inlineStr">
        <is>
          <t>KALMAR LÄN</t>
        </is>
      </c>
      <c r="E1000" t="inlineStr">
        <is>
          <t>VÄSTERVIK</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5775-2023</t>
        </is>
      </c>
      <c r="B1001" s="1" t="n">
        <v>44963</v>
      </c>
      <c r="C1001" s="1" t="n">
        <v>45799</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5769-2023</t>
        </is>
      </c>
      <c r="B1002" s="1" t="n">
        <v>44963</v>
      </c>
      <c r="C1002" s="1" t="n">
        <v>45799</v>
      </c>
      <c r="D1002" t="inlineStr">
        <is>
          <t>KALMAR LÄN</t>
        </is>
      </c>
      <c r="E1002" t="inlineStr">
        <is>
          <t>VÄSTERVIK</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5774-2023</t>
        </is>
      </c>
      <c r="B1003" s="1" t="n">
        <v>44963</v>
      </c>
      <c r="C1003" s="1" t="n">
        <v>45799</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6042-2023</t>
        </is>
      </c>
      <c r="B1004" s="1" t="n">
        <v>44964</v>
      </c>
      <c r="C1004" s="1" t="n">
        <v>45799</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5982-2023</t>
        </is>
      </c>
      <c r="B1005" s="1" t="n">
        <v>44964</v>
      </c>
      <c r="C1005" s="1" t="n">
        <v>45799</v>
      </c>
      <c r="D1005" t="inlineStr">
        <is>
          <t>KALMAR LÄN</t>
        </is>
      </c>
      <c r="E1005" t="inlineStr">
        <is>
          <t>VÄSTERVIK</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6126-2023</t>
        </is>
      </c>
      <c r="B1006" s="1" t="n">
        <v>44964</v>
      </c>
      <c r="C1006" s="1" t="n">
        <v>45799</v>
      </c>
      <c r="D1006" t="inlineStr">
        <is>
          <t>KALMAR LÄN</t>
        </is>
      </c>
      <c r="E1006" t="inlineStr">
        <is>
          <t>VÄSTERVIK</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6319-2023</t>
        </is>
      </c>
      <c r="B1007" s="1" t="n">
        <v>44965</v>
      </c>
      <c r="C1007" s="1" t="n">
        <v>45799</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7126-2023</t>
        </is>
      </c>
      <c r="B1008" s="1" t="n">
        <v>44970</v>
      </c>
      <c r="C1008" s="1" t="n">
        <v>45799</v>
      </c>
      <c r="D1008" t="inlineStr">
        <is>
          <t>KALMAR LÄN</t>
        </is>
      </c>
      <c r="E1008" t="inlineStr">
        <is>
          <t>VÄSTERVIK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7080-2023</t>
        </is>
      </c>
      <c r="B1009" s="1" t="n">
        <v>44970</v>
      </c>
      <c r="C1009" s="1" t="n">
        <v>45799</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7098-2023</t>
        </is>
      </c>
      <c r="B1010" s="1" t="n">
        <v>44970</v>
      </c>
      <c r="C1010" s="1" t="n">
        <v>45799</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7255-2023</t>
        </is>
      </c>
      <c r="B1011" s="1" t="n">
        <v>44970</v>
      </c>
      <c r="C1011" s="1" t="n">
        <v>45799</v>
      </c>
      <c r="D1011" t="inlineStr">
        <is>
          <t>KALMAR LÄN</t>
        </is>
      </c>
      <c r="E1011" t="inlineStr">
        <is>
          <t>VÄSTERVIK</t>
        </is>
      </c>
      <c r="F1011" t="inlineStr">
        <is>
          <t>Naturvårdsverket</t>
        </is>
      </c>
      <c r="G1011" t="n">
        <v>0.6</v>
      </c>
      <c r="H1011" t="n">
        <v>0</v>
      </c>
      <c r="I1011" t="n">
        <v>0</v>
      </c>
      <c r="J1011" t="n">
        <v>0</v>
      </c>
      <c r="K1011" t="n">
        <v>0</v>
      </c>
      <c r="L1011" t="n">
        <v>0</v>
      </c>
      <c r="M1011" t="n">
        <v>0</v>
      </c>
      <c r="N1011" t="n">
        <v>0</v>
      </c>
      <c r="O1011" t="n">
        <v>0</v>
      </c>
      <c r="P1011" t="n">
        <v>0</v>
      </c>
      <c r="Q1011" t="n">
        <v>0</v>
      </c>
      <c r="R1011" s="2" t="inlineStr"/>
      <c r="U1011">
        <f>HYPERLINK("https://klasma.github.io/Logging_0883/knärot/A 7255-2023 karta knärot.png", "A 7255-2023")</f>
        <v/>
      </c>
      <c r="V1011">
        <f>HYPERLINK("https://klasma.github.io/Logging_0883/klagomål/A 7255-2023 FSC-klagomål.docx", "A 7255-2023")</f>
        <v/>
      </c>
      <c r="W1011">
        <f>HYPERLINK("https://klasma.github.io/Logging_0883/klagomålsmail/A 7255-2023 FSC-klagomål mail.docx", "A 7255-2023")</f>
        <v/>
      </c>
      <c r="X1011">
        <f>HYPERLINK("https://klasma.github.io/Logging_0883/tillsyn/A 7255-2023 tillsynsbegäran.docx", "A 7255-2023")</f>
        <v/>
      </c>
      <c r="Y1011">
        <f>HYPERLINK("https://klasma.github.io/Logging_0883/tillsynsmail/A 7255-2023 tillsynsbegäran mail.docx", "A 7255-2023")</f>
        <v/>
      </c>
    </row>
    <row r="1012" ht="15" customHeight="1">
      <c r="A1012" t="inlineStr">
        <is>
          <t>A 7100-2023</t>
        </is>
      </c>
      <c r="B1012" s="1" t="n">
        <v>44970</v>
      </c>
      <c r="C1012" s="1" t="n">
        <v>45799</v>
      </c>
      <c r="D1012" t="inlineStr">
        <is>
          <t>KALMAR LÄN</t>
        </is>
      </c>
      <c r="E1012" t="inlineStr">
        <is>
          <t>VÄSTERVIK</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7360-2023</t>
        </is>
      </c>
      <c r="B1013" s="1" t="n">
        <v>44971</v>
      </c>
      <c r="C1013" s="1" t="n">
        <v>45799</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7779-2023</t>
        </is>
      </c>
      <c r="B1014" s="1" t="n">
        <v>44973</v>
      </c>
      <c r="C1014" s="1" t="n">
        <v>45799</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8005-2023</t>
        </is>
      </c>
      <c r="B1015" s="1" t="n">
        <v>44973</v>
      </c>
      <c r="C1015" s="1" t="n">
        <v>45799</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7925-2023</t>
        </is>
      </c>
      <c r="B1016" s="1" t="n">
        <v>44973</v>
      </c>
      <c r="C1016" s="1" t="n">
        <v>45799</v>
      </c>
      <c r="D1016" t="inlineStr">
        <is>
          <t>KALMAR LÄN</t>
        </is>
      </c>
      <c r="E1016" t="inlineStr">
        <is>
          <t>VÄSTERVIK</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7934-2023</t>
        </is>
      </c>
      <c r="B1017" s="1" t="n">
        <v>44973</v>
      </c>
      <c r="C1017" s="1" t="n">
        <v>45799</v>
      </c>
      <c r="D1017" t="inlineStr">
        <is>
          <t>KALMAR LÄN</t>
        </is>
      </c>
      <c r="E1017" t="inlineStr">
        <is>
          <t>VÄSTERVIK</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7938-2023</t>
        </is>
      </c>
      <c r="B1018" s="1" t="n">
        <v>44973</v>
      </c>
      <c r="C1018" s="1" t="n">
        <v>45799</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8014-2023</t>
        </is>
      </c>
      <c r="B1019" s="1" t="n">
        <v>44973</v>
      </c>
      <c r="C1019" s="1" t="n">
        <v>45799</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8007-2023</t>
        </is>
      </c>
      <c r="B1020" s="1" t="n">
        <v>44973</v>
      </c>
      <c r="C1020" s="1" t="n">
        <v>45799</v>
      </c>
      <c r="D1020" t="inlineStr">
        <is>
          <t>KALMAR LÄN</t>
        </is>
      </c>
      <c r="E1020" t="inlineStr">
        <is>
          <t>VÄSTERVIK</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8283-2023</t>
        </is>
      </c>
      <c r="B1021" s="1" t="n">
        <v>44974</v>
      </c>
      <c r="C1021" s="1" t="n">
        <v>45799</v>
      </c>
      <c r="D1021" t="inlineStr">
        <is>
          <t>KALMAR LÄN</t>
        </is>
      </c>
      <c r="E1021" t="inlineStr">
        <is>
          <t>VÄSTERVIK</t>
        </is>
      </c>
      <c r="F1021" t="inlineStr">
        <is>
          <t>Kyrkan</t>
        </is>
      </c>
      <c r="G1021" t="n">
        <v>14.5</v>
      </c>
      <c r="H1021" t="n">
        <v>0</v>
      </c>
      <c r="I1021" t="n">
        <v>0</v>
      </c>
      <c r="J1021" t="n">
        <v>0</v>
      </c>
      <c r="K1021" t="n">
        <v>0</v>
      </c>
      <c r="L1021" t="n">
        <v>0</v>
      </c>
      <c r="M1021" t="n">
        <v>0</v>
      </c>
      <c r="N1021" t="n">
        <v>0</v>
      </c>
      <c r="O1021" t="n">
        <v>0</v>
      </c>
      <c r="P1021" t="n">
        <v>0</v>
      </c>
      <c r="Q1021" t="n">
        <v>0</v>
      </c>
      <c r="R1021" s="2" t="inlineStr"/>
    </row>
    <row r="1022" ht="15" customHeight="1">
      <c r="A1022" t="inlineStr">
        <is>
          <t>A 8289-2023</t>
        </is>
      </c>
      <c r="B1022" s="1" t="n">
        <v>44974</v>
      </c>
      <c r="C1022" s="1" t="n">
        <v>45799</v>
      </c>
      <c r="D1022" t="inlineStr">
        <is>
          <t>KALMAR LÄN</t>
        </is>
      </c>
      <c r="E1022" t="inlineStr">
        <is>
          <t>VÄSTERVIK</t>
        </is>
      </c>
      <c r="F1022" t="inlineStr">
        <is>
          <t>Kyrkan</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8456-2023</t>
        </is>
      </c>
      <c r="B1023" s="1" t="n">
        <v>44977</v>
      </c>
      <c r="C1023" s="1" t="n">
        <v>45799</v>
      </c>
      <c r="D1023" t="inlineStr">
        <is>
          <t>KALMAR LÄN</t>
        </is>
      </c>
      <c r="E1023" t="inlineStr">
        <is>
          <t>VÄSTERVIK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8382-2023</t>
        </is>
      </c>
      <c r="B1024" s="1" t="n">
        <v>44977</v>
      </c>
      <c r="C1024" s="1" t="n">
        <v>45799</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8440-2023</t>
        </is>
      </c>
      <c r="B1025" s="1" t="n">
        <v>44977</v>
      </c>
      <c r="C1025" s="1" t="n">
        <v>45799</v>
      </c>
      <c r="D1025" t="inlineStr">
        <is>
          <t>KALMAR LÄN</t>
        </is>
      </c>
      <c r="E1025" t="inlineStr">
        <is>
          <t>VÄSTERVIK</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8593-2023</t>
        </is>
      </c>
      <c r="B1026" s="1" t="n">
        <v>44977</v>
      </c>
      <c r="C1026" s="1" t="n">
        <v>45799</v>
      </c>
      <c r="D1026" t="inlineStr">
        <is>
          <t>KALMAR LÄN</t>
        </is>
      </c>
      <c r="E1026" t="inlineStr">
        <is>
          <t>VÄSTERVIK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8597-2023</t>
        </is>
      </c>
      <c r="B1027" s="1" t="n">
        <v>44977</v>
      </c>
      <c r="C1027" s="1" t="n">
        <v>45799</v>
      </c>
      <c r="D1027" t="inlineStr">
        <is>
          <t>KALMAR LÄN</t>
        </is>
      </c>
      <c r="E1027" t="inlineStr">
        <is>
          <t>VÄSTERVIK</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8594-2023</t>
        </is>
      </c>
      <c r="B1028" s="1" t="n">
        <v>44977</v>
      </c>
      <c r="C1028" s="1" t="n">
        <v>45799</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8513-2023</t>
        </is>
      </c>
      <c r="B1029" s="1" t="n">
        <v>44977</v>
      </c>
      <c r="C1029" s="1" t="n">
        <v>45799</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8561-2023</t>
        </is>
      </c>
      <c r="B1030" s="1" t="n">
        <v>44977</v>
      </c>
      <c r="C1030" s="1" t="n">
        <v>45799</v>
      </c>
      <c r="D1030" t="inlineStr">
        <is>
          <t>KALMAR LÄN</t>
        </is>
      </c>
      <c r="E1030" t="inlineStr">
        <is>
          <t>VÄSTERVIK</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8896-2023</t>
        </is>
      </c>
      <c r="B1031" s="1" t="n">
        <v>44979</v>
      </c>
      <c r="C1031" s="1" t="n">
        <v>45799</v>
      </c>
      <c r="D1031" t="inlineStr">
        <is>
          <t>KALMAR LÄN</t>
        </is>
      </c>
      <c r="E1031" t="inlineStr">
        <is>
          <t>VÄSTERVIK</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9037-2023</t>
        </is>
      </c>
      <c r="B1032" s="1" t="n">
        <v>44979</v>
      </c>
      <c r="C1032" s="1" t="n">
        <v>45799</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9111-2023</t>
        </is>
      </c>
      <c r="B1033" s="1" t="n">
        <v>44980</v>
      </c>
      <c r="C1033" s="1" t="n">
        <v>45799</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9042-2023</t>
        </is>
      </c>
      <c r="B1034" s="1" t="n">
        <v>44979</v>
      </c>
      <c r="C1034" s="1" t="n">
        <v>45799</v>
      </c>
      <c r="D1034" t="inlineStr">
        <is>
          <t>KALMAR LÄN</t>
        </is>
      </c>
      <c r="E1034" t="inlineStr">
        <is>
          <t>VÄSTERVIK</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9112-2023</t>
        </is>
      </c>
      <c r="B1035" s="1" t="n">
        <v>44979</v>
      </c>
      <c r="C1035" s="1" t="n">
        <v>45799</v>
      </c>
      <c r="D1035" t="inlineStr">
        <is>
          <t>KALMAR LÄN</t>
        </is>
      </c>
      <c r="E1035" t="inlineStr">
        <is>
          <t>VÄSTERVIK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9110-2023</t>
        </is>
      </c>
      <c r="B1036" s="1" t="n">
        <v>44979</v>
      </c>
      <c r="C1036" s="1" t="n">
        <v>45799</v>
      </c>
      <c r="D1036" t="inlineStr">
        <is>
          <t>KALMAR LÄN</t>
        </is>
      </c>
      <c r="E1036" t="inlineStr">
        <is>
          <t>VÄSTERVIK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9223-2023</t>
        </is>
      </c>
      <c r="B1037" s="1" t="n">
        <v>44980</v>
      </c>
      <c r="C1037" s="1" t="n">
        <v>45799</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9222-2023</t>
        </is>
      </c>
      <c r="B1038" s="1" t="n">
        <v>44980</v>
      </c>
      <c r="C1038" s="1" t="n">
        <v>45799</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9220-2023</t>
        </is>
      </c>
      <c r="B1039" s="1" t="n">
        <v>44980</v>
      </c>
      <c r="C1039" s="1" t="n">
        <v>45799</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9631-2023</t>
        </is>
      </c>
      <c r="B1040" s="1" t="n">
        <v>44984</v>
      </c>
      <c r="C1040" s="1" t="n">
        <v>45799</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9771-2023</t>
        </is>
      </c>
      <c r="B1041" s="1" t="n">
        <v>44984</v>
      </c>
      <c r="C1041" s="1" t="n">
        <v>45799</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9770-2023</t>
        </is>
      </c>
      <c r="B1042" s="1" t="n">
        <v>44984</v>
      </c>
      <c r="C1042" s="1" t="n">
        <v>45799</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9792-2023</t>
        </is>
      </c>
      <c r="B1043" s="1" t="n">
        <v>44984</v>
      </c>
      <c r="C1043" s="1" t="n">
        <v>45799</v>
      </c>
      <c r="D1043" t="inlineStr">
        <is>
          <t>KALMAR LÄN</t>
        </is>
      </c>
      <c r="E1043" t="inlineStr">
        <is>
          <t>VÄSTERVIK</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10419-2023</t>
        </is>
      </c>
      <c r="B1044" s="1" t="n">
        <v>44987</v>
      </c>
      <c r="C1044" s="1" t="n">
        <v>45799</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10421-2023</t>
        </is>
      </c>
      <c r="B1045" s="1" t="n">
        <v>44987</v>
      </c>
      <c r="C1045" s="1" t="n">
        <v>45799</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10665-2023</t>
        </is>
      </c>
      <c r="B1046" s="1" t="n">
        <v>44988</v>
      </c>
      <c r="C1046" s="1" t="n">
        <v>45799</v>
      </c>
      <c r="D1046" t="inlineStr">
        <is>
          <t>KALMAR LÄN</t>
        </is>
      </c>
      <c r="E1046" t="inlineStr">
        <is>
          <t>VÄSTERVIK</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10725-2023</t>
        </is>
      </c>
      <c r="B1047" s="1" t="n">
        <v>44988</v>
      </c>
      <c r="C1047" s="1" t="n">
        <v>45799</v>
      </c>
      <c r="D1047" t="inlineStr">
        <is>
          <t>KALMAR LÄN</t>
        </is>
      </c>
      <c r="E1047" t="inlineStr">
        <is>
          <t>VÄSTERVIK</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10807-2023</t>
        </is>
      </c>
      <c r="B1048" s="1" t="n">
        <v>44989</v>
      </c>
      <c r="C1048" s="1" t="n">
        <v>45799</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10801-2023</t>
        </is>
      </c>
      <c r="B1049" s="1" t="n">
        <v>44989</v>
      </c>
      <c r="C1049" s="1" t="n">
        <v>45799</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11210-2023</t>
        </is>
      </c>
      <c r="B1050" s="1" t="n">
        <v>44992</v>
      </c>
      <c r="C1050" s="1" t="n">
        <v>45799</v>
      </c>
      <c r="D1050" t="inlineStr">
        <is>
          <t>KALMAR LÄN</t>
        </is>
      </c>
      <c r="E1050" t="inlineStr">
        <is>
          <t>VÄSTERVIK</t>
        </is>
      </c>
      <c r="F1050" t="inlineStr">
        <is>
          <t>Holmen skog AB</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11276-2023</t>
        </is>
      </c>
      <c r="B1051" s="1" t="n">
        <v>44992</v>
      </c>
      <c r="C1051" s="1" t="n">
        <v>45799</v>
      </c>
      <c r="D1051" t="inlineStr">
        <is>
          <t>KALMAR LÄN</t>
        </is>
      </c>
      <c r="E1051" t="inlineStr">
        <is>
          <t>VÄSTERVIK</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11577-2023</t>
        </is>
      </c>
      <c r="B1052" s="1" t="n">
        <v>44994</v>
      </c>
      <c r="C1052" s="1" t="n">
        <v>45799</v>
      </c>
      <c r="D1052" t="inlineStr">
        <is>
          <t>KALMAR LÄN</t>
        </is>
      </c>
      <c r="E1052" t="inlineStr">
        <is>
          <t>VÄSTERVIK</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11583-2023</t>
        </is>
      </c>
      <c r="B1053" s="1" t="n">
        <v>44994</v>
      </c>
      <c r="C1053" s="1" t="n">
        <v>45799</v>
      </c>
      <c r="D1053" t="inlineStr">
        <is>
          <t>KALMAR LÄN</t>
        </is>
      </c>
      <c r="E1053" t="inlineStr">
        <is>
          <t>VÄSTERVIK</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11579-2023</t>
        </is>
      </c>
      <c r="B1054" s="1" t="n">
        <v>44994</v>
      </c>
      <c r="C1054" s="1" t="n">
        <v>45799</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11584-2023</t>
        </is>
      </c>
      <c r="B1055" s="1" t="n">
        <v>44994</v>
      </c>
      <c r="C1055" s="1" t="n">
        <v>45799</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11586-2023</t>
        </is>
      </c>
      <c r="B1056" s="1" t="n">
        <v>44994</v>
      </c>
      <c r="C1056" s="1" t="n">
        <v>45799</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11804-2023</t>
        </is>
      </c>
      <c r="B1057" s="1" t="n">
        <v>44994</v>
      </c>
      <c r="C1057" s="1" t="n">
        <v>45799</v>
      </c>
      <c r="D1057" t="inlineStr">
        <is>
          <t>KALMAR LÄN</t>
        </is>
      </c>
      <c r="E1057" t="inlineStr">
        <is>
          <t>VÄSTERVIK</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11727-2023</t>
        </is>
      </c>
      <c r="B1058" s="1" t="n">
        <v>44994</v>
      </c>
      <c r="C1058" s="1" t="n">
        <v>45799</v>
      </c>
      <c r="D1058" t="inlineStr">
        <is>
          <t>KALMAR LÄN</t>
        </is>
      </c>
      <c r="E1058" t="inlineStr">
        <is>
          <t>VÄSTERVIK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11741-2023</t>
        </is>
      </c>
      <c r="B1059" s="1" t="n">
        <v>44994</v>
      </c>
      <c r="C1059" s="1" t="n">
        <v>45799</v>
      </c>
      <c r="D1059" t="inlineStr">
        <is>
          <t>KALMAR LÄN</t>
        </is>
      </c>
      <c r="E1059" t="inlineStr">
        <is>
          <t>VÄSTERVIK</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11730-2023</t>
        </is>
      </c>
      <c r="B1060" s="1" t="n">
        <v>44994</v>
      </c>
      <c r="C1060" s="1" t="n">
        <v>45799</v>
      </c>
      <c r="D1060" t="inlineStr">
        <is>
          <t>KALMAR LÄN</t>
        </is>
      </c>
      <c r="E1060" t="inlineStr">
        <is>
          <t>VÄSTERVIK</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12504-2023</t>
        </is>
      </c>
      <c r="B1061" s="1" t="n">
        <v>44999</v>
      </c>
      <c r="C1061" s="1" t="n">
        <v>45799</v>
      </c>
      <c r="D1061" t="inlineStr">
        <is>
          <t>KALMAR LÄN</t>
        </is>
      </c>
      <c r="E1061" t="inlineStr">
        <is>
          <t>VÄSTERVIK</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12595-2023</t>
        </is>
      </c>
      <c r="B1062" s="1" t="n">
        <v>45000</v>
      </c>
      <c r="C1062" s="1" t="n">
        <v>45799</v>
      </c>
      <c r="D1062" t="inlineStr">
        <is>
          <t>KALMAR LÄN</t>
        </is>
      </c>
      <c r="E1062" t="inlineStr">
        <is>
          <t>VÄSTERVIK</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13275-2023</t>
        </is>
      </c>
      <c r="B1063" s="1" t="n">
        <v>45003</v>
      </c>
      <c r="C1063" s="1" t="n">
        <v>45799</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c r="U1063">
        <f>HYPERLINK("https://klasma.github.io/Logging_0883/knärot/A 13275-2023 karta knärot.png", "A 13275-2023")</f>
        <v/>
      </c>
      <c r="V1063">
        <f>HYPERLINK("https://klasma.github.io/Logging_0883/klagomål/A 13275-2023 FSC-klagomål.docx", "A 13275-2023")</f>
        <v/>
      </c>
      <c r="W1063">
        <f>HYPERLINK("https://klasma.github.io/Logging_0883/klagomålsmail/A 13275-2023 FSC-klagomål mail.docx", "A 13275-2023")</f>
        <v/>
      </c>
      <c r="X1063">
        <f>HYPERLINK("https://klasma.github.io/Logging_0883/tillsyn/A 13275-2023 tillsynsbegäran.docx", "A 13275-2023")</f>
        <v/>
      </c>
      <c r="Y1063">
        <f>HYPERLINK("https://klasma.github.io/Logging_0883/tillsynsmail/A 13275-2023 tillsynsbegäran mail.docx", "A 13275-2023")</f>
        <v/>
      </c>
    </row>
    <row r="1064" ht="15" customHeight="1">
      <c r="A1064" t="inlineStr">
        <is>
          <t>A 13761-2023</t>
        </is>
      </c>
      <c r="B1064" s="1" t="n">
        <v>45007</v>
      </c>
      <c r="C1064" s="1" t="n">
        <v>45799</v>
      </c>
      <c r="D1064" t="inlineStr">
        <is>
          <t>KALMAR LÄN</t>
        </is>
      </c>
      <c r="E1064" t="inlineStr">
        <is>
          <t>VÄSTERVIK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13770-2023</t>
        </is>
      </c>
      <c r="B1065" s="1" t="n">
        <v>45007</v>
      </c>
      <c r="C1065" s="1" t="n">
        <v>45799</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13841-2023</t>
        </is>
      </c>
      <c r="B1066" s="1" t="n">
        <v>45007</v>
      </c>
      <c r="C1066" s="1" t="n">
        <v>45799</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13838-2023</t>
        </is>
      </c>
      <c r="B1067" s="1" t="n">
        <v>45007</v>
      </c>
      <c r="C1067" s="1" t="n">
        <v>45799</v>
      </c>
      <c r="D1067" t="inlineStr">
        <is>
          <t>KALMAR LÄN</t>
        </is>
      </c>
      <c r="E1067" t="inlineStr">
        <is>
          <t>VÄSTERVIK</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13995-2023</t>
        </is>
      </c>
      <c r="B1068" s="1" t="n">
        <v>45008</v>
      </c>
      <c r="C1068" s="1" t="n">
        <v>45799</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14388-2023</t>
        </is>
      </c>
      <c r="B1069" s="1" t="n">
        <v>45012</v>
      </c>
      <c r="C1069" s="1" t="n">
        <v>45799</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14387-2023</t>
        </is>
      </c>
      <c r="B1070" s="1" t="n">
        <v>45012</v>
      </c>
      <c r="C1070" s="1" t="n">
        <v>45799</v>
      </c>
      <c r="D1070" t="inlineStr">
        <is>
          <t>KALMAR LÄN</t>
        </is>
      </c>
      <c r="E1070" t="inlineStr">
        <is>
          <t>VÄSTERVIK</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14385-2023</t>
        </is>
      </c>
      <c r="B1071" s="1" t="n">
        <v>45012</v>
      </c>
      <c r="C1071" s="1" t="n">
        <v>45799</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15099-2023</t>
        </is>
      </c>
      <c r="B1072" s="1" t="n">
        <v>45016</v>
      </c>
      <c r="C1072" s="1" t="n">
        <v>45799</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15106-2023</t>
        </is>
      </c>
      <c r="B1073" s="1" t="n">
        <v>45016</v>
      </c>
      <c r="C1073" s="1" t="n">
        <v>45799</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15097-2023</t>
        </is>
      </c>
      <c r="B1074" s="1" t="n">
        <v>45016</v>
      </c>
      <c r="C1074" s="1" t="n">
        <v>45799</v>
      </c>
      <c r="D1074" t="inlineStr">
        <is>
          <t>KALMAR LÄN</t>
        </is>
      </c>
      <c r="E1074" t="inlineStr">
        <is>
          <t>VÄSTERVIK</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15103-2023</t>
        </is>
      </c>
      <c r="B1075" s="1" t="n">
        <v>45016</v>
      </c>
      <c r="C1075" s="1" t="n">
        <v>45799</v>
      </c>
      <c r="D1075" t="inlineStr">
        <is>
          <t>KALMAR LÄN</t>
        </is>
      </c>
      <c r="E1075" t="inlineStr">
        <is>
          <t>VÄSTERVIK</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15270-2023</t>
        </is>
      </c>
      <c r="B1076" s="1" t="n">
        <v>45019</v>
      </c>
      <c r="C1076" s="1" t="n">
        <v>45799</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15438-2023</t>
        </is>
      </c>
      <c r="B1077" s="1" t="n">
        <v>45020</v>
      </c>
      <c r="C1077" s="1" t="n">
        <v>45799</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15761-2023</t>
        </is>
      </c>
      <c r="B1078" s="1" t="n">
        <v>45021</v>
      </c>
      <c r="C1078" s="1" t="n">
        <v>45799</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15765-2023</t>
        </is>
      </c>
      <c r="B1079" s="1" t="n">
        <v>45021</v>
      </c>
      <c r="C1079" s="1" t="n">
        <v>45799</v>
      </c>
      <c r="D1079" t="inlineStr">
        <is>
          <t>KALMAR LÄN</t>
        </is>
      </c>
      <c r="E1079" t="inlineStr">
        <is>
          <t>VÄSTERVIK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15875-2023</t>
        </is>
      </c>
      <c r="B1080" s="1" t="n">
        <v>45022</v>
      </c>
      <c r="C1080" s="1" t="n">
        <v>45799</v>
      </c>
      <c r="D1080" t="inlineStr">
        <is>
          <t>KALMAR LÄN</t>
        </is>
      </c>
      <c r="E1080" t="inlineStr">
        <is>
          <t>VÄSTERVIK</t>
        </is>
      </c>
      <c r="F1080" t="inlineStr">
        <is>
          <t>Kyrkan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16485-2023</t>
        </is>
      </c>
      <c r="B1081" s="1" t="n">
        <v>45029</v>
      </c>
      <c r="C1081" s="1" t="n">
        <v>45799</v>
      </c>
      <c r="D1081" t="inlineStr">
        <is>
          <t>KALMAR LÄN</t>
        </is>
      </c>
      <c r="E1081" t="inlineStr">
        <is>
          <t>VÄSTERVIK</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16506-2023</t>
        </is>
      </c>
      <c r="B1082" s="1" t="n">
        <v>45029</v>
      </c>
      <c r="C1082" s="1" t="n">
        <v>45799</v>
      </c>
      <c r="D1082" t="inlineStr">
        <is>
          <t>KALMAR LÄN</t>
        </is>
      </c>
      <c r="E1082" t="inlineStr">
        <is>
          <t>VÄSTERVIK</t>
        </is>
      </c>
      <c r="F1082" t="inlineStr">
        <is>
          <t>Sveaskog</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16507-2023</t>
        </is>
      </c>
      <c r="B1083" s="1" t="n">
        <v>45029</v>
      </c>
      <c r="C1083" s="1" t="n">
        <v>45799</v>
      </c>
      <c r="D1083" t="inlineStr">
        <is>
          <t>KALMAR LÄN</t>
        </is>
      </c>
      <c r="E1083" t="inlineStr">
        <is>
          <t>VÄSTERVIK</t>
        </is>
      </c>
      <c r="F1083" t="inlineStr">
        <is>
          <t>Sveaskog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16617-2023</t>
        </is>
      </c>
      <c r="B1084" s="1" t="n">
        <v>45030</v>
      </c>
      <c r="C1084" s="1" t="n">
        <v>45799</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16834-2023</t>
        </is>
      </c>
      <c r="B1085" s="1" t="n">
        <v>45033</v>
      </c>
      <c r="C1085" s="1" t="n">
        <v>45799</v>
      </c>
      <c r="D1085" t="inlineStr">
        <is>
          <t>KALMAR LÄN</t>
        </is>
      </c>
      <c r="E1085" t="inlineStr">
        <is>
          <t>VÄSTERVIK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16819-2023</t>
        </is>
      </c>
      <c r="B1086" s="1" t="n">
        <v>45033</v>
      </c>
      <c r="C1086" s="1" t="n">
        <v>45799</v>
      </c>
      <c r="D1086" t="inlineStr">
        <is>
          <t>KALMAR LÄN</t>
        </is>
      </c>
      <c r="E1086" t="inlineStr">
        <is>
          <t>VÄSTERVIK</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17307-2023</t>
        </is>
      </c>
      <c r="B1087" s="1" t="n">
        <v>45035</v>
      </c>
      <c r="C1087" s="1" t="n">
        <v>45799</v>
      </c>
      <c r="D1087" t="inlineStr">
        <is>
          <t>KALMAR LÄN</t>
        </is>
      </c>
      <c r="E1087" t="inlineStr">
        <is>
          <t>VÄSTERVIK</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17314-2023</t>
        </is>
      </c>
      <c r="B1088" s="1" t="n">
        <v>45035</v>
      </c>
      <c r="C1088" s="1" t="n">
        <v>45799</v>
      </c>
      <c r="D1088" t="inlineStr">
        <is>
          <t>KALMAR LÄN</t>
        </is>
      </c>
      <c r="E1088" t="inlineStr">
        <is>
          <t>VÄSTERVIK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17315-2023</t>
        </is>
      </c>
      <c r="B1089" s="1" t="n">
        <v>45035</v>
      </c>
      <c r="C1089" s="1" t="n">
        <v>45799</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17306-2023</t>
        </is>
      </c>
      <c r="B1090" s="1" t="n">
        <v>45035</v>
      </c>
      <c r="C1090" s="1" t="n">
        <v>45799</v>
      </c>
      <c r="D1090" t="inlineStr">
        <is>
          <t>KALMAR LÄN</t>
        </is>
      </c>
      <c r="E1090" t="inlineStr">
        <is>
          <t>VÄSTERVIK</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17313-2023</t>
        </is>
      </c>
      <c r="B1091" s="1" t="n">
        <v>45035</v>
      </c>
      <c r="C1091" s="1" t="n">
        <v>45799</v>
      </c>
      <c r="D1091" t="inlineStr">
        <is>
          <t>KALMAR LÄN</t>
        </is>
      </c>
      <c r="E1091" t="inlineStr">
        <is>
          <t>VÄSTERVIK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17317-2023</t>
        </is>
      </c>
      <c r="B1092" s="1" t="n">
        <v>45035</v>
      </c>
      <c r="C1092" s="1" t="n">
        <v>45799</v>
      </c>
      <c r="D1092" t="inlineStr">
        <is>
          <t>KALMAR LÄN</t>
        </is>
      </c>
      <c r="E1092" t="inlineStr">
        <is>
          <t>VÄSTERVIK</t>
        </is>
      </c>
      <c r="G1092" t="n">
        <v>2.5</v>
      </c>
      <c r="H1092" t="n">
        <v>0</v>
      </c>
      <c r="I1092" t="n">
        <v>0</v>
      </c>
      <c r="J1092" t="n">
        <v>0</v>
      </c>
      <c r="K1092" t="n">
        <v>0</v>
      </c>
      <c r="L1092" t="n">
        <v>0</v>
      </c>
      <c r="M1092" t="n">
        <v>0</v>
      </c>
      <c r="N1092" t="n">
        <v>0</v>
      </c>
      <c r="O1092" t="n">
        <v>0</v>
      </c>
      <c r="P1092" t="n">
        <v>0</v>
      </c>
      <c r="Q1092" t="n">
        <v>0</v>
      </c>
      <c r="R1092" s="2" t="inlineStr"/>
      <c r="U1092">
        <f>HYPERLINK("https://klasma.github.io/Logging_0883/knärot/A 17317-2023 karta knärot.png", "A 17317-2023")</f>
        <v/>
      </c>
      <c r="V1092">
        <f>HYPERLINK("https://klasma.github.io/Logging_0883/klagomål/A 17317-2023 FSC-klagomål.docx", "A 17317-2023")</f>
        <v/>
      </c>
      <c r="W1092">
        <f>HYPERLINK("https://klasma.github.io/Logging_0883/klagomålsmail/A 17317-2023 FSC-klagomål mail.docx", "A 17317-2023")</f>
        <v/>
      </c>
      <c r="X1092">
        <f>HYPERLINK("https://klasma.github.io/Logging_0883/tillsyn/A 17317-2023 tillsynsbegäran.docx", "A 17317-2023")</f>
        <v/>
      </c>
      <c r="Y1092">
        <f>HYPERLINK("https://klasma.github.io/Logging_0883/tillsynsmail/A 17317-2023 tillsynsbegäran mail.docx", "A 17317-2023")</f>
        <v/>
      </c>
    </row>
    <row r="1093" ht="15" customHeight="1">
      <c r="A1093" t="inlineStr">
        <is>
          <t>A 17467-2023</t>
        </is>
      </c>
      <c r="B1093" s="1" t="n">
        <v>45036</v>
      </c>
      <c r="C1093" s="1" t="n">
        <v>45799</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17642-2023</t>
        </is>
      </c>
      <c r="B1094" s="1" t="n">
        <v>45036</v>
      </c>
      <c r="C1094" s="1" t="n">
        <v>45799</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17644-2023</t>
        </is>
      </c>
      <c r="B1095" s="1" t="n">
        <v>45036</v>
      </c>
      <c r="C1095" s="1" t="n">
        <v>45799</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17650-2023</t>
        </is>
      </c>
      <c r="B1096" s="1" t="n">
        <v>45036</v>
      </c>
      <c r="C1096" s="1" t="n">
        <v>45799</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17645-2023</t>
        </is>
      </c>
      <c r="B1097" s="1" t="n">
        <v>45036</v>
      </c>
      <c r="C1097" s="1" t="n">
        <v>45799</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17652-2023</t>
        </is>
      </c>
      <c r="B1098" s="1" t="n">
        <v>45036</v>
      </c>
      <c r="C1098" s="1" t="n">
        <v>45799</v>
      </c>
      <c r="D1098" t="inlineStr">
        <is>
          <t>KALMAR LÄN</t>
        </is>
      </c>
      <c r="E1098" t="inlineStr">
        <is>
          <t>VÄSTERVIK</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17643-2023</t>
        </is>
      </c>
      <c r="B1099" s="1" t="n">
        <v>45036</v>
      </c>
      <c r="C1099" s="1" t="n">
        <v>45799</v>
      </c>
      <c r="D1099" t="inlineStr">
        <is>
          <t>KALMAR LÄN</t>
        </is>
      </c>
      <c r="E1099" t="inlineStr">
        <is>
          <t>VÄSTERVIK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17648-2023</t>
        </is>
      </c>
      <c r="B1100" s="1" t="n">
        <v>45036</v>
      </c>
      <c r="C1100" s="1" t="n">
        <v>45799</v>
      </c>
      <c r="D1100" t="inlineStr">
        <is>
          <t>KALMAR LÄN</t>
        </is>
      </c>
      <c r="E1100" t="inlineStr">
        <is>
          <t>VÄSTERVIK</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18051-2023</t>
        </is>
      </c>
      <c r="B1101" s="1" t="n">
        <v>45040</v>
      </c>
      <c r="C1101" s="1" t="n">
        <v>45799</v>
      </c>
      <c r="D1101" t="inlineStr">
        <is>
          <t>KALMAR LÄN</t>
        </is>
      </c>
      <c r="E1101" t="inlineStr">
        <is>
          <t>VÄSTERVIK</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18071-2023</t>
        </is>
      </c>
      <c r="B1102" s="1" t="n">
        <v>45040</v>
      </c>
      <c r="C1102" s="1" t="n">
        <v>45799</v>
      </c>
      <c r="D1102" t="inlineStr">
        <is>
          <t>KALMAR LÄN</t>
        </is>
      </c>
      <c r="E1102" t="inlineStr">
        <is>
          <t>VÄSTERVIK</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18068-2023</t>
        </is>
      </c>
      <c r="B1103" s="1" t="n">
        <v>45040</v>
      </c>
      <c r="C1103" s="1" t="n">
        <v>45799</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18079-2023</t>
        </is>
      </c>
      <c r="B1104" s="1" t="n">
        <v>45040</v>
      </c>
      <c r="C1104" s="1" t="n">
        <v>45799</v>
      </c>
      <c r="D1104" t="inlineStr">
        <is>
          <t>KALMAR LÄN</t>
        </is>
      </c>
      <c r="E1104" t="inlineStr">
        <is>
          <t>VÄSTERVIK</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18048-2023</t>
        </is>
      </c>
      <c r="B1105" s="1" t="n">
        <v>45040</v>
      </c>
      <c r="C1105" s="1" t="n">
        <v>45799</v>
      </c>
      <c r="D1105" t="inlineStr">
        <is>
          <t>KALMAR LÄN</t>
        </is>
      </c>
      <c r="E1105" t="inlineStr">
        <is>
          <t>VÄSTERVIK</t>
        </is>
      </c>
      <c r="F1105" t="inlineStr">
        <is>
          <t>Sveaskog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18081-2023</t>
        </is>
      </c>
      <c r="B1106" s="1" t="n">
        <v>45040</v>
      </c>
      <c r="C1106" s="1" t="n">
        <v>45799</v>
      </c>
      <c r="D1106" t="inlineStr">
        <is>
          <t>KALMAR LÄN</t>
        </is>
      </c>
      <c r="E1106" t="inlineStr">
        <is>
          <t>VÄSTERVIK</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18858-2023</t>
        </is>
      </c>
      <c r="B1107" s="1" t="n">
        <v>45044</v>
      </c>
      <c r="C1107" s="1" t="n">
        <v>45799</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18859-2023</t>
        </is>
      </c>
      <c r="B1108" s="1" t="n">
        <v>45044</v>
      </c>
      <c r="C1108" s="1" t="n">
        <v>45799</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18960-2023</t>
        </is>
      </c>
      <c r="B1109" s="1" t="n">
        <v>45044</v>
      </c>
      <c r="C1109" s="1" t="n">
        <v>45799</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19110-2023</t>
        </is>
      </c>
      <c r="B1110" s="1" t="n">
        <v>45048</v>
      </c>
      <c r="C1110" s="1" t="n">
        <v>45799</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19212-2023</t>
        </is>
      </c>
      <c r="B1111" s="1" t="n">
        <v>45048</v>
      </c>
      <c r="C1111" s="1" t="n">
        <v>45799</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19365-2023</t>
        </is>
      </c>
      <c r="B1112" s="1" t="n">
        <v>45049</v>
      </c>
      <c r="C1112" s="1" t="n">
        <v>45799</v>
      </c>
      <c r="D1112" t="inlineStr">
        <is>
          <t>KALMAR LÄN</t>
        </is>
      </c>
      <c r="E1112" t="inlineStr">
        <is>
          <t>VÄSTERVIK</t>
        </is>
      </c>
      <c r="G1112" t="n">
        <v>5.8</v>
      </c>
      <c r="H1112" t="n">
        <v>0</v>
      </c>
      <c r="I1112" t="n">
        <v>0</v>
      </c>
      <c r="J1112" t="n">
        <v>0</v>
      </c>
      <c r="K1112" t="n">
        <v>0</v>
      </c>
      <c r="L1112" t="n">
        <v>0</v>
      </c>
      <c r="M1112" t="n">
        <v>0</v>
      </c>
      <c r="N1112" t="n">
        <v>0</v>
      </c>
      <c r="O1112" t="n">
        <v>0</v>
      </c>
      <c r="P1112" t="n">
        <v>0</v>
      </c>
      <c r="Q1112" t="n">
        <v>0</v>
      </c>
      <c r="R1112" s="2" t="inlineStr"/>
      <c r="U1112">
        <f>HYPERLINK("https://klasma.github.io/Logging_0883/knärot/A 19365-2023 karta knärot.png", "A 19365-2023")</f>
        <v/>
      </c>
      <c r="V1112">
        <f>HYPERLINK("https://klasma.github.io/Logging_0883/klagomål/A 19365-2023 FSC-klagomål.docx", "A 19365-2023")</f>
        <v/>
      </c>
      <c r="W1112">
        <f>HYPERLINK("https://klasma.github.io/Logging_0883/klagomålsmail/A 19365-2023 FSC-klagomål mail.docx", "A 19365-2023")</f>
        <v/>
      </c>
      <c r="X1112">
        <f>HYPERLINK("https://klasma.github.io/Logging_0883/tillsyn/A 19365-2023 tillsynsbegäran.docx", "A 19365-2023")</f>
        <v/>
      </c>
      <c r="Y1112">
        <f>HYPERLINK("https://klasma.github.io/Logging_0883/tillsynsmail/A 19365-2023 tillsynsbegäran mail.docx", "A 19365-2023")</f>
        <v/>
      </c>
    </row>
    <row r="1113" ht="15" customHeight="1">
      <c r="A1113" t="inlineStr">
        <is>
          <t>A 19333-2023</t>
        </is>
      </c>
      <c r="B1113" s="1" t="n">
        <v>45049</v>
      </c>
      <c r="C1113" s="1" t="n">
        <v>45799</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19551-2023</t>
        </is>
      </c>
      <c r="B1114" s="1" t="n">
        <v>45049</v>
      </c>
      <c r="C1114" s="1" t="n">
        <v>45799</v>
      </c>
      <c r="D1114" t="inlineStr">
        <is>
          <t>KALMAR LÄN</t>
        </is>
      </c>
      <c r="E1114" t="inlineStr">
        <is>
          <t>VÄSTERVIK</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19638-2023</t>
        </is>
      </c>
      <c r="B1115" s="1" t="n">
        <v>45051</v>
      </c>
      <c r="C1115" s="1" t="n">
        <v>45799</v>
      </c>
      <c r="D1115" t="inlineStr">
        <is>
          <t>KALMAR LÄN</t>
        </is>
      </c>
      <c r="E1115" t="inlineStr">
        <is>
          <t>VÄSTERVIK</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19660-2023</t>
        </is>
      </c>
      <c r="B1116" s="1" t="n">
        <v>45051</v>
      </c>
      <c r="C1116" s="1" t="n">
        <v>45799</v>
      </c>
      <c r="D1116" t="inlineStr">
        <is>
          <t>KALMAR LÄN</t>
        </is>
      </c>
      <c r="E1116" t="inlineStr">
        <is>
          <t>VÄSTERVIK</t>
        </is>
      </c>
      <c r="F1116" t="inlineStr">
        <is>
          <t>Övriga Aktiebolag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19639-2023</t>
        </is>
      </c>
      <c r="B1117" s="1" t="n">
        <v>45051</v>
      </c>
      <c r="C1117" s="1" t="n">
        <v>45799</v>
      </c>
      <c r="D1117" t="inlineStr">
        <is>
          <t>KALMAR LÄN</t>
        </is>
      </c>
      <c r="E1117" t="inlineStr">
        <is>
          <t>VÄSTERVIK</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19640-2023</t>
        </is>
      </c>
      <c r="B1118" s="1" t="n">
        <v>45051</v>
      </c>
      <c r="C1118" s="1" t="n">
        <v>45799</v>
      </c>
      <c r="D1118" t="inlineStr">
        <is>
          <t>KALMAR LÄN</t>
        </is>
      </c>
      <c r="E1118" t="inlineStr">
        <is>
          <t>VÄSTERVIK</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19864-2023</t>
        </is>
      </c>
      <c r="B1119" s="1" t="n">
        <v>45053</v>
      </c>
      <c r="C1119" s="1" t="n">
        <v>45799</v>
      </c>
      <c r="D1119" t="inlineStr">
        <is>
          <t>KALMAR LÄN</t>
        </is>
      </c>
      <c r="E1119" t="inlineStr">
        <is>
          <t>VÄSTERVIK</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20637-2023</t>
        </is>
      </c>
      <c r="B1120" s="1" t="n">
        <v>45057</v>
      </c>
      <c r="C1120" s="1" t="n">
        <v>45799</v>
      </c>
      <c r="D1120" t="inlineStr">
        <is>
          <t>KALMAR LÄN</t>
        </is>
      </c>
      <c r="E1120" t="inlineStr">
        <is>
          <t>VÄSTERVIK</t>
        </is>
      </c>
      <c r="F1120" t="inlineStr">
        <is>
          <t>Holmen skog AB</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20774-2023</t>
        </is>
      </c>
      <c r="B1121" s="1" t="n">
        <v>45058</v>
      </c>
      <c r="C1121" s="1" t="n">
        <v>45799</v>
      </c>
      <c r="D1121" t="inlineStr">
        <is>
          <t>KALMAR LÄN</t>
        </is>
      </c>
      <c r="E1121" t="inlineStr">
        <is>
          <t>VÄSTERVIK</t>
        </is>
      </c>
      <c r="F1121" t="inlineStr">
        <is>
          <t>Sveaskog</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21122-2023</t>
        </is>
      </c>
      <c r="B1122" s="1" t="n">
        <v>45062</v>
      </c>
      <c r="C1122" s="1" t="n">
        <v>45799</v>
      </c>
      <c r="D1122" t="inlineStr">
        <is>
          <t>KALMAR LÄN</t>
        </is>
      </c>
      <c r="E1122" t="inlineStr">
        <is>
          <t>VÄSTERVIK</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21286-2023</t>
        </is>
      </c>
      <c r="B1123" s="1" t="n">
        <v>45062</v>
      </c>
      <c r="C1123" s="1" t="n">
        <v>45799</v>
      </c>
      <c r="D1123" t="inlineStr">
        <is>
          <t>KALMAR LÄN</t>
        </is>
      </c>
      <c r="E1123" t="inlineStr">
        <is>
          <t>VÄSTERVIK</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21447-2023</t>
        </is>
      </c>
      <c r="B1124" s="1" t="n">
        <v>45063</v>
      </c>
      <c r="C1124" s="1" t="n">
        <v>45799</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21826-2023</t>
        </is>
      </c>
      <c r="B1125" s="1" t="n">
        <v>45068</v>
      </c>
      <c r="C1125" s="1" t="n">
        <v>45799</v>
      </c>
      <c r="D1125" t="inlineStr">
        <is>
          <t>KALMAR LÄN</t>
        </is>
      </c>
      <c r="E1125" t="inlineStr">
        <is>
          <t>VÄSTERVIK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21831-2023</t>
        </is>
      </c>
      <c r="B1126" s="1" t="n">
        <v>45068</v>
      </c>
      <c r="C1126" s="1" t="n">
        <v>45799</v>
      </c>
      <c r="D1126" t="inlineStr">
        <is>
          <t>KALMAR LÄN</t>
        </is>
      </c>
      <c r="E1126" t="inlineStr">
        <is>
          <t>VÄSTERVIK</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21939-2023</t>
        </is>
      </c>
      <c r="B1127" s="1" t="n">
        <v>45068</v>
      </c>
      <c r="C1127" s="1" t="n">
        <v>45799</v>
      </c>
      <c r="D1127" t="inlineStr">
        <is>
          <t>KALMAR LÄN</t>
        </is>
      </c>
      <c r="E1127" t="inlineStr">
        <is>
          <t>VÄSTERVIK</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21823-2023</t>
        </is>
      </c>
      <c r="B1128" s="1" t="n">
        <v>45068</v>
      </c>
      <c r="C1128" s="1" t="n">
        <v>45799</v>
      </c>
      <c r="D1128" t="inlineStr">
        <is>
          <t>KALMAR LÄN</t>
        </is>
      </c>
      <c r="E1128" t="inlineStr">
        <is>
          <t>VÄSTERVIK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21830-2023</t>
        </is>
      </c>
      <c r="B1129" s="1" t="n">
        <v>45068</v>
      </c>
      <c r="C1129" s="1" t="n">
        <v>45799</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21824-2023</t>
        </is>
      </c>
      <c r="B1130" s="1" t="n">
        <v>45068</v>
      </c>
      <c r="C1130" s="1" t="n">
        <v>45799</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21829-2023</t>
        </is>
      </c>
      <c r="B1131" s="1" t="n">
        <v>45068</v>
      </c>
      <c r="C1131" s="1" t="n">
        <v>45799</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21942-2023</t>
        </is>
      </c>
      <c r="B1132" s="1" t="n">
        <v>45068</v>
      </c>
      <c r="C1132" s="1" t="n">
        <v>45799</v>
      </c>
      <c r="D1132" t="inlineStr">
        <is>
          <t>KALMAR LÄN</t>
        </is>
      </c>
      <c r="E1132" t="inlineStr">
        <is>
          <t>VÄSTERVIK</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21940-2023</t>
        </is>
      </c>
      <c r="B1133" s="1" t="n">
        <v>45068</v>
      </c>
      <c r="C1133" s="1" t="n">
        <v>45799</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23439-2023</t>
        </is>
      </c>
      <c r="B1134" s="1" t="n">
        <v>45072</v>
      </c>
      <c r="C1134" s="1" t="n">
        <v>45799</v>
      </c>
      <c r="D1134" t="inlineStr">
        <is>
          <t>KALMAR LÄN</t>
        </is>
      </c>
      <c r="E1134" t="inlineStr">
        <is>
          <t>VÄSTERVIK</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23080-2023</t>
        </is>
      </c>
      <c r="B1135" s="1" t="n">
        <v>45075</v>
      </c>
      <c r="C1135" s="1" t="n">
        <v>45799</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23317-2023</t>
        </is>
      </c>
      <c r="B1136" s="1" t="n">
        <v>45076</v>
      </c>
      <c r="C1136" s="1" t="n">
        <v>45799</v>
      </c>
      <c r="D1136" t="inlineStr">
        <is>
          <t>KALMAR LÄN</t>
        </is>
      </c>
      <c r="E1136" t="inlineStr">
        <is>
          <t>VÄSTERVIK</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23316-2023</t>
        </is>
      </c>
      <c r="B1137" s="1" t="n">
        <v>45076</v>
      </c>
      <c r="C1137" s="1" t="n">
        <v>45799</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23580-2023</t>
        </is>
      </c>
      <c r="B1138" s="1" t="n">
        <v>45077</v>
      </c>
      <c r="C1138" s="1" t="n">
        <v>45799</v>
      </c>
      <c r="D1138" t="inlineStr">
        <is>
          <t>KALMAR LÄN</t>
        </is>
      </c>
      <c r="E1138" t="inlineStr">
        <is>
          <t>VÄSTERVIK</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25403-2023</t>
        </is>
      </c>
      <c r="B1139" s="1" t="n">
        <v>45079</v>
      </c>
      <c r="C1139" s="1" t="n">
        <v>45799</v>
      </c>
      <c r="D1139" t="inlineStr">
        <is>
          <t>KALMAR LÄN</t>
        </is>
      </c>
      <c r="E1139" t="inlineStr">
        <is>
          <t>VÄSTERVIK</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24877-2023</t>
        </is>
      </c>
      <c r="B1140" s="1" t="n">
        <v>45085</v>
      </c>
      <c r="C1140" s="1" t="n">
        <v>45799</v>
      </c>
      <c r="D1140" t="inlineStr">
        <is>
          <t>KALMAR LÄN</t>
        </is>
      </c>
      <c r="E1140" t="inlineStr">
        <is>
          <t>VÄSTERVIK</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24881-2023</t>
        </is>
      </c>
      <c r="B1141" s="1" t="n">
        <v>45085</v>
      </c>
      <c r="C1141" s="1" t="n">
        <v>45799</v>
      </c>
      <c r="D1141" t="inlineStr">
        <is>
          <t>KALMAR LÄN</t>
        </is>
      </c>
      <c r="E1141" t="inlineStr">
        <is>
          <t>VÄSTERVIK</t>
        </is>
      </c>
      <c r="F1141" t="inlineStr">
        <is>
          <t>Holmen skog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24893-2023</t>
        </is>
      </c>
      <c r="B1142" s="1" t="n">
        <v>45085</v>
      </c>
      <c r="C1142" s="1" t="n">
        <v>45799</v>
      </c>
      <c r="D1142" t="inlineStr">
        <is>
          <t>KALMAR LÄN</t>
        </is>
      </c>
      <c r="E1142" t="inlineStr">
        <is>
          <t>VÄSTERVIK</t>
        </is>
      </c>
      <c r="F1142" t="inlineStr">
        <is>
          <t>Holmen skog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25180-2023</t>
        </is>
      </c>
      <c r="B1143" s="1" t="n">
        <v>45086</v>
      </c>
      <c r="C1143" s="1" t="n">
        <v>45799</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25434-2023</t>
        </is>
      </c>
      <c r="B1144" s="1" t="n">
        <v>45089</v>
      </c>
      <c r="C1144" s="1" t="n">
        <v>45799</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25440-2023</t>
        </is>
      </c>
      <c r="B1145" s="1" t="n">
        <v>45089</v>
      </c>
      <c r="C1145" s="1" t="n">
        <v>45799</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25568-2023</t>
        </is>
      </c>
      <c r="B1146" s="1" t="n">
        <v>45089</v>
      </c>
      <c r="C1146" s="1" t="n">
        <v>45799</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25488-2023</t>
        </is>
      </c>
      <c r="B1147" s="1" t="n">
        <v>45089</v>
      </c>
      <c r="C1147" s="1" t="n">
        <v>45799</v>
      </c>
      <c r="D1147" t="inlineStr">
        <is>
          <t>KALMAR LÄN</t>
        </is>
      </c>
      <c r="E1147" t="inlineStr">
        <is>
          <t>VÄSTERVIK</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25518-2023</t>
        </is>
      </c>
      <c r="B1148" s="1" t="n">
        <v>45089</v>
      </c>
      <c r="C1148" s="1" t="n">
        <v>45799</v>
      </c>
      <c r="D1148" t="inlineStr">
        <is>
          <t>KALMAR LÄN</t>
        </is>
      </c>
      <c r="E1148" t="inlineStr">
        <is>
          <t>VÄSTERVIK</t>
        </is>
      </c>
      <c r="F1148" t="inlineStr">
        <is>
          <t>Holmen skog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25714-2023</t>
        </is>
      </c>
      <c r="B1149" s="1" t="n">
        <v>45089</v>
      </c>
      <c r="C1149" s="1" t="n">
        <v>45799</v>
      </c>
      <c r="D1149" t="inlineStr">
        <is>
          <t>KALMAR LÄN</t>
        </is>
      </c>
      <c r="E1149" t="inlineStr">
        <is>
          <t>VÄSTERVIK</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25801-2023</t>
        </is>
      </c>
      <c r="B1150" s="1" t="n">
        <v>45090</v>
      </c>
      <c r="C1150" s="1" t="n">
        <v>45799</v>
      </c>
      <c r="D1150" t="inlineStr">
        <is>
          <t>KALMAR LÄN</t>
        </is>
      </c>
      <c r="E1150" t="inlineStr">
        <is>
          <t>VÄSTERVIK</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26244-2023</t>
        </is>
      </c>
      <c r="B1151" s="1" t="n">
        <v>45091</v>
      </c>
      <c r="C1151" s="1" t="n">
        <v>45799</v>
      </c>
      <c r="D1151" t="inlineStr">
        <is>
          <t>KALMAR LÄN</t>
        </is>
      </c>
      <c r="E1151" t="inlineStr">
        <is>
          <t>VÄSTERVIK</t>
        </is>
      </c>
      <c r="F1151" t="inlineStr">
        <is>
          <t>Holmen skog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26073-2023</t>
        </is>
      </c>
      <c r="B1152" s="1" t="n">
        <v>45091</v>
      </c>
      <c r="C1152" s="1" t="n">
        <v>45799</v>
      </c>
      <c r="D1152" t="inlineStr">
        <is>
          <t>KALMAR LÄN</t>
        </is>
      </c>
      <c r="E1152" t="inlineStr">
        <is>
          <t>VÄSTERVIK</t>
        </is>
      </c>
      <c r="F1152" t="inlineStr">
        <is>
          <t>Sveaskog</t>
        </is>
      </c>
      <c r="G1152" t="n">
        <v>21.2</v>
      </c>
      <c r="H1152" t="n">
        <v>0</v>
      </c>
      <c r="I1152" t="n">
        <v>0</v>
      </c>
      <c r="J1152" t="n">
        <v>0</v>
      </c>
      <c r="K1152" t="n">
        <v>0</v>
      </c>
      <c r="L1152" t="n">
        <v>0</v>
      </c>
      <c r="M1152" t="n">
        <v>0</v>
      </c>
      <c r="N1152" t="n">
        <v>0</v>
      </c>
      <c r="O1152" t="n">
        <v>0</v>
      </c>
      <c r="P1152" t="n">
        <v>0</v>
      </c>
      <c r="Q1152" t="n">
        <v>0</v>
      </c>
      <c r="R1152" s="2" t="inlineStr"/>
    </row>
    <row r="1153" ht="15" customHeight="1">
      <c r="A1153" t="inlineStr">
        <is>
          <t>A 26773-2023</t>
        </is>
      </c>
      <c r="B1153" s="1" t="n">
        <v>45093</v>
      </c>
      <c r="C1153" s="1" t="n">
        <v>45799</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26772-2023</t>
        </is>
      </c>
      <c r="B1154" s="1" t="n">
        <v>45093</v>
      </c>
      <c r="C1154" s="1" t="n">
        <v>45799</v>
      </c>
      <c r="D1154" t="inlineStr">
        <is>
          <t>KALMAR LÄN</t>
        </is>
      </c>
      <c r="E1154" t="inlineStr">
        <is>
          <t>VÄSTERVIK</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26776-2023</t>
        </is>
      </c>
      <c r="B1155" s="1" t="n">
        <v>45093</v>
      </c>
      <c r="C1155" s="1" t="n">
        <v>45799</v>
      </c>
      <c r="D1155" t="inlineStr">
        <is>
          <t>KALMAR LÄN</t>
        </is>
      </c>
      <c r="E1155" t="inlineStr">
        <is>
          <t>VÄSTERVIK</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26770-2023</t>
        </is>
      </c>
      <c r="B1156" s="1" t="n">
        <v>45093</v>
      </c>
      <c r="C1156" s="1" t="n">
        <v>45799</v>
      </c>
      <c r="D1156" t="inlineStr">
        <is>
          <t>KALMAR LÄN</t>
        </is>
      </c>
      <c r="E1156" t="inlineStr">
        <is>
          <t>VÄSTERVIK</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26775-2023</t>
        </is>
      </c>
      <c r="B1157" s="1" t="n">
        <v>45093</v>
      </c>
      <c r="C1157" s="1" t="n">
        <v>45799</v>
      </c>
      <c r="D1157" t="inlineStr">
        <is>
          <t>KALMAR LÄN</t>
        </is>
      </c>
      <c r="E1157" t="inlineStr">
        <is>
          <t>VÄSTERVIK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27485-2023</t>
        </is>
      </c>
      <c r="B1158" s="1" t="n">
        <v>45097</v>
      </c>
      <c r="C1158" s="1" t="n">
        <v>45799</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27491-2023</t>
        </is>
      </c>
      <c r="B1159" s="1" t="n">
        <v>45097</v>
      </c>
      <c r="C1159" s="1" t="n">
        <v>45799</v>
      </c>
      <c r="D1159" t="inlineStr">
        <is>
          <t>KALMAR LÄN</t>
        </is>
      </c>
      <c r="E1159" t="inlineStr">
        <is>
          <t>VÄSTERVIK</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27482-2023</t>
        </is>
      </c>
      <c r="B1160" s="1" t="n">
        <v>45097</v>
      </c>
      <c r="C1160" s="1" t="n">
        <v>45799</v>
      </c>
      <c r="D1160" t="inlineStr">
        <is>
          <t>KALMAR LÄN</t>
        </is>
      </c>
      <c r="E1160" t="inlineStr">
        <is>
          <t>VÄSTERVIK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27662-2023</t>
        </is>
      </c>
      <c r="B1161" s="1" t="n">
        <v>45097</v>
      </c>
      <c r="C1161" s="1" t="n">
        <v>45799</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28895-2023</t>
        </is>
      </c>
      <c r="B1162" s="1" t="n">
        <v>45104</v>
      </c>
      <c r="C1162" s="1" t="n">
        <v>45799</v>
      </c>
      <c r="D1162" t="inlineStr">
        <is>
          <t>KALMAR LÄN</t>
        </is>
      </c>
      <c r="E1162" t="inlineStr">
        <is>
          <t>VÄSTERVIK</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28894-2023</t>
        </is>
      </c>
      <c r="B1163" s="1" t="n">
        <v>45104</v>
      </c>
      <c r="C1163" s="1" t="n">
        <v>45799</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28939-2023</t>
        </is>
      </c>
      <c r="B1164" s="1" t="n">
        <v>45104</v>
      </c>
      <c r="C1164" s="1" t="n">
        <v>45799</v>
      </c>
      <c r="D1164" t="inlineStr">
        <is>
          <t>KALMAR LÄN</t>
        </is>
      </c>
      <c r="E1164" t="inlineStr">
        <is>
          <t>VÄSTERVIK</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28952-2023</t>
        </is>
      </c>
      <c r="B1165" s="1" t="n">
        <v>45104</v>
      </c>
      <c r="C1165" s="1" t="n">
        <v>45799</v>
      </c>
      <c r="D1165" t="inlineStr">
        <is>
          <t>KALMAR LÄN</t>
        </is>
      </c>
      <c r="E1165" t="inlineStr">
        <is>
          <t>VÄSTERVIK</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29907-2023</t>
        </is>
      </c>
      <c r="B1166" s="1" t="n">
        <v>45107</v>
      </c>
      <c r="C1166" s="1" t="n">
        <v>45799</v>
      </c>
      <c r="D1166" t="inlineStr">
        <is>
          <t>KALMAR LÄN</t>
        </is>
      </c>
      <c r="E1166" t="inlineStr">
        <is>
          <t>VÄSTERVIK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29905-2023</t>
        </is>
      </c>
      <c r="B1167" s="1" t="n">
        <v>45107</v>
      </c>
      <c r="C1167" s="1" t="n">
        <v>45799</v>
      </c>
      <c r="D1167" t="inlineStr">
        <is>
          <t>KALMAR LÄN</t>
        </is>
      </c>
      <c r="E1167" t="inlineStr">
        <is>
          <t>VÄSTERVIK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29904-2023</t>
        </is>
      </c>
      <c r="B1168" s="1" t="n">
        <v>45107</v>
      </c>
      <c r="C1168" s="1" t="n">
        <v>45799</v>
      </c>
      <c r="D1168" t="inlineStr">
        <is>
          <t>KALMAR LÄN</t>
        </is>
      </c>
      <c r="E1168" t="inlineStr">
        <is>
          <t>VÄSTERVIK</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30029-2023</t>
        </is>
      </c>
      <c r="B1169" s="1" t="n">
        <v>45110</v>
      </c>
      <c r="C1169" s="1" t="n">
        <v>45799</v>
      </c>
      <c r="D1169" t="inlineStr">
        <is>
          <t>KALMAR LÄN</t>
        </is>
      </c>
      <c r="E1169" t="inlineStr">
        <is>
          <t>VÄSTERVIK</t>
        </is>
      </c>
      <c r="F1169" t="inlineStr">
        <is>
          <t>Holmen skog AB</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30035-2023</t>
        </is>
      </c>
      <c r="B1170" s="1" t="n">
        <v>45110</v>
      </c>
      <c r="C1170" s="1" t="n">
        <v>45799</v>
      </c>
      <c r="D1170" t="inlineStr">
        <is>
          <t>KALMAR LÄN</t>
        </is>
      </c>
      <c r="E1170" t="inlineStr">
        <is>
          <t>VÄSTERVIK</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32418-2023</t>
        </is>
      </c>
      <c r="B1171" s="1" t="n">
        <v>45110</v>
      </c>
      <c r="C1171" s="1" t="n">
        <v>45799</v>
      </c>
      <c r="D1171" t="inlineStr">
        <is>
          <t>KALMAR LÄN</t>
        </is>
      </c>
      <c r="E1171" t="inlineStr">
        <is>
          <t>VÄSTERVIK</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30431-2023</t>
        </is>
      </c>
      <c r="B1172" s="1" t="n">
        <v>45111</v>
      </c>
      <c r="C1172" s="1" t="n">
        <v>45799</v>
      </c>
      <c r="D1172" t="inlineStr">
        <is>
          <t>KALMAR LÄN</t>
        </is>
      </c>
      <c r="E1172" t="inlineStr">
        <is>
          <t>VÄSTERVIK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30692-2023</t>
        </is>
      </c>
      <c r="B1173" s="1" t="n">
        <v>45112</v>
      </c>
      <c r="C1173" s="1" t="n">
        <v>45799</v>
      </c>
      <c r="D1173" t="inlineStr">
        <is>
          <t>KALMAR LÄN</t>
        </is>
      </c>
      <c r="E1173" t="inlineStr">
        <is>
          <t>VÄSTERVIK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31437-2023</t>
        </is>
      </c>
      <c r="B1174" s="1" t="n">
        <v>45114</v>
      </c>
      <c r="C1174" s="1" t="n">
        <v>45799</v>
      </c>
      <c r="D1174" t="inlineStr">
        <is>
          <t>KALMAR LÄN</t>
        </is>
      </c>
      <c r="E1174" t="inlineStr">
        <is>
          <t>VÄSTERVIK</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33277-2023</t>
        </is>
      </c>
      <c r="B1175" s="1" t="n">
        <v>45114</v>
      </c>
      <c r="C1175" s="1" t="n">
        <v>45799</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31686-2023</t>
        </is>
      </c>
      <c r="B1176" s="1" t="n">
        <v>45117</v>
      </c>
      <c r="C1176" s="1" t="n">
        <v>45799</v>
      </c>
      <c r="D1176" t="inlineStr">
        <is>
          <t>KALMAR LÄN</t>
        </is>
      </c>
      <c r="E1176" t="inlineStr">
        <is>
          <t>VÄSTERVIK</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31691-2023</t>
        </is>
      </c>
      <c r="B1177" s="1" t="n">
        <v>45117</v>
      </c>
      <c r="C1177" s="1" t="n">
        <v>45799</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32647-2023</t>
        </is>
      </c>
      <c r="B1178" s="1" t="n">
        <v>45121</v>
      </c>
      <c r="C1178" s="1" t="n">
        <v>45799</v>
      </c>
      <c r="D1178" t="inlineStr">
        <is>
          <t>KALMAR LÄN</t>
        </is>
      </c>
      <c r="E1178" t="inlineStr">
        <is>
          <t>VÄSTERVIK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32813-2023</t>
        </is>
      </c>
      <c r="B1179" s="1" t="n">
        <v>45124</v>
      </c>
      <c r="C1179" s="1" t="n">
        <v>45799</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32812-2023</t>
        </is>
      </c>
      <c r="B1180" s="1" t="n">
        <v>45124</v>
      </c>
      <c r="C1180" s="1" t="n">
        <v>45799</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32811-2023</t>
        </is>
      </c>
      <c r="B1181" s="1" t="n">
        <v>45124</v>
      </c>
      <c r="C1181" s="1" t="n">
        <v>45799</v>
      </c>
      <c r="D1181" t="inlineStr">
        <is>
          <t>KALMAR LÄN</t>
        </is>
      </c>
      <c r="E1181" t="inlineStr">
        <is>
          <t>VÄSTERVIK</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33271-2023</t>
        </is>
      </c>
      <c r="B1182" s="1" t="n">
        <v>45127</v>
      </c>
      <c r="C1182" s="1" t="n">
        <v>45799</v>
      </c>
      <c r="D1182" t="inlineStr">
        <is>
          <t>KALMAR LÄN</t>
        </is>
      </c>
      <c r="E1182" t="inlineStr">
        <is>
          <t>VÄSTERVIK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33272-2023</t>
        </is>
      </c>
      <c r="B1183" s="1" t="n">
        <v>45127</v>
      </c>
      <c r="C1183" s="1" t="n">
        <v>45799</v>
      </c>
      <c r="D1183" t="inlineStr">
        <is>
          <t>KALMAR LÄN</t>
        </is>
      </c>
      <c r="E1183" t="inlineStr">
        <is>
          <t>VÄSTERVIK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33489-2023</t>
        </is>
      </c>
      <c r="B1184" s="1" t="n">
        <v>45131</v>
      </c>
      <c r="C1184" s="1" t="n">
        <v>45799</v>
      </c>
      <c r="D1184" t="inlineStr">
        <is>
          <t>KALMAR LÄN</t>
        </is>
      </c>
      <c r="E1184" t="inlineStr">
        <is>
          <t>VÄSTERVIK</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33648-2023</t>
        </is>
      </c>
      <c r="B1185" s="1" t="n">
        <v>45132</v>
      </c>
      <c r="C1185" s="1" t="n">
        <v>45799</v>
      </c>
      <c r="D1185" t="inlineStr">
        <is>
          <t>KALMAR LÄN</t>
        </is>
      </c>
      <c r="E1185" t="inlineStr">
        <is>
          <t>VÄSTERVIK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33647-2023</t>
        </is>
      </c>
      <c r="B1186" s="1" t="n">
        <v>45132</v>
      </c>
      <c r="C1186" s="1" t="n">
        <v>45799</v>
      </c>
      <c r="D1186" t="inlineStr">
        <is>
          <t>KALMAR LÄN</t>
        </is>
      </c>
      <c r="E1186" t="inlineStr">
        <is>
          <t>VÄSTERVIK</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33722-2023</t>
        </is>
      </c>
      <c r="B1187" s="1" t="n">
        <v>45133</v>
      </c>
      <c r="C1187" s="1" t="n">
        <v>45799</v>
      </c>
      <c r="D1187" t="inlineStr">
        <is>
          <t>KALMAR LÄN</t>
        </is>
      </c>
      <c r="E1187" t="inlineStr">
        <is>
          <t>VÄSTERVIK</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33828-2023</t>
        </is>
      </c>
      <c r="B1188" s="1" t="n">
        <v>45133</v>
      </c>
      <c r="C1188" s="1" t="n">
        <v>45799</v>
      </c>
      <c r="D1188" t="inlineStr">
        <is>
          <t>KALMAR LÄN</t>
        </is>
      </c>
      <c r="E1188" t="inlineStr">
        <is>
          <t>VÄSTERVIK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33814-2023</t>
        </is>
      </c>
      <c r="B1189" s="1" t="n">
        <v>45133</v>
      </c>
      <c r="C1189" s="1" t="n">
        <v>45799</v>
      </c>
      <c r="D1189" t="inlineStr">
        <is>
          <t>KALMAR LÄN</t>
        </is>
      </c>
      <c r="E1189" t="inlineStr">
        <is>
          <t>VÄSTERVIK</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33990-2023</t>
        </is>
      </c>
      <c r="B1190" s="1" t="n">
        <v>45134</v>
      </c>
      <c r="C1190" s="1" t="n">
        <v>45799</v>
      </c>
      <c r="D1190" t="inlineStr">
        <is>
          <t>KALMAR LÄN</t>
        </is>
      </c>
      <c r="E1190" t="inlineStr">
        <is>
          <t>VÄSTERVIK</t>
        </is>
      </c>
      <c r="F1190" t="inlineStr">
        <is>
          <t>Holmen skog AB</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34121-2023</t>
        </is>
      </c>
      <c r="B1191" s="1" t="n">
        <v>45135</v>
      </c>
      <c r="C1191" s="1" t="n">
        <v>45799</v>
      </c>
      <c r="D1191" t="inlineStr">
        <is>
          <t>KALMAR LÄN</t>
        </is>
      </c>
      <c r="E1191" t="inlineStr">
        <is>
          <t>VÄSTERVIK</t>
        </is>
      </c>
      <c r="G1191" t="n">
        <v>4</v>
      </c>
      <c r="H1191" t="n">
        <v>0</v>
      </c>
      <c r="I1191" t="n">
        <v>0</v>
      </c>
      <c r="J1191" t="n">
        <v>0</v>
      </c>
      <c r="K1191" t="n">
        <v>0</v>
      </c>
      <c r="L1191" t="n">
        <v>0</v>
      </c>
      <c r="M1191" t="n">
        <v>0</v>
      </c>
      <c r="N1191" t="n">
        <v>0</v>
      </c>
      <c r="O1191" t="n">
        <v>0</v>
      </c>
      <c r="P1191" t="n">
        <v>0</v>
      </c>
      <c r="Q1191" t="n">
        <v>0</v>
      </c>
      <c r="R1191" s="2" t="inlineStr"/>
      <c r="U1191">
        <f>HYPERLINK("https://klasma.github.io/Logging_0883/knärot/A 34121-2023 karta knärot.png", "A 34121-2023")</f>
        <v/>
      </c>
      <c r="V1191">
        <f>HYPERLINK("https://klasma.github.io/Logging_0883/klagomål/A 34121-2023 FSC-klagomål.docx", "A 34121-2023")</f>
        <v/>
      </c>
      <c r="W1191">
        <f>HYPERLINK("https://klasma.github.io/Logging_0883/klagomålsmail/A 34121-2023 FSC-klagomål mail.docx", "A 34121-2023")</f>
        <v/>
      </c>
      <c r="X1191">
        <f>HYPERLINK("https://klasma.github.io/Logging_0883/tillsyn/A 34121-2023 tillsynsbegäran.docx", "A 34121-2023")</f>
        <v/>
      </c>
      <c r="Y1191">
        <f>HYPERLINK("https://klasma.github.io/Logging_0883/tillsynsmail/A 34121-2023 tillsynsbegäran mail.docx", "A 34121-2023")</f>
        <v/>
      </c>
    </row>
    <row r="1192" ht="15" customHeight="1">
      <c r="A1192" t="inlineStr">
        <is>
          <t>A 34643-2023</t>
        </is>
      </c>
      <c r="B1192" s="1" t="n">
        <v>45140</v>
      </c>
      <c r="C1192" s="1" t="n">
        <v>45799</v>
      </c>
      <c r="D1192" t="inlineStr">
        <is>
          <t>KALMAR LÄN</t>
        </is>
      </c>
      <c r="E1192" t="inlineStr">
        <is>
          <t>VÄSTERVIK</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34648-2023</t>
        </is>
      </c>
      <c r="B1193" s="1" t="n">
        <v>45140</v>
      </c>
      <c r="C1193" s="1" t="n">
        <v>45799</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34641-2023</t>
        </is>
      </c>
      <c r="B1194" s="1" t="n">
        <v>45140</v>
      </c>
      <c r="C1194" s="1" t="n">
        <v>45799</v>
      </c>
      <c r="D1194" t="inlineStr">
        <is>
          <t>KALMAR LÄN</t>
        </is>
      </c>
      <c r="E1194" t="inlineStr">
        <is>
          <t>VÄSTERVIK</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34646-2023</t>
        </is>
      </c>
      <c r="B1195" s="1" t="n">
        <v>45140</v>
      </c>
      <c r="C1195" s="1" t="n">
        <v>45799</v>
      </c>
      <c r="D1195" t="inlineStr">
        <is>
          <t>KALMAR LÄN</t>
        </is>
      </c>
      <c r="E1195" t="inlineStr">
        <is>
          <t>VÄSTERVIK</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34655-2023</t>
        </is>
      </c>
      <c r="B1196" s="1" t="n">
        <v>45140</v>
      </c>
      <c r="C1196" s="1" t="n">
        <v>45799</v>
      </c>
      <c r="D1196" t="inlineStr">
        <is>
          <t>KALMAR LÄN</t>
        </is>
      </c>
      <c r="E1196" t="inlineStr">
        <is>
          <t>VÄSTERVIK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34650-2023</t>
        </is>
      </c>
      <c r="B1197" s="1" t="n">
        <v>45140</v>
      </c>
      <c r="C1197" s="1" t="n">
        <v>45799</v>
      </c>
      <c r="D1197" t="inlineStr">
        <is>
          <t>KALMAR LÄN</t>
        </is>
      </c>
      <c r="E1197" t="inlineStr">
        <is>
          <t>VÄSTERVIK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34953-2023</t>
        </is>
      </c>
      <c r="B1198" s="1" t="n">
        <v>45142</v>
      </c>
      <c r="C1198" s="1" t="n">
        <v>45799</v>
      </c>
      <c r="D1198" t="inlineStr">
        <is>
          <t>KALMAR LÄN</t>
        </is>
      </c>
      <c r="E1198" t="inlineStr">
        <is>
          <t>VÄSTERVIK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35171-2023</t>
        </is>
      </c>
      <c r="B1199" s="1" t="n">
        <v>45145</v>
      </c>
      <c r="C1199" s="1" t="n">
        <v>45799</v>
      </c>
      <c r="D1199" t="inlineStr">
        <is>
          <t>KALMAR LÄN</t>
        </is>
      </c>
      <c r="E1199" t="inlineStr">
        <is>
          <t>VÄSTERVIK</t>
        </is>
      </c>
      <c r="F1199" t="inlineStr">
        <is>
          <t>Holmen skog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35160-2023</t>
        </is>
      </c>
      <c r="B1200" s="1" t="n">
        <v>45145</v>
      </c>
      <c r="C1200" s="1" t="n">
        <v>45799</v>
      </c>
      <c r="D1200" t="inlineStr">
        <is>
          <t>KALMAR LÄN</t>
        </is>
      </c>
      <c r="E1200" t="inlineStr">
        <is>
          <t>VÄSTERVIK</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35180-2023</t>
        </is>
      </c>
      <c r="B1201" s="1" t="n">
        <v>45145</v>
      </c>
      <c r="C1201" s="1" t="n">
        <v>45799</v>
      </c>
      <c r="D1201" t="inlineStr">
        <is>
          <t>KALMAR LÄN</t>
        </is>
      </c>
      <c r="E1201" t="inlineStr">
        <is>
          <t>VÄSTERVIK</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35502-2023</t>
        </is>
      </c>
      <c r="B1202" s="1" t="n">
        <v>45146</v>
      </c>
      <c r="C1202" s="1" t="n">
        <v>45799</v>
      </c>
      <c r="D1202" t="inlineStr">
        <is>
          <t>KALMAR LÄN</t>
        </is>
      </c>
      <c r="E1202" t="inlineStr">
        <is>
          <t>VÄSTERVIK</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35484-2023</t>
        </is>
      </c>
      <c r="B1203" s="1" t="n">
        <v>45146</v>
      </c>
      <c r="C1203" s="1" t="n">
        <v>45799</v>
      </c>
      <c r="D1203" t="inlineStr">
        <is>
          <t>KALMAR LÄN</t>
        </is>
      </c>
      <c r="E1203" t="inlineStr">
        <is>
          <t>VÄSTERVIK</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35485-2023</t>
        </is>
      </c>
      <c r="B1204" s="1" t="n">
        <v>45146</v>
      </c>
      <c r="C1204" s="1" t="n">
        <v>45799</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35658-2023</t>
        </is>
      </c>
      <c r="B1205" s="1" t="n">
        <v>45147</v>
      </c>
      <c r="C1205" s="1" t="n">
        <v>45799</v>
      </c>
      <c r="D1205" t="inlineStr">
        <is>
          <t>KALMAR LÄN</t>
        </is>
      </c>
      <c r="E1205" t="inlineStr">
        <is>
          <t>VÄSTERVIK</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35662-2023</t>
        </is>
      </c>
      <c r="B1206" s="1" t="n">
        <v>45147</v>
      </c>
      <c r="C1206" s="1" t="n">
        <v>45799</v>
      </c>
      <c r="D1206" t="inlineStr">
        <is>
          <t>KALMAR LÄN</t>
        </is>
      </c>
      <c r="E1206" t="inlineStr">
        <is>
          <t>VÄSTERVIK</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35666-2023</t>
        </is>
      </c>
      <c r="B1207" s="1" t="n">
        <v>45147</v>
      </c>
      <c r="C1207" s="1" t="n">
        <v>45799</v>
      </c>
      <c r="D1207" t="inlineStr">
        <is>
          <t>KALMAR LÄN</t>
        </is>
      </c>
      <c r="E1207" t="inlineStr">
        <is>
          <t>VÄSTERVIK</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35606-2023</t>
        </is>
      </c>
      <c r="B1208" s="1" t="n">
        <v>45147</v>
      </c>
      <c r="C1208" s="1" t="n">
        <v>45799</v>
      </c>
      <c r="D1208" t="inlineStr">
        <is>
          <t>KALMAR LÄN</t>
        </is>
      </c>
      <c r="E1208" t="inlineStr">
        <is>
          <t>VÄSTERVIK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35770-2023</t>
        </is>
      </c>
      <c r="B1209" s="1" t="n">
        <v>45147</v>
      </c>
      <c r="C1209" s="1" t="n">
        <v>45799</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35655-2023</t>
        </is>
      </c>
      <c r="B1210" s="1" t="n">
        <v>45147</v>
      </c>
      <c r="C1210" s="1" t="n">
        <v>45799</v>
      </c>
      <c r="D1210" t="inlineStr">
        <is>
          <t>KALMAR LÄN</t>
        </is>
      </c>
      <c r="E1210" t="inlineStr">
        <is>
          <t>VÄSTERVIK</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35667-2023</t>
        </is>
      </c>
      <c r="B1211" s="1" t="n">
        <v>45147</v>
      </c>
      <c r="C1211" s="1" t="n">
        <v>45799</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35652-2023</t>
        </is>
      </c>
      <c r="B1212" s="1" t="n">
        <v>45147</v>
      </c>
      <c r="C1212" s="1" t="n">
        <v>45799</v>
      </c>
      <c r="D1212" t="inlineStr">
        <is>
          <t>KALMAR LÄN</t>
        </is>
      </c>
      <c r="E1212" t="inlineStr">
        <is>
          <t>VÄSTERVIK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35660-2023</t>
        </is>
      </c>
      <c r="B1213" s="1" t="n">
        <v>45147</v>
      </c>
      <c r="C1213" s="1" t="n">
        <v>45799</v>
      </c>
      <c r="D1213" t="inlineStr">
        <is>
          <t>KALMAR LÄN</t>
        </is>
      </c>
      <c r="E1213" t="inlineStr">
        <is>
          <t>VÄSTERVIK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35619-2023</t>
        </is>
      </c>
      <c r="B1214" s="1" t="n">
        <v>45147</v>
      </c>
      <c r="C1214" s="1" t="n">
        <v>45799</v>
      </c>
      <c r="D1214" t="inlineStr">
        <is>
          <t>KALMAR LÄN</t>
        </is>
      </c>
      <c r="E1214" t="inlineStr">
        <is>
          <t>VÄSTERVIK</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35653-2023</t>
        </is>
      </c>
      <c r="B1215" s="1" t="n">
        <v>45147</v>
      </c>
      <c r="C1215" s="1" t="n">
        <v>45799</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35665-2023</t>
        </is>
      </c>
      <c r="B1216" s="1" t="n">
        <v>45147</v>
      </c>
      <c r="C1216" s="1" t="n">
        <v>45799</v>
      </c>
      <c r="D1216" t="inlineStr">
        <is>
          <t>KALMAR LÄN</t>
        </is>
      </c>
      <c r="E1216" t="inlineStr">
        <is>
          <t>VÄSTERVIK</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35960-2023</t>
        </is>
      </c>
      <c r="B1217" s="1" t="n">
        <v>45148</v>
      </c>
      <c r="C1217" s="1" t="n">
        <v>45799</v>
      </c>
      <c r="D1217" t="inlineStr">
        <is>
          <t>KALMAR LÄN</t>
        </is>
      </c>
      <c r="E1217" t="inlineStr">
        <is>
          <t>VÄSTERVIK</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35959-2023</t>
        </is>
      </c>
      <c r="B1218" s="1" t="n">
        <v>45148</v>
      </c>
      <c r="C1218" s="1" t="n">
        <v>45799</v>
      </c>
      <c r="D1218" t="inlineStr">
        <is>
          <t>KALMAR LÄN</t>
        </is>
      </c>
      <c r="E1218" t="inlineStr">
        <is>
          <t>VÄSTERVIK</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35962-2023</t>
        </is>
      </c>
      <c r="B1219" s="1" t="n">
        <v>45148</v>
      </c>
      <c r="C1219" s="1" t="n">
        <v>45799</v>
      </c>
      <c r="D1219" t="inlineStr">
        <is>
          <t>KALMAR LÄN</t>
        </is>
      </c>
      <c r="E1219" t="inlineStr">
        <is>
          <t>VÄSTERVIK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35961-2023</t>
        </is>
      </c>
      <c r="B1220" s="1" t="n">
        <v>45148</v>
      </c>
      <c r="C1220" s="1" t="n">
        <v>45799</v>
      </c>
      <c r="D1220" t="inlineStr">
        <is>
          <t>KALMAR LÄN</t>
        </is>
      </c>
      <c r="E1220" t="inlineStr">
        <is>
          <t>VÄSTERVIK</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36418-2023</t>
        </is>
      </c>
      <c r="B1221" s="1" t="n">
        <v>45152</v>
      </c>
      <c r="C1221" s="1" t="n">
        <v>45799</v>
      </c>
      <c r="D1221" t="inlineStr">
        <is>
          <t>KALMAR LÄN</t>
        </is>
      </c>
      <c r="E1221" t="inlineStr">
        <is>
          <t>VÄSTERVIK</t>
        </is>
      </c>
      <c r="G1221" t="n">
        <v>1.1</v>
      </c>
      <c r="H1221" t="n">
        <v>0</v>
      </c>
      <c r="I1221" t="n">
        <v>0</v>
      </c>
      <c r="J1221" t="n">
        <v>0</v>
      </c>
      <c r="K1221" t="n">
        <v>0</v>
      </c>
      <c r="L1221" t="n">
        <v>0</v>
      </c>
      <c r="M1221" t="n">
        <v>0</v>
      </c>
      <c r="N1221" t="n">
        <v>0</v>
      </c>
      <c r="O1221" t="n">
        <v>0</v>
      </c>
      <c r="P1221" t="n">
        <v>0</v>
      </c>
      <c r="Q1221" t="n">
        <v>0</v>
      </c>
      <c r="R1221" s="2" t="inlineStr"/>
      <c r="U1221">
        <f>HYPERLINK("https://klasma.github.io/Logging_0883/knärot/A 36418-2023 karta knärot.png", "A 36418-2023")</f>
        <v/>
      </c>
      <c r="V1221">
        <f>HYPERLINK("https://klasma.github.io/Logging_0883/klagomål/A 36418-2023 FSC-klagomål.docx", "A 36418-2023")</f>
        <v/>
      </c>
      <c r="W1221">
        <f>HYPERLINK("https://klasma.github.io/Logging_0883/klagomålsmail/A 36418-2023 FSC-klagomål mail.docx", "A 36418-2023")</f>
        <v/>
      </c>
      <c r="X1221">
        <f>HYPERLINK("https://klasma.github.io/Logging_0883/tillsyn/A 36418-2023 tillsynsbegäran.docx", "A 36418-2023")</f>
        <v/>
      </c>
      <c r="Y1221">
        <f>HYPERLINK("https://klasma.github.io/Logging_0883/tillsynsmail/A 36418-2023 tillsynsbegäran mail.docx", "A 36418-2023")</f>
        <v/>
      </c>
    </row>
    <row r="1222" ht="15" customHeight="1">
      <c r="A1222" t="inlineStr">
        <is>
          <t>A 36572-2023</t>
        </is>
      </c>
      <c r="B1222" s="1" t="n">
        <v>45153</v>
      </c>
      <c r="C1222" s="1" t="n">
        <v>45799</v>
      </c>
      <c r="D1222" t="inlineStr">
        <is>
          <t>KALMAR LÄN</t>
        </is>
      </c>
      <c r="E1222" t="inlineStr">
        <is>
          <t>VÄSTERVIK</t>
        </is>
      </c>
      <c r="F1222" t="inlineStr">
        <is>
          <t>Holmen skog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36643-2023</t>
        </is>
      </c>
      <c r="B1223" s="1" t="n">
        <v>45153</v>
      </c>
      <c r="C1223" s="1" t="n">
        <v>45799</v>
      </c>
      <c r="D1223" t="inlineStr">
        <is>
          <t>KALMAR LÄN</t>
        </is>
      </c>
      <c r="E1223" t="inlineStr">
        <is>
          <t>VÄSTERVIK</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37349-2023</t>
        </is>
      </c>
      <c r="B1224" s="1" t="n">
        <v>45156</v>
      </c>
      <c r="C1224" s="1" t="n">
        <v>45799</v>
      </c>
      <c r="D1224" t="inlineStr">
        <is>
          <t>KALMAR LÄN</t>
        </is>
      </c>
      <c r="E1224" t="inlineStr">
        <is>
          <t>VÄSTERVIK</t>
        </is>
      </c>
      <c r="F1224" t="inlineStr">
        <is>
          <t>Sveaskog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37352-2023</t>
        </is>
      </c>
      <c r="B1225" s="1" t="n">
        <v>45156</v>
      </c>
      <c r="C1225" s="1" t="n">
        <v>45799</v>
      </c>
      <c r="D1225" t="inlineStr">
        <is>
          <t>KALMAR LÄN</t>
        </is>
      </c>
      <c r="E1225" t="inlineStr">
        <is>
          <t>VÄSTERVIK</t>
        </is>
      </c>
      <c r="F1225" t="inlineStr">
        <is>
          <t>Sveaskog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37354-2023</t>
        </is>
      </c>
      <c r="B1226" s="1" t="n">
        <v>45156</v>
      </c>
      <c r="C1226" s="1" t="n">
        <v>45799</v>
      </c>
      <c r="D1226" t="inlineStr">
        <is>
          <t>KALMAR LÄN</t>
        </is>
      </c>
      <c r="E1226" t="inlineStr">
        <is>
          <t>VÄSTERVIK</t>
        </is>
      </c>
      <c r="F1226" t="inlineStr">
        <is>
          <t>Sveaskog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37351-2023</t>
        </is>
      </c>
      <c r="B1227" s="1" t="n">
        <v>45156</v>
      </c>
      <c r="C1227" s="1" t="n">
        <v>45799</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37642-2023</t>
        </is>
      </c>
      <c r="B1228" s="1" t="n">
        <v>45159</v>
      </c>
      <c r="C1228" s="1" t="n">
        <v>45799</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37643-2023</t>
        </is>
      </c>
      <c r="B1229" s="1" t="n">
        <v>45159</v>
      </c>
      <c r="C1229" s="1" t="n">
        <v>45799</v>
      </c>
      <c r="D1229" t="inlineStr">
        <is>
          <t>KALMAR LÄN</t>
        </is>
      </c>
      <c r="E1229" t="inlineStr">
        <is>
          <t>VÄSTERVIK</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37644-2023</t>
        </is>
      </c>
      <c r="B1230" s="1" t="n">
        <v>45159</v>
      </c>
      <c r="C1230" s="1" t="n">
        <v>45799</v>
      </c>
      <c r="D1230" t="inlineStr">
        <is>
          <t>KALMAR LÄN</t>
        </is>
      </c>
      <c r="E1230" t="inlineStr">
        <is>
          <t>VÄSTERVIK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37661-2023</t>
        </is>
      </c>
      <c r="B1231" s="1" t="n">
        <v>45159</v>
      </c>
      <c r="C1231" s="1" t="n">
        <v>45799</v>
      </c>
      <c r="D1231" t="inlineStr">
        <is>
          <t>KALMAR LÄN</t>
        </is>
      </c>
      <c r="E1231" t="inlineStr">
        <is>
          <t>VÄSTERVIK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37716-2023</t>
        </is>
      </c>
      <c r="B1232" s="1" t="n">
        <v>45159</v>
      </c>
      <c r="C1232" s="1" t="n">
        <v>45799</v>
      </c>
      <c r="D1232" t="inlineStr">
        <is>
          <t>KALMAR LÄN</t>
        </is>
      </c>
      <c r="E1232" t="inlineStr">
        <is>
          <t>VÄSTERVIK</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37858-2023</t>
        </is>
      </c>
      <c r="B1233" s="1" t="n">
        <v>45160</v>
      </c>
      <c r="C1233" s="1" t="n">
        <v>45799</v>
      </c>
      <c r="D1233" t="inlineStr">
        <is>
          <t>KALMAR LÄN</t>
        </is>
      </c>
      <c r="E1233" t="inlineStr">
        <is>
          <t>VÄSTERVIK</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37956-2023</t>
        </is>
      </c>
      <c r="B1234" s="1" t="n">
        <v>45160</v>
      </c>
      <c r="C1234" s="1" t="n">
        <v>45799</v>
      </c>
      <c r="D1234" t="inlineStr">
        <is>
          <t>KALMAR LÄN</t>
        </is>
      </c>
      <c r="E1234" t="inlineStr">
        <is>
          <t>VÄSTERVIK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38040-2023</t>
        </is>
      </c>
      <c r="B1235" s="1" t="n">
        <v>45160</v>
      </c>
      <c r="C1235" s="1" t="n">
        <v>45799</v>
      </c>
      <c r="D1235" t="inlineStr">
        <is>
          <t>KALMAR LÄN</t>
        </is>
      </c>
      <c r="E1235" t="inlineStr">
        <is>
          <t>VÄSTERVIK</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38045-2023</t>
        </is>
      </c>
      <c r="B1236" s="1" t="n">
        <v>45160</v>
      </c>
      <c r="C1236" s="1" t="n">
        <v>45799</v>
      </c>
      <c r="D1236" t="inlineStr">
        <is>
          <t>KALMAR LÄN</t>
        </is>
      </c>
      <c r="E1236" t="inlineStr">
        <is>
          <t>VÄSTERVIK</t>
        </is>
      </c>
      <c r="F1236" t="inlineStr">
        <is>
          <t>Sveaskog</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37952-2023</t>
        </is>
      </c>
      <c r="B1237" s="1" t="n">
        <v>45160</v>
      </c>
      <c r="C1237" s="1" t="n">
        <v>45799</v>
      </c>
      <c r="D1237" t="inlineStr">
        <is>
          <t>KALMAR LÄN</t>
        </is>
      </c>
      <c r="E1237" t="inlineStr">
        <is>
          <t>VÄSTERVIK</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37986-2023</t>
        </is>
      </c>
      <c r="B1238" s="1" t="n">
        <v>45160</v>
      </c>
      <c r="C1238" s="1" t="n">
        <v>45799</v>
      </c>
      <c r="D1238" t="inlineStr">
        <is>
          <t>KALMAR LÄN</t>
        </is>
      </c>
      <c r="E1238" t="inlineStr">
        <is>
          <t>VÄSTERVIK</t>
        </is>
      </c>
      <c r="F1238" t="inlineStr">
        <is>
          <t>Sveaskog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37991-2023</t>
        </is>
      </c>
      <c r="B1239" s="1" t="n">
        <v>45160</v>
      </c>
      <c r="C1239" s="1" t="n">
        <v>45799</v>
      </c>
      <c r="D1239" t="inlineStr">
        <is>
          <t>KALMAR LÄN</t>
        </is>
      </c>
      <c r="E1239" t="inlineStr">
        <is>
          <t>VÄSTERVIK</t>
        </is>
      </c>
      <c r="F1239" t="inlineStr">
        <is>
          <t>Sveaskog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38047-2023</t>
        </is>
      </c>
      <c r="B1240" s="1" t="n">
        <v>45160</v>
      </c>
      <c r="C1240" s="1" t="n">
        <v>45799</v>
      </c>
      <c r="D1240" t="inlineStr">
        <is>
          <t>KALMAR LÄN</t>
        </is>
      </c>
      <c r="E1240" t="inlineStr">
        <is>
          <t>VÄSTERVIK</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37987-2023</t>
        </is>
      </c>
      <c r="B1241" s="1" t="n">
        <v>45160</v>
      </c>
      <c r="C1241" s="1" t="n">
        <v>45799</v>
      </c>
      <c r="D1241" t="inlineStr">
        <is>
          <t>KALMAR LÄN</t>
        </is>
      </c>
      <c r="E1241" t="inlineStr">
        <is>
          <t>VÄSTERVIK</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37997-2023</t>
        </is>
      </c>
      <c r="B1242" s="1" t="n">
        <v>45160</v>
      </c>
      <c r="C1242" s="1" t="n">
        <v>45799</v>
      </c>
      <c r="D1242" t="inlineStr">
        <is>
          <t>KALMAR LÄN</t>
        </is>
      </c>
      <c r="E1242" t="inlineStr">
        <is>
          <t>VÄSTERVIK</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37957-2023</t>
        </is>
      </c>
      <c r="B1243" s="1" t="n">
        <v>45160</v>
      </c>
      <c r="C1243" s="1" t="n">
        <v>45799</v>
      </c>
      <c r="D1243" t="inlineStr">
        <is>
          <t>KALMAR LÄN</t>
        </is>
      </c>
      <c r="E1243" t="inlineStr">
        <is>
          <t>VÄSTERVIK</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37963-2023</t>
        </is>
      </c>
      <c r="B1244" s="1" t="n">
        <v>45160</v>
      </c>
      <c r="C1244" s="1" t="n">
        <v>45799</v>
      </c>
      <c r="D1244" t="inlineStr">
        <is>
          <t>KALMAR LÄN</t>
        </is>
      </c>
      <c r="E1244" t="inlineStr">
        <is>
          <t>VÄSTERVIK</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37989-2023</t>
        </is>
      </c>
      <c r="B1245" s="1" t="n">
        <v>45160</v>
      </c>
      <c r="C1245" s="1" t="n">
        <v>45799</v>
      </c>
      <c r="D1245" t="inlineStr">
        <is>
          <t>KALMAR LÄN</t>
        </is>
      </c>
      <c r="E1245" t="inlineStr">
        <is>
          <t>VÄSTERVIK</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37995-2023</t>
        </is>
      </c>
      <c r="B1246" s="1" t="n">
        <v>45160</v>
      </c>
      <c r="C1246" s="1" t="n">
        <v>45799</v>
      </c>
      <c r="D1246" t="inlineStr">
        <is>
          <t>KALMAR LÄN</t>
        </is>
      </c>
      <c r="E1246" t="inlineStr">
        <is>
          <t>VÄSTERVIK</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38037-2023</t>
        </is>
      </c>
      <c r="B1247" s="1" t="n">
        <v>45160</v>
      </c>
      <c r="C1247" s="1" t="n">
        <v>45799</v>
      </c>
      <c r="D1247" t="inlineStr">
        <is>
          <t>KALMAR LÄN</t>
        </is>
      </c>
      <c r="E1247" t="inlineStr">
        <is>
          <t>VÄSTERVIK</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38041-2023</t>
        </is>
      </c>
      <c r="B1248" s="1" t="n">
        <v>45160</v>
      </c>
      <c r="C1248" s="1" t="n">
        <v>45799</v>
      </c>
      <c r="D1248" t="inlineStr">
        <is>
          <t>KALMAR LÄN</t>
        </is>
      </c>
      <c r="E1248" t="inlineStr">
        <is>
          <t>VÄSTERVIK</t>
        </is>
      </c>
      <c r="F1248" t="inlineStr">
        <is>
          <t>Sveaskog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38046-2023</t>
        </is>
      </c>
      <c r="B1249" s="1" t="n">
        <v>45160</v>
      </c>
      <c r="C1249" s="1" t="n">
        <v>45799</v>
      </c>
      <c r="D1249" t="inlineStr">
        <is>
          <t>KALMAR LÄN</t>
        </is>
      </c>
      <c r="E1249" t="inlineStr">
        <is>
          <t>VÄSTERVIK</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38048-2023</t>
        </is>
      </c>
      <c r="B1250" s="1" t="n">
        <v>45160</v>
      </c>
      <c r="C1250" s="1" t="n">
        <v>45799</v>
      </c>
      <c r="D1250" t="inlineStr">
        <is>
          <t>KALMAR LÄN</t>
        </is>
      </c>
      <c r="E1250" t="inlineStr">
        <is>
          <t>VÄSTERVIK</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38174-2023</t>
        </is>
      </c>
      <c r="B1251" s="1" t="n">
        <v>45161</v>
      </c>
      <c r="C1251" s="1" t="n">
        <v>45799</v>
      </c>
      <c r="D1251" t="inlineStr">
        <is>
          <t>KALMAR LÄN</t>
        </is>
      </c>
      <c r="E1251" t="inlineStr">
        <is>
          <t>VÄSTERVIK</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39299-2023</t>
        </is>
      </c>
      <c r="B1252" s="1" t="n">
        <v>45166</v>
      </c>
      <c r="C1252" s="1" t="n">
        <v>45799</v>
      </c>
      <c r="D1252" t="inlineStr">
        <is>
          <t>KALMAR LÄN</t>
        </is>
      </c>
      <c r="E1252" t="inlineStr">
        <is>
          <t>VÄSTERVIK</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39630-2023</t>
        </is>
      </c>
      <c r="B1253" s="1" t="n">
        <v>45167</v>
      </c>
      <c r="C1253" s="1" t="n">
        <v>45799</v>
      </c>
      <c r="D1253" t="inlineStr">
        <is>
          <t>KALMAR LÄN</t>
        </is>
      </c>
      <c r="E1253" t="inlineStr">
        <is>
          <t>VÄSTERVIK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39892-2023</t>
        </is>
      </c>
      <c r="B1254" s="1" t="n">
        <v>45168</v>
      </c>
      <c r="C1254" s="1" t="n">
        <v>45799</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40677-2023</t>
        </is>
      </c>
      <c r="B1255" s="1" t="n">
        <v>45170</v>
      </c>
      <c r="C1255" s="1" t="n">
        <v>45799</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40451-2023</t>
        </is>
      </c>
      <c r="B1256" s="1" t="n">
        <v>45170</v>
      </c>
      <c r="C1256" s="1" t="n">
        <v>45799</v>
      </c>
      <c r="D1256" t="inlineStr">
        <is>
          <t>KALMAR LÄN</t>
        </is>
      </c>
      <c r="E1256" t="inlineStr">
        <is>
          <t>VÄSTERVIK</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40674-2023</t>
        </is>
      </c>
      <c r="B1257" s="1" t="n">
        <v>45170</v>
      </c>
      <c r="C1257" s="1" t="n">
        <v>45799</v>
      </c>
      <c r="D1257" t="inlineStr">
        <is>
          <t>KALMAR LÄN</t>
        </is>
      </c>
      <c r="E1257" t="inlineStr">
        <is>
          <t>VÄSTERVIK</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40973-2023</t>
        </is>
      </c>
      <c r="B1258" s="1" t="n">
        <v>45173</v>
      </c>
      <c r="C1258" s="1" t="n">
        <v>45799</v>
      </c>
      <c r="D1258" t="inlineStr">
        <is>
          <t>KALMAR LÄN</t>
        </is>
      </c>
      <c r="E1258" t="inlineStr">
        <is>
          <t>VÄSTERVIK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40935-2023</t>
        </is>
      </c>
      <c r="B1259" s="1" t="n">
        <v>45173</v>
      </c>
      <c r="C1259" s="1" t="n">
        <v>45799</v>
      </c>
      <c r="D1259" t="inlineStr">
        <is>
          <t>KALMAR LÄN</t>
        </is>
      </c>
      <c r="E1259" t="inlineStr">
        <is>
          <t>VÄSTERVIK</t>
        </is>
      </c>
      <c r="F1259" t="inlineStr">
        <is>
          <t>Holmen skog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40977-2023</t>
        </is>
      </c>
      <c r="B1260" s="1" t="n">
        <v>45173</v>
      </c>
      <c r="C1260" s="1" t="n">
        <v>45799</v>
      </c>
      <c r="D1260" t="inlineStr">
        <is>
          <t>KALMAR LÄN</t>
        </is>
      </c>
      <c r="E1260" t="inlineStr">
        <is>
          <t>VÄSTERVIK</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41342-2023</t>
        </is>
      </c>
      <c r="B1261" s="1" t="n">
        <v>45174</v>
      </c>
      <c r="C1261" s="1" t="n">
        <v>45799</v>
      </c>
      <c r="D1261" t="inlineStr">
        <is>
          <t>KALMAR LÄN</t>
        </is>
      </c>
      <c r="E1261" t="inlineStr">
        <is>
          <t>VÄSTERVIK</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41994-2023</t>
        </is>
      </c>
      <c r="B1262" s="1" t="n">
        <v>45177</v>
      </c>
      <c r="C1262" s="1" t="n">
        <v>45799</v>
      </c>
      <c r="D1262" t="inlineStr">
        <is>
          <t>KALMAR LÄN</t>
        </is>
      </c>
      <c r="E1262" t="inlineStr">
        <is>
          <t>VÄSTERVIK</t>
        </is>
      </c>
      <c r="F1262" t="inlineStr">
        <is>
          <t>Holmen skog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42415-2023</t>
        </is>
      </c>
      <c r="B1263" s="1" t="n">
        <v>45180</v>
      </c>
      <c r="C1263" s="1" t="n">
        <v>45799</v>
      </c>
      <c r="D1263" t="inlineStr">
        <is>
          <t>KALMAR LÄN</t>
        </is>
      </c>
      <c r="E1263" t="inlineStr">
        <is>
          <t>VÄSTERVIK</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42331-2023</t>
        </is>
      </c>
      <c r="B1264" s="1" t="n">
        <v>45180</v>
      </c>
      <c r="C1264" s="1" t="n">
        <v>45799</v>
      </c>
      <c r="D1264" t="inlineStr">
        <is>
          <t>KALMAR LÄN</t>
        </is>
      </c>
      <c r="E1264" t="inlineStr">
        <is>
          <t>VÄSTERVIK</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42348-2023</t>
        </is>
      </c>
      <c r="B1265" s="1" t="n">
        <v>45180</v>
      </c>
      <c r="C1265" s="1" t="n">
        <v>45799</v>
      </c>
      <c r="D1265" t="inlineStr">
        <is>
          <t>KALMAR LÄN</t>
        </is>
      </c>
      <c r="E1265" t="inlineStr">
        <is>
          <t>VÄSTERVIK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43660-2023</t>
        </is>
      </c>
      <c r="B1266" s="1" t="n">
        <v>45187</v>
      </c>
      <c r="C1266" s="1" t="n">
        <v>45799</v>
      </c>
      <c r="D1266" t="inlineStr">
        <is>
          <t>KALMAR LÄN</t>
        </is>
      </c>
      <c r="E1266" t="inlineStr">
        <is>
          <t>VÄSTERVIK</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43759-2023</t>
        </is>
      </c>
      <c r="B1267" s="1" t="n">
        <v>45187</v>
      </c>
      <c r="C1267" s="1" t="n">
        <v>45799</v>
      </c>
      <c r="D1267" t="inlineStr">
        <is>
          <t>KALMAR LÄN</t>
        </is>
      </c>
      <c r="E1267" t="inlineStr">
        <is>
          <t>VÄSTERVIK</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43900-2023</t>
        </is>
      </c>
      <c r="B1268" s="1" t="n">
        <v>45187</v>
      </c>
      <c r="C1268" s="1" t="n">
        <v>45799</v>
      </c>
      <c r="D1268" t="inlineStr">
        <is>
          <t>KALMAR LÄN</t>
        </is>
      </c>
      <c r="E1268" t="inlineStr">
        <is>
          <t>VÄSTERVIK</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44705-2023</t>
        </is>
      </c>
      <c r="B1269" s="1" t="n">
        <v>45190</v>
      </c>
      <c r="C1269" s="1" t="n">
        <v>45799</v>
      </c>
      <c r="D1269" t="inlineStr">
        <is>
          <t>KALMAR LÄN</t>
        </is>
      </c>
      <c r="E1269" t="inlineStr">
        <is>
          <t>VÄSTERVIK</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44714-2023</t>
        </is>
      </c>
      <c r="B1270" s="1" t="n">
        <v>45190</v>
      </c>
      <c r="C1270" s="1" t="n">
        <v>45799</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44749-2023</t>
        </is>
      </c>
      <c r="B1271" s="1" t="n">
        <v>45190</v>
      </c>
      <c r="C1271" s="1" t="n">
        <v>45799</v>
      </c>
      <c r="D1271" t="inlineStr">
        <is>
          <t>KALMAR LÄN</t>
        </is>
      </c>
      <c r="E1271" t="inlineStr">
        <is>
          <t>VÄSTERVIK</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44721-2023</t>
        </is>
      </c>
      <c r="B1272" s="1" t="n">
        <v>45190</v>
      </c>
      <c r="C1272" s="1" t="n">
        <v>45799</v>
      </c>
      <c r="D1272" t="inlineStr">
        <is>
          <t>KALMAR LÄN</t>
        </is>
      </c>
      <c r="E1272" t="inlineStr">
        <is>
          <t>VÄSTERVIK</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45192-2023</t>
        </is>
      </c>
      <c r="B1273" s="1" t="n">
        <v>45191</v>
      </c>
      <c r="C1273" s="1" t="n">
        <v>45799</v>
      </c>
      <c r="D1273" t="inlineStr">
        <is>
          <t>KALMAR LÄN</t>
        </is>
      </c>
      <c r="E1273" t="inlineStr">
        <is>
          <t>VÄSTERVIK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45202-2023</t>
        </is>
      </c>
      <c r="B1274" s="1" t="n">
        <v>45191</v>
      </c>
      <c r="C1274" s="1" t="n">
        <v>45799</v>
      </c>
      <c r="D1274" t="inlineStr">
        <is>
          <t>KALMAR LÄN</t>
        </is>
      </c>
      <c r="E1274" t="inlineStr">
        <is>
          <t>VÄSTERVIK</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45190-2023</t>
        </is>
      </c>
      <c r="B1275" s="1" t="n">
        <v>45191</v>
      </c>
      <c r="C1275" s="1" t="n">
        <v>45799</v>
      </c>
      <c r="D1275" t="inlineStr">
        <is>
          <t>KALMAR LÄN</t>
        </is>
      </c>
      <c r="E1275" t="inlineStr">
        <is>
          <t>VÄSTERVIK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45396-2023</t>
        </is>
      </c>
      <c r="B1276" s="1" t="n">
        <v>45194</v>
      </c>
      <c r="C1276" s="1" t="n">
        <v>45799</v>
      </c>
      <c r="D1276" t="inlineStr">
        <is>
          <t>KALMAR LÄN</t>
        </is>
      </c>
      <c r="E1276" t="inlineStr">
        <is>
          <t>VÄSTERVIK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45474-2023</t>
        </is>
      </c>
      <c r="B1277" s="1" t="n">
        <v>45194</v>
      </c>
      <c r="C1277" s="1" t="n">
        <v>45799</v>
      </c>
      <c r="D1277" t="inlineStr">
        <is>
          <t>KALMAR LÄN</t>
        </is>
      </c>
      <c r="E1277" t="inlineStr">
        <is>
          <t>VÄSTERVIK</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45450-2023</t>
        </is>
      </c>
      <c r="B1278" s="1" t="n">
        <v>45194</v>
      </c>
      <c r="C1278" s="1" t="n">
        <v>45799</v>
      </c>
      <c r="D1278" t="inlineStr">
        <is>
          <t>KALMAR LÄN</t>
        </is>
      </c>
      <c r="E1278" t="inlineStr">
        <is>
          <t>VÄSTERVIK</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45460-2023</t>
        </is>
      </c>
      <c r="B1279" s="1" t="n">
        <v>45194</v>
      </c>
      <c r="C1279" s="1" t="n">
        <v>45799</v>
      </c>
      <c r="D1279" t="inlineStr">
        <is>
          <t>KALMAR LÄN</t>
        </is>
      </c>
      <c r="E1279" t="inlineStr">
        <is>
          <t>VÄSTERVIK</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45921-2023</t>
        </is>
      </c>
      <c r="B1280" s="1" t="n">
        <v>45195</v>
      </c>
      <c r="C1280" s="1" t="n">
        <v>45799</v>
      </c>
      <c r="D1280" t="inlineStr">
        <is>
          <t>KALMAR LÄN</t>
        </is>
      </c>
      <c r="E1280" t="inlineStr">
        <is>
          <t>VÄSTERVIK</t>
        </is>
      </c>
      <c r="F1280" t="inlineStr">
        <is>
          <t>Holmen skog AB</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46088-2023</t>
        </is>
      </c>
      <c r="B1281" s="1" t="n">
        <v>45196</v>
      </c>
      <c r="C1281" s="1" t="n">
        <v>45799</v>
      </c>
      <c r="D1281" t="inlineStr">
        <is>
          <t>KALMAR LÄN</t>
        </is>
      </c>
      <c r="E1281" t="inlineStr">
        <is>
          <t>VÄSTERVIK</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46124-2023</t>
        </is>
      </c>
      <c r="B1282" s="1" t="n">
        <v>45196</v>
      </c>
      <c r="C1282" s="1" t="n">
        <v>45799</v>
      </c>
      <c r="D1282" t="inlineStr">
        <is>
          <t>KALMAR LÄN</t>
        </is>
      </c>
      <c r="E1282" t="inlineStr">
        <is>
          <t>VÄSTERVIK</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46129-2023</t>
        </is>
      </c>
      <c r="B1283" s="1" t="n">
        <v>45196</v>
      </c>
      <c r="C1283" s="1" t="n">
        <v>45799</v>
      </c>
      <c r="D1283" t="inlineStr">
        <is>
          <t>KALMAR LÄN</t>
        </is>
      </c>
      <c r="E1283" t="inlineStr">
        <is>
          <t>VÄSTERVIK</t>
        </is>
      </c>
      <c r="F1283" t="inlineStr">
        <is>
          <t>Sveaskog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46067-2023</t>
        </is>
      </c>
      <c r="B1284" s="1" t="n">
        <v>45196</v>
      </c>
      <c r="C1284" s="1" t="n">
        <v>45799</v>
      </c>
      <c r="D1284" t="inlineStr">
        <is>
          <t>KALMAR LÄN</t>
        </is>
      </c>
      <c r="E1284" t="inlineStr">
        <is>
          <t>VÄSTERVIK</t>
        </is>
      </c>
      <c r="F1284" t="inlineStr">
        <is>
          <t>Sveaskog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46064-2023</t>
        </is>
      </c>
      <c r="B1285" s="1" t="n">
        <v>45196</v>
      </c>
      <c r="C1285" s="1" t="n">
        <v>45799</v>
      </c>
      <c r="D1285" t="inlineStr">
        <is>
          <t>KALMAR LÄN</t>
        </is>
      </c>
      <c r="E1285" t="inlineStr">
        <is>
          <t>VÄSTERVIK</t>
        </is>
      </c>
      <c r="F1285" t="inlineStr">
        <is>
          <t>Sveaskog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46069-2023</t>
        </is>
      </c>
      <c r="B1286" s="1" t="n">
        <v>45196</v>
      </c>
      <c r="C1286" s="1" t="n">
        <v>45799</v>
      </c>
      <c r="D1286" t="inlineStr">
        <is>
          <t>KALMAR LÄN</t>
        </is>
      </c>
      <c r="E1286" t="inlineStr">
        <is>
          <t>VÄSTERVIK</t>
        </is>
      </c>
      <c r="F1286" t="inlineStr">
        <is>
          <t>Sveaskog</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46130-2023</t>
        </is>
      </c>
      <c r="B1287" s="1" t="n">
        <v>45196</v>
      </c>
      <c r="C1287" s="1" t="n">
        <v>45799</v>
      </c>
      <c r="D1287" t="inlineStr">
        <is>
          <t>KALMAR LÄN</t>
        </is>
      </c>
      <c r="E1287" t="inlineStr">
        <is>
          <t>VÄSTERVIK</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46066-2023</t>
        </is>
      </c>
      <c r="B1288" s="1" t="n">
        <v>45196</v>
      </c>
      <c r="C1288" s="1" t="n">
        <v>45799</v>
      </c>
      <c r="D1288" t="inlineStr">
        <is>
          <t>KALMAR LÄN</t>
        </is>
      </c>
      <c r="E1288" t="inlineStr">
        <is>
          <t>VÄSTERVIK</t>
        </is>
      </c>
      <c r="F1288" t="inlineStr">
        <is>
          <t>Sveaskog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46070-2023</t>
        </is>
      </c>
      <c r="B1289" s="1" t="n">
        <v>45196</v>
      </c>
      <c r="C1289" s="1" t="n">
        <v>45799</v>
      </c>
      <c r="D1289" t="inlineStr">
        <is>
          <t>KALMAR LÄN</t>
        </is>
      </c>
      <c r="E1289" t="inlineStr">
        <is>
          <t>VÄSTERVIK</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46121-2023</t>
        </is>
      </c>
      <c r="B1290" s="1" t="n">
        <v>45196</v>
      </c>
      <c r="C1290" s="1" t="n">
        <v>45799</v>
      </c>
      <c r="D1290" t="inlineStr">
        <is>
          <t>KALMAR LÄN</t>
        </is>
      </c>
      <c r="E1290" t="inlineStr">
        <is>
          <t>VÄSTERVIK</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46126-2023</t>
        </is>
      </c>
      <c r="B1291" s="1" t="n">
        <v>45196</v>
      </c>
      <c r="C1291" s="1" t="n">
        <v>45799</v>
      </c>
      <c r="D1291" t="inlineStr">
        <is>
          <t>KALMAR LÄN</t>
        </is>
      </c>
      <c r="E1291" t="inlineStr">
        <is>
          <t>VÄSTERVIK</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46131-2023</t>
        </is>
      </c>
      <c r="B1292" s="1" t="n">
        <v>45196</v>
      </c>
      <c r="C1292" s="1" t="n">
        <v>45799</v>
      </c>
      <c r="D1292" t="inlineStr">
        <is>
          <t>KALMAR LÄN</t>
        </is>
      </c>
      <c r="E1292" t="inlineStr">
        <is>
          <t>VÄSTERVIK</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46598-2023</t>
        </is>
      </c>
      <c r="B1293" s="1" t="n">
        <v>45198</v>
      </c>
      <c r="C1293" s="1" t="n">
        <v>45799</v>
      </c>
      <c r="D1293" t="inlineStr">
        <is>
          <t>KALMAR LÄN</t>
        </is>
      </c>
      <c r="E1293" t="inlineStr">
        <is>
          <t>VÄSTERVIK</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46717-2023</t>
        </is>
      </c>
      <c r="B1294" s="1" t="n">
        <v>45198</v>
      </c>
      <c r="C1294" s="1" t="n">
        <v>45799</v>
      </c>
      <c r="D1294" t="inlineStr">
        <is>
          <t>KALMAR LÄN</t>
        </is>
      </c>
      <c r="E1294" t="inlineStr">
        <is>
          <t>VÄSTERVIK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46718-2023</t>
        </is>
      </c>
      <c r="B1295" s="1" t="n">
        <v>45198</v>
      </c>
      <c r="C1295" s="1" t="n">
        <v>45799</v>
      </c>
      <c r="D1295" t="inlineStr">
        <is>
          <t>KALMAR LÄN</t>
        </is>
      </c>
      <c r="E1295" t="inlineStr">
        <is>
          <t>VÄSTERVIK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47123-2023</t>
        </is>
      </c>
      <c r="B1296" s="1" t="n">
        <v>45201</v>
      </c>
      <c r="C1296" s="1" t="n">
        <v>45799</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46920-2023</t>
        </is>
      </c>
      <c r="B1297" s="1" t="n">
        <v>45201</v>
      </c>
      <c r="C1297" s="1" t="n">
        <v>45799</v>
      </c>
      <c r="D1297" t="inlineStr">
        <is>
          <t>KALMAR LÄN</t>
        </is>
      </c>
      <c r="E1297" t="inlineStr">
        <is>
          <t>VÄSTERVIK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47111-2023</t>
        </is>
      </c>
      <c r="B1298" s="1" t="n">
        <v>45201</v>
      </c>
      <c r="C1298" s="1" t="n">
        <v>45799</v>
      </c>
      <c r="D1298" t="inlineStr">
        <is>
          <t>KALMAR LÄN</t>
        </is>
      </c>
      <c r="E1298" t="inlineStr">
        <is>
          <t>VÄSTERVIK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47120-2023</t>
        </is>
      </c>
      <c r="B1299" s="1" t="n">
        <v>45201</v>
      </c>
      <c r="C1299" s="1" t="n">
        <v>45799</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47124-2023</t>
        </is>
      </c>
      <c r="B1300" s="1" t="n">
        <v>45201</v>
      </c>
      <c r="C1300" s="1" t="n">
        <v>45799</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46970-2023</t>
        </is>
      </c>
      <c r="B1301" s="1" t="n">
        <v>45201</v>
      </c>
      <c r="C1301" s="1" t="n">
        <v>45799</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46968-2023</t>
        </is>
      </c>
      <c r="B1302" s="1" t="n">
        <v>45201</v>
      </c>
      <c r="C1302" s="1" t="n">
        <v>45799</v>
      </c>
      <c r="D1302" t="inlineStr">
        <is>
          <t>KALMAR LÄN</t>
        </is>
      </c>
      <c r="E1302" t="inlineStr">
        <is>
          <t>VÄSTERVIK</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47414-2023</t>
        </is>
      </c>
      <c r="B1303" s="1" t="n">
        <v>45202</v>
      </c>
      <c r="C1303" s="1" t="n">
        <v>45799</v>
      </c>
      <c r="D1303" t="inlineStr">
        <is>
          <t>KALMAR LÄN</t>
        </is>
      </c>
      <c r="E1303" t="inlineStr">
        <is>
          <t>VÄSTERVIK</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47267-2023</t>
        </is>
      </c>
      <c r="B1304" s="1" t="n">
        <v>45202</v>
      </c>
      <c r="C1304" s="1" t="n">
        <v>45799</v>
      </c>
      <c r="D1304" t="inlineStr">
        <is>
          <t>KALMAR LÄN</t>
        </is>
      </c>
      <c r="E1304" t="inlineStr">
        <is>
          <t>VÄSTERVIK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47363-2023</t>
        </is>
      </c>
      <c r="B1305" s="1" t="n">
        <v>45202</v>
      </c>
      <c r="C1305" s="1" t="n">
        <v>45799</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47964-2023</t>
        </is>
      </c>
      <c r="B1306" s="1" t="n">
        <v>45204</v>
      </c>
      <c r="C1306" s="1" t="n">
        <v>45799</v>
      </c>
      <c r="D1306" t="inlineStr">
        <is>
          <t>KALMAR LÄN</t>
        </is>
      </c>
      <c r="E1306" t="inlineStr">
        <is>
          <t>VÄSTERVIK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47945-2023</t>
        </is>
      </c>
      <c r="B1307" s="1" t="n">
        <v>45204</v>
      </c>
      <c r="C1307" s="1" t="n">
        <v>45799</v>
      </c>
      <c r="D1307" t="inlineStr">
        <is>
          <t>KALMAR LÄN</t>
        </is>
      </c>
      <c r="E1307" t="inlineStr">
        <is>
          <t>VÄSTERVIK</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47939-2023</t>
        </is>
      </c>
      <c r="B1308" s="1" t="n">
        <v>45204</v>
      </c>
      <c r="C1308" s="1" t="n">
        <v>45799</v>
      </c>
      <c r="D1308" t="inlineStr">
        <is>
          <t>KALMAR LÄN</t>
        </is>
      </c>
      <c r="E1308" t="inlineStr">
        <is>
          <t>VÄSTERVIK</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48039-2023</t>
        </is>
      </c>
      <c r="B1309" s="1" t="n">
        <v>45204</v>
      </c>
      <c r="C1309" s="1" t="n">
        <v>45799</v>
      </c>
      <c r="D1309" t="inlineStr">
        <is>
          <t>KALMAR LÄN</t>
        </is>
      </c>
      <c r="E1309" t="inlineStr">
        <is>
          <t>VÄSTERVIK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48043-2023</t>
        </is>
      </c>
      <c r="B1310" s="1" t="n">
        <v>45204</v>
      </c>
      <c r="C1310" s="1" t="n">
        <v>45799</v>
      </c>
      <c r="D1310" t="inlineStr">
        <is>
          <t>KALMAR LÄN</t>
        </is>
      </c>
      <c r="E1310" t="inlineStr">
        <is>
          <t>VÄSTERVIK</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48041-2023</t>
        </is>
      </c>
      <c r="B1311" s="1" t="n">
        <v>45204</v>
      </c>
      <c r="C1311" s="1" t="n">
        <v>45799</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47967-2023</t>
        </is>
      </c>
      <c r="B1312" s="1" t="n">
        <v>45204</v>
      </c>
      <c r="C1312" s="1" t="n">
        <v>45799</v>
      </c>
      <c r="D1312" t="inlineStr">
        <is>
          <t>KALMAR LÄN</t>
        </is>
      </c>
      <c r="E1312" t="inlineStr">
        <is>
          <t>VÄSTERVIK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48511-2023</t>
        </is>
      </c>
      <c r="B1313" s="1" t="n">
        <v>45208</v>
      </c>
      <c r="C1313" s="1" t="n">
        <v>45799</v>
      </c>
      <c r="D1313" t="inlineStr">
        <is>
          <t>KALMAR LÄN</t>
        </is>
      </c>
      <c r="E1313" t="inlineStr">
        <is>
          <t>VÄSTERVIK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49177-2023</t>
        </is>
      </c>
      <c r="B1314" s="1" t="n">
        <v>45210</v>
      </c>
      <c r="C1314" s="1" t="n">
        <v>45799</v>
      </c>
      <c r="D1314" t="inlineStr">
        <is>
          <t>KALMAR LÄN</t>
        </is>
      </c>
      <c r="E1314" t="inlineStr">
        <is>
          <t>VÄSTERVIK</t>
        </is>
      </c>
      <c r="G1314" t="n">
        <v>16.7</v>
      </c>
      <c r="H1314" t="n">
        <v>0</v>
      </c>
      <c r="I1314" t="n">
        <v>0</v>
      </c>
      <c r="J1314" t="n">
        <v>0</v>
      </c>
      <c r="K1314" t="n">
        <v>0</v>
      </c>
      <c r="L1314" t="n">
        <v>0</v>
      </c>
      <c r="M1314" t="n">
        <v>0</v>
      </c>
      <c r="N1314" t="n">
        <v>0</v>
      </c>
      <c r="O1314" t="n">
        <v>0</v>
      </c>
      <c r="P1314" t="n">
        <v>0</v>
      </c>
      <c r="Q1314" t="n">
        <v>0</v>
      </c>
      <c r="R1314" s="2" t="inlineStr"/>
    </row>
    <row r="1315" ht="15" customHeight="1">
      <c r="A1315" t="inlineStr">
        <is>
          <t>A 49351-2023</t>
        </is>
      </c>
      <c r="B1315" s="1" t="n">
        <v>45211</v>
      </c>
      <c r="C1315" s="1" t="n">
        <v>45799</v>
      </c>
      <c r="D1315" t="inlineStr">
        <is>
          <t>KALMAR LÄN</t>
        </is>
      </c>
      <c r="E1315" t="inlineStr">
        <is>
          <t>VÄSTERVIK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49355-2023</t>
        </is>
      </c>
      <c r="B1316" s="1" t="n">
        <v>45211</v>
      </c>
      <c r="C1316" s="1" t="n">
        <v>45799</v>
      </c>
      <c r="D1316" t="inlineStr">
        <is>
          <t>KALMAR LÄN</t>
        </is>
      </c>
      <c r="E1316" t="inlineStr">
        <is>
          <t>VÄSTERVIK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49369-2023</t>
        </is>
      </c>
      <c r="B1317" s="1" t="n">
        <v>45211</v>
      </c>
      <c r="C1317" s="1" t="n">
        <v>45799</v>
      </c>
      <c r="D1317" t="inlineStr">
        <is>
          <t>KALMAR LÄN</t>
        </is>
      </c>
      <c r="E1317" t="inlineStr">
        <is>
          <t>VÄSTERVIK</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49452-2023</t>
        </is>
      </c>
      <c r="B1318" s="1" t="n">
        <v>45211</v>
      </c>
      <c r="C1318" s="1" t="n">
        <v>45799</v>
      </c>
      <c r="D1318" t="inlineStr">
        <is>
          <t>KALMAR LÄN</t>
        </is>
      </c>
      <c r="E1318" t="inlineStr">
        <is>
          <t>VÄSTERVIK</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49479-2023</t>
        </is>
      </c>
      <c r="B1319" s="1" t="n">
        <v>45211</v>
      </c>
      <c r="C1319" s="1" t="n">
        <v>45799</v>
      </c>
      <c r="D1319" t="inlineStr">
        <is>
          <t>KALMAR LÄN</t>
        </is>
      </c>
      <c r="E1319" t="inlineStr">
        <is>
          <t>VÄSTERVIK</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49507-2023</t>
        </is>
      </c>
      <c r="B1320" s="1" t="n">
        <v>45211</v>
      </c>
      <c r="C1320" s="1" t="n">
        <v>45799</v>
      </c>
      <c r="D1320" t="inlineStr">
        <is>
          <t>KALMAR LÄN</t>
        </is>
      </c>
      <c r="E1320" t="inlineStr">
        <is>
          <t>VÄSTERVIK</t>
        </is>
      </c>
      <c r="F1320" t="inlineStr">
        <is>
          <t>Övriga Aktiebolag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49516-2023</t>
        </is>
      </c>
      <c r="B1321" s="1" t="n">
        <v>45211</v>
      </c>
      <c r="C1321" s="1" t="n">
        <v>45799</v>
      </c>
      <c r="D1321" t="inlineStr">
        <is>
          <t>KALMAR LÄN</t>
        </is>
      </c>
      <c r="E1321" t="inlineStr">
        <is>
          <t>VÄSTERVIK</t>
        </is>
      </c>
      <c r="F1321" t="inlineStr">
        <is>
          <t>Övriga Aktiebolag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49442-2023</t>
        </is>
      </c>
      <c r="B1322" s="1" t="n">
        <v>45211</v>
      </c>
      <c r="C1322" s="1" t="n">
        <v>45799</v>
      </c>
      <c r="D1322" t="inlineStr">
        <is>
          <t>KALMAR LÄN</t>
        </is>
      </c>
      <c r="E1322" t="inlineStr">
        <is>
          <t>VÄSTERVIK</t>
        </is>
      </c>
      <c r="F1322" t="inlineStr">
        <is>
          <t>Övriga Aktiebolag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49468-2023</t>
        </is>
      </c>
      <c r="B1323" s="1" t="n">
        <v>45211</v>
      </c>
      <c r="C1323" s="1" t="n">
        <v>45799</v>
      </c>
      <c r="D1323" t="inlineStr">
        <is>
          <t>KALMAR LÄN</t>
        </is>
      </c>
      <c r="E1323" t="inlineStr">
        <is>
          <t>VÄSTERVIK</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49580-2023</t>
        </is>
      </c>
      <c r="B1324" s="1" t="n">
        <v>45211</v>
      </c>
      <c r="C1324" s="1" t="n">
        <v>45799</v>
      </c>
      <c r="D1324" t="inlineStr">
        <is>
          <t>KALMAR LÄN</t>
        </is>
      </c>
      <c r="E1324" t="inlineStr">
        <is>
          <t>VÄSTERVIK</t>
        </is>
      </c>
      <c r="F1324" t="inlineStr">
        <is>
          <t>Övriga Aktiebolag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50042-2023</t>
        </is>
      </c>
      <c r="B1325" s="1" t="n">
        <v>45215</v>
      </c>
      <c r="C1325" s="1" t="n">
        <v>45799</v>
      </c>
      <c r="D1325" t="inlineStr">
        <is>
          <t>KALMAR LÄN</t>
        </is>
      </c>
      <c r="E1325" t="inlineStr">
        <is>
          <t>VÄSTERVIK</t>
        </is>
      </c>
      <c r="F1325" t="inlineStr">
        <is>
          <t>Holmen skog AB</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50127-2023</t>
        </is>
      </c>
      <c r="B1326" s="1" t="n">
        <v>45215</v>
      </c>
      <c r="C1326" s="1" t="n">
        <v>45799</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50001-2023</t>
        </is>
      </c>
      <c r="B1327" s="1" t="n">
        <v>45215</v>
      </c>
      <c r="C1327" s="1" t="n">
        <v>45799</v>
      </c>
      <c r="D1327" t="inlineStr">
        <is>
          <t>KALMAR LÄN</t>
        </is>
      </c>
      <c r="E1327" t="inlineStr">
        <is>
          <t>VÄSTERVIK</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50045-2023</t>
        </is>
      </c>
      <c r="B1328" s="1" t="n">
        <v>45215</v>
      </c>
      <c r="C1328" s="1" t="n">
        <v>45799</v>
      </c>
      <c r="D1328" t="inlineStr">
        <is>
          <t>KALMAR LÄN</t>
        </is>
      </c>
      <c r="E1328" t="inlineStr">
        <is>
          <t>VÄSTERVIK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50086-2023</t>
        </is>
      </c>
      <c r="B1329" s="1" t="n">
        <v>45215</v>
      </c>
      <c r="C1329" s="1" t="n">
        <v>45799</v>
      </c>
      <c r="D1329" t="inlineStr">
        <is>
          <t>KALMAR LÄN</t>
        </is>
      </c>
      <c r="E1329" t="inlineStr">
        <is>
          <t>VÄSTERVIK</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52043-2023</t>
        </is>
      </c>
      <c r="B1330" s="1" t="n">
        <v>45216</v>
      </c>
      <c r="C1330" s="1" t="n">
        <v>45799</v>
      </c>
      <c r="D1330" t="inlineStr">
        <is>
          <t>KALMAR LÄN</t>
        </is>
      </c>
      <c r="E1330" t="inlineStr">
        <is>
          <t>VÄSTERVIK</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52049-2023</t>
        </is>
      </c>
      <c r="B1331" s="1" t="n">
        <v>45216</v>
      </c>
      <c r="C1331" s="1" t="n">
        <v>45799</v>
      </c>
      <c r="D1331" t="inlineStr">
        <is>
          <t>KALMAR LÄN</t>
        </is>
      </c>
      <c r="E1331" t="inlineStr">
        <is>
          <t>VÄSTERVIK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52035-2023</t>
        </is>
      </c>
      <c r="B1332" s="1" t="n">
        <v>45216</v>
      </c>
      <c r="C1332" s="1" t="n">
        <v>45799</v>
      </c>
      <c r="D1332" t="inlineStr">
        <is>
          <t>KALMAR LÄN</t>
        </is>
      </c>
      <c r="E1332" t="inlineStr">
        <is>
          <t>VÄSTERVIK</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51524-2023</t>
        </is>
      </c>
      <c r="B1333" s="1" t="n">
        <v>45222</v>
      </c>
      <c r="C1333" s="1" t="n">
        <v>45799</v>
      </c>
      <c r="D1333" t="inlineStr">
        <is>
          <t>KALMAR LÄN</t>
        </is>
      </c>
      <c r="E1333" t="inlineStr">
        <is>
          <t>VÄSTERVIK</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51640-2023</t>
        </is>
      </c>
      <c r="B1334" s="1" t="n">
        <v>45222</v>
      </c>
      <c r="C1334" s="1" t="n">
        <v>45799</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51645-2023</t>
        </is>
      </c>
      <c r="B1335" s="1" t="n">
        <v>45222</v>
      </c>
      <c r="C1335" s="1" t="n">
        <v>45799</v>
      </c>
      <c r="D1335" t="inlineStr">
        <is>
          <t>KALMAR LÄN</t>
        </is>
      </c>
      <c r="E1335" t="inlineStr">
        <is>
          <t>VÄSTERVIK</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51581-2023</t>
        </is>
      </c>
      <c r="B1336" s="1" t="n">
        <v>45222</v>
      </c>
      <c r="C1336" s="1" t="n">
        <v>45799</v>
      </c>
      <c r="D1336" t="inlineStr">
        <is>
          <t>KALMAR LÄN</t>
        </is>
      </c>
      <c r="E1336" t="inlineStr">
        <is>
          <t>VÄSTERVIK</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52189-2023</t>
        </is>
      </c>
      <c r="B1337" s="1" t="n">
        <v>45224</v>
      </c>
      <c r="C1337" s="1" t="n">
        <v>45799</v>
      </c>
      <c r="D1337" t="inlineStr">
        <is>
          <t>KALMAR LÄN</t>
        </is>
      </c>
      <c r="E1337" t="inlineStr">
        <is>
          <t>VÄSTERVIK</t>
        </is>
      </c>
      <c r="F1337" t="inlineStr">
        <is>
          <t>Sveaskog</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52325-2023</t>
        </is>
      </c>
      <c r="B1338" s="1" t="n">
        <v>45224</v>
      </c>
      <c r="C1338" s="1" t="n">
        <v>45799</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52468-2023</t>
        </is>
      </c>
      <c r="B1339" s="1" t="n">
        <v>45225</v>
      </c>
      <c r="C1339" s="1" t="n">
        <v>45799</v>
      </c>
      <c r="D1339" t="inlineStr">
        <is>
          <t>KALMAR LÄN</t>
        </is>
      </c>
      <c r="E1339" t="inlineStr">
        <is>
          <t>VÄSTERVIK</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52845-2023</t>
        </is>
      </c>
      <c r="B1340" s="1" t="n">
        <v>45226</v>
      </c>
      <c r="C1340" s="1" t="n">
        <v>45799</v>
      </c>
      <c r="D1340" t="inlineStr">
        <is>
          <t>KALMAR LÄN</t>
        </is>
      </c>
      <c r="E1340" t="inlineStr">
        <is>
          <t>VÄSTERVIK</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52844-2023</t>
        </is>
      </c>
      <c r="B1341" s="1" t="n">
        <v>45226</v>
      </c>
      <c r="C1341" s="1" t="n">
        <v>45799</v>
      </c>
      <c r="D1341" t="inlineStr">
        <is>
          <t>KALMAR LÄN</t>
        </is>
      </c>
      <c r="E1341" t="inlineStr">
        <is>
          <t>VÄSTERVIK</t>
        </is>
      </c>
      <c r="F1341" t="inlineStr">
        <is>
          <t>Holmen skog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54124-2023</t>
        </is>
      </c>
      <c r="B1342" s="1" t="n">
        <v>45232</v>
      </c>
      <c r="C1342" s="1" t="n">
        <v>45799</v>
      </c>
      <c r="D1342" t="inlineStr">
        <is>
          <t>KALMAR LÄN</t>
        </is>
      </c>
      <c r="E1342" t="inlineStr">
        <is>
          <t>VÄSTERVIK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54135-2023</t>
        </is>
      </c>
      <c r="B1343" s="1" t="n">
        <v>45232</v>
      </c>
      <c r="C1343" s="1" t="n">
        <v>45799</v>
      </c>
      <c r="D1343" t="inlineStr">
        <is>
          <t>KALMAR LÄN</t>
        </is>
      </c>
      <c r="E1343" t="inlineStr">
        <is>
          <t>VÄSTERVIK</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54232-2023</t>
        </is>
      </c>
      <c r="B1344" s="1" t="n">
        <v>45232</v>
      </c>
      <c r="C1344" s="1" t="n">
        <v>45799</v>
      </c>
      <c r="D1344" t="inlineStr">
        <is>
          <t>KALMAR LÄN</t>
        </is>
      </c>
      <c r="E1344" t="inlineStr">
        <is>
          <t>VÄSTERVIK</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54569-2023</t>
        </is>
      </c>
      <c r="B1345" s="1" t="n">
        <v>45233</v>
      </c>
      <c r="C1345" s="1" t="n">
        <v>45799</v>
      </c>
      <c r="D1345" t="inlineStr">
        <is>
          <t>KALMAR LÄN</t>
        </is>
      </c>
      <c r="E1345" t="inlineStr">
        <is>
          <t>VÄSTERVIK</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54358-2023</t>
        </is>
      </c>
      <c r="B1346" s="1" t="n">
        <v>45233</v>
      </c>
      <c r="C1346" s="1" t="n">
        <v>45799</v>
      </c>
      <c r="D1346" t="inlineStr">
        <is>
          <t>KALMAR LÄN</t>
        </is>
      </c>
      <c r="E1346" t="inlineStr">
        <is>
          <t>VÄSTERVIK</t>
        </is>
      </c>
      <c r="F1346" t="inlineStr">
        <is>
          <t>Sveaskog</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54778-2023</t>
        </is>
      </c>
      <c r="B1347" s="1" t="n">
        <v>45236</v>
      </c>
      <c r="C1347" s="1" t="n">
        <v>45799</v>
      </c>
      <c r="D1347" t="inlineStr">
        <is>
          <t>KALMAR LÄN</t>
        </is>
      </c>
      <c r="E1347" t="inlineStr">
        <is>
          <t>VÄSTERVIK</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54951-2023</t>
        </is>
      </c>
      <c r="B1348" s="1" t="n">
        <v>45236</v>
      </c>
      <c r="C1348" s="1" t="n">
        <v>45799</v>
      </c>
      <c r="D1348" t="inlineStr">
        <is>
          <t>KALMAR LÄN</t>
        </is>
      </c>
      <c r="E1348" t="inlineStr">
        <is>
          <t>VÄSTERVIK</t>
        </is>
      </c>
      <c r="F1348" t="inlineStr">
        <is>
          <t>Övriga Aktiebolag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55007-2023</t>
        </is>
      </c>
      <c r="B1349" s="1" t="n">
        <v>45237</v>
      </c>
      <c r="C1349" s="1" t="n">
        <v>45799</v>
      </c>
      <c r="D1349" t="inlineStr">
        <is>
          <t>KALMAR LÄN</t>
        </is>
      </c>
      <c r="E1349" t="inlineStr">
        <is>
          <t>VÄSTERVIK</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54950-2023</t>
        </is>
      </c>
      <c r="B1350" s="1" t="n">
        <v>45236</v>
      </c>
      <c r="C1350" s="1" t="n">
        <v>45799</v>
      </c>
      <c r="D1350" t="inlineStr">
        <is>
          <t>KALMAR LÄN</t>
        </is>
      </c>
      <c r="E1350" t="inlineStr">
        <is>
          <t>VÄSTERVIK</t>
        </is>
      </c>
      <c r="F1350" t="inlineStr">
        <is>
          <t>Övriga Aktiebolag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54784-2023</t>
        </is>
      </c>
      <c r="B1351" s="1" t="n">
        <v>45236</v>
      </c>
      <c r="C1351" s="1" t="n">
        <v>45799</v>
      </c>
      <c r="D1351" t="inlineStr">
        <is>
          <t>KALMAR LÄN</t>
        </is>
      </c>
      <c r="E1351" t="inlineStr">
        <is>
          <t>VÄSTERVIK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54953-2023</t>
        </is>
      </c>
      <c r="B1352" s="1" t="n">
        <v>45236</v>
      </c>
      <c r="C1352" s="1" t="n">
        <v>45799</v>
      </c>
      <c r="D1352" t="inlineStr">
        <is>
          <t>KALMAR LÄN</t>
        </is>
      </c>
      <c r="E1352" t="inlineStr">
        <is>
          <t>VÄSTERVIK</t>
        </is>
      </c>
      <c r="F1352" t="inlineStr">
        <is>
          <t>Övriga Aktiebolag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55287-2023</t>
        </is>
      </c>
      <c r="B1353" s="1" t="n">
        <v>45237</v>
      </c>
      <c r="C1353" s="1" t="n">
        <v>45799</v>
      </c>
      <c r="D1353" t="inlineStr">
        <is>
          <t>KALMAR LÄN</t>
        </is>
      </c>
      <c r="E1353" t="inlineStr">
        <is>
          <t>VÄSTERVIK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55289-2023</t>
        </is>
      </c>
      <c r="B1354" s="1" t="n">
        <v>45237</v>
      </c>
      <c r="C1354" s="1" t="n">
        <v>45799</v>
      </c>
      <c r="D1354" t="inlineStr">
        <is>
          <t>KALMAR LÄN</t>
        </is>
      </c>
      <c r="E1354" t="inlineStr">
        <is>
          <t>VÄSTERVIK</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55403-2023</t>
        </is>
      </c>
      <c r="B1355" s="1" t="n">
        <v>45238</v>
      </c>
      <c r="C1355" s="1" t="n">
        <v>45799</v>
      </c>
      <c r="D1355" t="inlineStr">
        <is>
          <t>KALMAR LÄN</t>
        </is>
      </c>
      <c r="E1355" t="inlineStr">
        <is>
          <t>VÄSTERVIK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55578-2023</t>
        </is>
      </c>
      <c r="B1356" s="1" t="n">
        <v>45238</v>
      </c>
      <c r="C1356" s="1" t="n">
        <v>45799</v>
      </c>
      <c r="D1356" t="inlineStr">
        <is>
          <t>KALMAR LÄN</t>
        </is>
      </c>
      <c r="E1356" t="inlineStr">
        <is>
          <t>VÄSTERVIK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56719-2023</t>
        </is>
      </c>
      <c r="B1357" s="1" t="n">
        <v>45238</v>
      </c>
      <c r="C1357" s="1" t="n">
        <v>45799</v>
      </c>
      <c r="D1357" t="inlineStr">
        <is>
          <t>KALMAR LÄN</t>
        </is>
      </c>
      <c r="E1357" t="inlineStr">
        <is>
          <t>VÄSTERVIK</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55866-2023</t>
        </is>
      </c>
      <c r="B1358" s="1" t="n">
        <v>45239</v>
      </c>
      <c r="C1358" s="1" t="n">
        <v>45799</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55958-2023</t>
        </is>
      </c>
      <c r="B1359" s="1" t="n">
        <v>45240</v>
      </c>
      <c r="C1359" s="1" t="n">
        <v>45799</v>
      </c>
      <c r="D1359" t="inlineStr">
        <is>
          <t>KALMAR LÄN</t>
        </is>
      </c>
      <c r="E1359" t="inlineStr">
        <is>
          <t>VÄSTERVIK</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56188-2023</t>
        </is>
      </c>
      <c r="B1360" s="1" t="n">
        <v>45240</v>
      </c>
      <c r="C1360" s="1" t="n">
        <v>45799</v>
      </c>
      <c r="D1360" t="inlineStr">
        <is>
          <t>KALMAR LÄN</t>
        </is>
      </c>
      <c r="E1360" t="inlineStr">
        <is>
          <t>VÄSTERVIK</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56033-2023</t>
        </is>
      </c>
      <c r="B1361" s="1" t="n">
        <v>45240</v>
      </c>
      <c r="C1361" s="1" t="n">
        <v>45799</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56187-2023</t>
        </is>
      </c>
      <c r="B1362" s="1" t="n">
        <v>45240</v>
      </c>
      <c r="C1362" s="1" t="n">
        <v>45799</v>
      </c>
      <c r="D1362" t="inlineStr">
        <is>
          <t>KALMAR LÄN</t>
        </is>
      </c>
      <c r="E1362" t="inlineStr">
        <is>
          <t>VÄSTERVIK</t>
        </is>
      </c>
      <c r="G1362" t="n">
        <v>1.3</v>
      </c>
      <c r="H1362" t="n">
        <v>0</v>
      </c>
      <c r="I1362" t="n">
        <v>0</v>
      </c>
      <c r="J1362" t="n">
        <v>0</v>
      </c>
      <c r="K1362" t="n">
        <v>0</v>
      </c>
      <c r="L1362" t="n">
        <v>0</v>
      </c>
      <c r="M1362" t="n">
        <v>0</v>
      </c>
      <c r="N1362" t="n">
        <v>0</v>
      </c>
      <c r="O1362" t="n">
        <v>0</v>
      </c>
      <c r="P1362" t="n">
        <v>0</v>
      </c>
      <c r="Q1362" t="n">
        <v>0</v>
      </c>
      <c r="R1362" s="2" t="inlineStr"/>
      <c r="U1362">
        <f>HYPERLINK("https://klasma.github.io/Logging_0883/knärot/A 56187-2023 karta knärot.png", "A 56187-2023")</f>
        <v/>
      </c>
      <c r="V1362">
        <f>HYPERLINK("https://klasma.github.io/Logging_0883/klagomål/A 56187-2023 FSC-klagomål.docx", "A 56187-2023")</f>
        <v/>
      </c>
      <c r="W1362">
        <f>HYPERLINK("https://klasma.github.io/Logging_0883/klagomålsmail/A 56187-2023 FSC-klagomål mail.docx", "A 56187-2023")</f>
        <v/>
      </c>
      <c r="X1362">
        <f>HYPERLINK("https://klasma.github.io/Logging_0883/tillsyn/A 56187-2023 tillsynsbegäran.docx", "A 56187-2023")</f>
        <v/>
      </c>
      <c r="Y1362">
        <f>HYPERLINK("https://klasma.github.io/Logging_0883/tillsynsmail/A 56187-2023 tillsynsbegäran mail.docx", "A 56187-2023")</f>
        <v/>
      </c>
    </row>
    <row r="1363" ht="15" customHeight="1">
      <c r="A1363" t="inlineStr">
        <is>
          <t>A 56042-2023</t>
        </is>
      </c>
      <c r="B1363" s="1" t="n">
        <v>45240</v>
      </c>
      <c r="C1363" s="1" t="n">
        <v>45799</v>
      </c>
      <c r="D1363" t="inlineStr">
        <is>
          <t>KALMAR LÄN</t>
        </is>
      </c>
      <c r="E1363" t="inlineStr">
        <is>
          <t>VÄSTERVIK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56046-2023</t>
        </is>
      </c>
      <c r="B1364" s="1" t="n">
        <v>45240</v>
      </c>
      <c r="C1364" s="1" t="n">
        <v>45799</v>
      </c>
      <c r="D1364" t="inlineStr">
        <is>
          <t>KALMAR LÄN</t>
        </is>
      </c>
      <c r="E1364" t="inlineStr">
        <is>
          <t>VÄSTERVIK</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57019-2023</t>
        </is>
      </c>
      <c r="B1365" s="1" t="n">
        <v>45244</v>
      </c>
      <c r="C1365" s="1" t="n">
        <v>45799</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57025-2023</t>
        </is>
      </c>
      <c r="B1366" s="1" t="n">
        <v>45244</v>
      </c>
      <c r="C1366" s="1" t="n">
        <v>45799</v>
      </c>
      <c r="D1366" t="inlineStr">
        <is>
          <t>KALMAR LÄN</t>
        </is>
      </c>
      <c r="E1366" t="inlineStr">
        <is>
          <t>VÄSTERVIK</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57367-2023</t>
        </is>
      </c>
      <c r="B1367" s="1" t="n">
        <v>45245</v>
      </c>
      <c r="C1367" s="1" t="n">
        <v>45799</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57162-2023</t>
        </is>
      </c>
      <c r="B1368" s="1" t="n">
        <v>45245</v>
      </c>
      <c r="C1368" s="1" t="n">
        <v>45799</v>
      </c>
      <c r="D1368" t="inlineStr">
        <is>
          <t>KALMAR LÄN</t>
        </is>
      </c>
      <c r="E1368" t="inlineStr">
        <is>
          <t>VÄSTERVIK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57369-2023</t>
        </is>
      </c>
      <c r="B1369" s="1" t="n">
        <v>45245</v>
      </c>
      <c r="C1369" s="1" t="n">
        <v>45799</v>
      </c>
      <c r="D1369" t="inlineStr">
        <is>
          <t>KALMAR LÄN</t>
        </is>
      </c>
      <c r="E1369" t="inlineStr">
        <is>
          <t>VÄSTERVIK</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57368-2023</t>
        </is>
      </c>
      <c r="B1370" s="1" t="n">
        <v>45245</v>
      </c>
      <c r="C1370" s="1" t="n">
        <v>45799</v>
      </c>
      <c r="D1370" t="inlineStr">
        <is>
          <t>KALMAR LÄN</t>
        </is>
      </c>
      <c r="E1370" t="inlineStr">
        <is>
          <t>VÄSTERVIK</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57366-2023</t>
        </is>
      </c>
      <c r="B1371" s="1" t="n">
        <v>45245</v>
      </c>
      <c r="C1371" s="1" t="n">
        <v>45799</v>
      </c>
      <c r="D1371" t="inlineStr">
        <is>
          <t>KALMAR LÄN</t>
        </is>
      </c>
      <c r="E1371" t="inlineStr">
        <is>
          <t>VÄSTERVIK</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57757-2023</t>
        </is>
      </c>
      <c r="B1372" s="1" t="n">
        <v>45246</v>
      </c>
      <c r="C1372" s="1" t="n">
        <v>45799</v>
      </c>
      <c r="D1372" t="inlineStr">
        <is>
          <t>KALMAR LÄN</t>
        </is>
      </c>
      <c r="E1372" t="inlineStr">
        <is>
          <t>VÄSTERVIK</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58454-2023</t>
        </is>
      </c>
      <c r="B1373" s="1" t="n">
        <v>45250</v>
      </c>
      <c r="C1373" s="1" t="n">
        <v>45799</v>
      </c>
      <c r="D1373" t="inlineStr">
        <is>
          <t>KALMAR LÄN</t>
        </is>
      </c>
      <c r="E1373" t="inlineStr">
        <is>
          <t>VÄSTERVIK</t>
        </is>
      </c>
      <c r="F1373" t="inlineStr">
        <is>
          <t>Holmen skog AB</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58703-2023</t>
        </is>
      </c>
      <c r="B1374" s="1" t="n">
        <v>45251</v>
      </c>
      <c r="C1374" s="1" t="n">
        <v>45799</v>
      </c>
      <c r="D1374" t="inlineStr">
        <is>
          <t>KALMAR LÄN</t>
        </is>
      </c>
      <c r="E1374" t="inlineStr">
        <is>
          <t>VÄSTERVIK</t>
        </is>
      </c>
      <c r="F1374" t="inlineStr">
        <is>
          <t>Övriga Aktiebolag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59331-2023</t>
        </is>
      </c>
      <c r="B1375" s="1" t="n">
        <v>45253</v>
      </c>
      <c r="C1375" s="1" t="n">
        <v>45799</v>
      </c>
      <c r="D1375" t="inlineStr">
        <is>
          <t>KALMAR LÄN</t>
        </is>
      </c>
      <c r="E1375" t="inlineStr">
        <is>
          <t>VÄSTERVIK</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59539-2023</t>
        </is>
      </c>
      <c r="B1376" s="1" t="n">
        <v>45254</v>
      </c>
      <c r="C1376" s="1" t="n">
        <v>45799</v>
      </c>
      <c r="D1376" t="inlineStr">
        <is>
          <t>KALMAR LÄN</t>
        </is>
      </c>
      <c r="E1376" t="inlineStr">
        <is>
          <t>VÄSTERVIK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59696-2023</t>
        </is>
      </c>
      <c r="B1377" s="1" t="n">
        <v>45256</v>
      </c>
      <c r="C1377" s="1" t="n">
        <v>45799</v>
      </c>
      <c r="D1377" t="inlineStr">
        <is>
          <t>KALMAR LÄN</t>
        </is>
      </c>
      <c r="E1377" t="inlineStr">
        <is>
          <t>VÄSTERVIK</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59695-2023</t>
        </is>
      </c>
      <c r="B1378" s="1" t="n">
        <v>45256</v>
      </c>
      <c r="C1378" s="1" t="n">
        <v>45799</v>
      </c>
      <c r="D1378" t="inlineStr">
        <is>
          <t>KALMAR LÄN</t>
        </is>
      </c>
      <c r="E1378" t="inlineStr">
        <is>
          <t>VÄSTERVIK</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59732-2023</t>
        </is>
      </c>
      <c r="B1379" s="1" t="n">
        <v>45257</v>
      </c>
      <c r="C1379" s="1" t="n">
        <v>45799</v>
      </c>
      <c r="D1379" t="inlineStr">
        <is>
          <t>KALMAR LÄN</t>
        </is>
      </c>
      <c r="E1379" t="inlineStr">
        <is>
          <t>VÄSTERVIK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59844-2023</t>
        </is>
      </c>
      <c r="B1380" s="1" t="n">
        <v>45257</v>
      </c>
      <c r="C1380" s="1" t="n">
        <v>45799</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59847-2023</t>
        </is>
      </c>
      <c r="B1381" s="1" t="n">
        <v>45257</v>
      </c>
      <c r="C1381" s="1" t="n">
        <v>45799</v>
      </c>
      <c r="D1381" t="inlineStr">
        <is>
          <t>KALMAR LÄN</t>
        </is>
      </c>
      <c r="E1381" t="inlineStr">
        <is>
          <t>VÄSTERVIK</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60056-2023</t>
        </is>
      </c>
      <c r="B1382" s="1" t="n">
        <v>45258</v>
      </c>
      <c r="C1382" s="1" t="n">
        <v>45799</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60196-2023</t>
        </is>
      </c>
      <c r="B1383" s="1" t="n">
        <v>45258</v>
      </c>
      <c r="C1383" s="1" t="n">
        <v>45799</v>
      </c>
      <c r="D1383" t="inlineStr">
        <is>
          <t>KALMAR LÄN</t>
        </is>
      </c>
      <c r="E1383" t="inlineStr">
        <is>
          <t>VÄSTERVIK</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60179-2023</t>
        </is>
      </c>
      <c r="B1384" s="1" t="n">
        <v>45258</v>
      </c>
      <c r="C1384" s="1" t="n">
        <v>45799</v>
      </c>
      <c r="D1384" t="inlineStr">
        <is>
          <t>KALMAR LÄN</t>
        </is>
      </c>
      <c r="E1384" t="inlineStr">
        <is>
          <t>VÄSTERVIK</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60187-2023</t>
        </is>
      </c>
      <c r="B1385" s="1" t="n">
        <v>45258</v>
      </c>
      <c r="C1385" s="1" t="n">
        <v>45799</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60300-2023</t>
        </is>
      </c>
      <c r="B1386" s="1" t="n">
        <v>45258</v>
      </c>
      <c r="C1386" s="1" t="n">
        <v>45799</v>
      </c>
      <c r="D1386" t="inlineStr">
        <is>
          <t>KALMAR LÄN</t>
        </is>
      </c>
      <c r="E1386" t="inlineStr">
        <is>
          <t>VÄSTERVIK</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60634-2023</t>
        </is>
      </c>
      <c r="B1387" s="1" t="n">
        <v>45260</v>
      </c>
      <c r="C1387" s="1" t="n">
        <v>45799</v>
      </c>
      <c r="D1387" t="inlineStr">
        <is>
          <t>KALMAR LÄN</t>
        </is>
      </c>
      <c r="E1387" t="inlineStr">
        <is>
          <t>VÄSTERVIK</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60921-2023</t>
        </is>
      </c>
      <c r="B1388" s="1" t="n">
        <v>45261</v>
      </c>
      <c r="C1388" s="1" t="n">
        <v>45799</v>
      </c>
      <c r="D1388" t="inlineStr">
        <is>
          <t>KALMAR LÄN</t>
        </is>
      </c>
      <c r="E1388" t="inlineStr">
        <is>
          <t>VÄSTERVIK</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61556-2023</t>
        </is>
      </c>
      <c r="B1389" s="1" t="n">
        <v>45261</v>
      </c>
      <c r="C1389" s="1" t="n">
        <v>45799</v>
      </c>
      <c r="D1389" t="inlineStr">
        <is>
          <t>KALMAR LÄN</t>
        </is>
      </c>
      <c r="E1389" t="inlineStr">
        <is>
          <t>VÄSTERVIK</t>
        </is>
      </c>
      <c r="F1389" t="inlineStr">
        <is>
          <t>Övriga Aktiebolag</t>
        </is>
      </c>
      <c r="G1389" t="n">
        <v>13.9</v>
      </c>
      <c r="H1389" t="n">
        <v>0</v>
      </c>
      <c r="I1389" t="n">
        <v>0</v>
      </c>
      <c r="J1389" t="n">
        <v>0</v>
      </c>
      <c r="K1389" t="n">
        <v>0</v>
      </c>
      <c r="L1389" t="n">
        <v>0</v>
      </c>
      <c r="M1389" t="n">
        <v>0</v>
      </c>
      <c r="N1389" t="n">
        <v>0</v>
      </c>
      <c r="O1389" t="n">
        <v>0</v>
      </c>
      <c r="P1389" t="n">
        <v>0</v>
      </c>
      <c r="Q1389" t="n">
        <v>0</v>
      </c>
      <c r="R1389" s="2" t="inlineStr"/>
    </row>
    <row r="1390" ht="15" customHeight="1">
      <c r="A1390" t="inlineStr">
        <is>
          <t>A 61450-2023</t>
        </is>
      </c>
      <c r="B1390" s="1" t="n">
        <v>45264</v>
      </c>
      <c r="C1390" s="1" t="n">
        <v>45799</v>
      </c>
      <c r="D1390" t="inlineStr">
        <is>
          <t>KALMAR LÄN</t>
        </is>
      </c>
      <c r="E1390" t="inlineStr">
        <is>
          <t>VÄSTERVIK</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61449-2023</t>
        </is>
      </c>
      <c r="B1391" s="1" t="n">
        <v>45264</v>
      </c>
      <c r="C1391" s="1" t="n">
        <v>45799</v>
      </c>
      <c r="D1391" t="inlineStr">
        <is>
          <t>KALMAR LÄN</t>
        </is>
      </c>
      <c r="E1391" t="inlineStr">
        <is>
          <t>VÄSTERVIK</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61448-2023</t>
        </is>
      </c>
      <c r="B1392" s="1" t="n">
        <v>45264</v>
      </c>
      <c r="C1392" s="1" t="n">
        <v>45799</v>
      </c>
      <c r="D1392" t="inlineStr">
        <is>
          <t>KALMAR LÄN</t>
        </is>
      </c>
      <c r="E1392" t="inlineStr">
        <is>
          <t>VÄSTERVIK</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61728-2023</t>
        </is>
      </c>
      <c r="B1393" s="1" t="n">
        <v>45265</v>
      </c>
      <c r="C1393" s="1" t="n">
        <v>45799</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61746-2023</t>
        </is>
      </c>
      <c r="B1394" s="1" t="n">
        <v>45265</v>
      </c>
      <c r="C1394" s="1" t="n">
        <v>45799</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61807-2023</t>
        </is>
      </c>
      <c r="B1395" s="1" t="n">
        <v>45266</v>
      </c>
      <c r="C1395" s="1" t="n">
        <v>45799</v>
      </c>
      <c r="D1395" t="inlineStr">
        <is>
          <t>KALMAR LÄN</t>
        </is>
      </c>
      <c r="E1395" t="inlineStr">
        <is>
          <t>VÄSTERVIK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61999-2023</t>
        </is>
      </c>
      <c r="B1396" s="1" t="n">
        <v>45266</v>
      </c>
      <c r="C1396" s="1" t="n">
        <v>45799</v>
      </c>
      <c r="D1396" t="inlineStr">
        <is>
          <t>KALMAR LÄN</t>
        </is>
      </c>
      <c r="E1396" t="inlineStr">
        <is>
          <t>VÄSTERVIK</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62003-2023</t>
        </is>
      </c>
      <c r="B1397" s="1" t="n">
        <v>45266</v>
      </c>
      <c r="C1397" s="1" t="n">
        <v>45799</v>
      </c>
      <c r="D1397" t="inlineStr">
        <is>
          <t>KALMAR LÄN</t>
        </is>
      </c>
      <c r="E1397" t="inlineStr">
        <is>
          <t>VÄSTERVIK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62017-2023</t>
        </is>
      </c>
      <c r="B1398" s="1" t="n">
        <v>45266</v>
      </c>
      <c r="C1398" s="1" t="n">
        <v>45799</v>
      </c>
      <c r="D1398" t="inlineStr">
        <is>
          <t>KALMAR LÄN</t>
        </is>
      </c>
      <c r="E1398" t="inlineStr">
        <is>
          <t>VÄSTERVIK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62027-2023</t>
        </is>
      </c>
      <c r="B1399" s="1" t="n">
        <v>45266</v>
      </c>
      <c r="C1399" s="1" t="n">
        <v>45799</v>
      </c>
      <c r="D1399" t="inlineStr">
        <is>
          <t>KALMAR LÄN</t>
        </is>
      </c>
      <c r="E1399" t="inlineStr">
        <is>
          <t>VÄSTERVIK</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62034-2023</t>
        </is>
      </c>
      <c r="B1400" s="1" t="n">
        <v>45266</v>
      </c>
      <c r="C1400" s="1" t="n">
        <v>45799</v>
      </c>
      <c r="D1400" t="inlineStr">
        <is>
          <t>KALMAR LÄN</t>
        </is>
      </c>
      <c r="E1400" t="inlineStr">
        <is>
          <t>VÄSTERVIK</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62340-2023</t>
        </is>
      </c>
      <c r="B1401" s="1" t="n">
        <v>45267</v>
      </c>
      <c r="C1401" s="1" t="n">
        <v>45799</v>
      </c>
      <c r="D1401" t="inlineStr">
        <is>
          <t>KALMAR LÄN</t>
        </is>
      </c>
      <c r="E1401" t="inlineStr">
        <is>
          <t>VÄSTERVIK</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62589-2023</t>
        </is>
      </c>
      <c r="B1402" s="1" t="n">
        <v>45270</v>
      </c>
      <c r="C1402" s="1" t="n">
        <v>45799</v>
      </c>
      <c r="D1402" t="inlineStr">
        <is>
          <t>KALMAR LÄN</t>
        </is>
      </c>
      <c r="E1402" t="inlineStr">
        <is>
          <t>VÄSTERVIK</t>
        </is>
      </c>
      <c r="F1402" t="inlineStr">
        <is>
          <t>Holmen skog AB</t>
        </is>
      </c>
      <c r="G1402" t="n">
        <v>1.1</v>
      </c>
      <c r="H1402" t="n">
        <v>0</v>
      </c>
      <c r="I1402" t="n">
        <v>0</v>
      </c>
      <c r="J1402" t="n">
        <v>0</v>
      </c>
      <c r="K1402" t="n">
        <v>0</v>
      </c>
      <c r="L1402" t="n">
        <v>0</v>
      </c>
      <c r="M1402" t="n">
        <v>0</v>
      </c>
      <c r="N1402" t="n">
        <v>0</v>
      </c>
      <c r="O1402" t="n">
        <v>0</v>
      </c>
      <c r="P1402" t="n">
        <v>0</v>
      </c>
      <c r="Q1402" t="n">
        <v>0</v>
      </c>
      <c r="R1402" s="2" t="inlineStr"/>
      <c r="U1402">
        <f>HYPERLINK("https://klasma.github.io/Logging_0883/knärot/A 62589-2023 karta knärot.png", "A 62589-2023")</f>
        <v/>
      </c>
      <c r="V1402">
        <f>HYPERLINK("https://klasma.github.io/Logging_0883/klagomål/A 62589-2023 FSC-klagomål.docx", "A 62589-2023")</f>
        <v/>
      </c>
      <c r="W1402">
        <f>HYPERLINK("https://klasma.github.io/Logging_0883/klagomålsmail/A 62589-2023 FSC-klagomål mail.docx", "A 62589-2023")</f>
        <v/>
      </c>
      <c r="X1402">
        <f>HYPERLINK("https://klasma.github.io/Logging_0883/tillsyn/A 62589-2023 tillsynsbegäran.docx", "A 62589-2023")</f>
        <v/>
      </c>
      <c r="Y1402">
        <f>HYPERLINK("https://klasma.github.io/Logging_0883/tillsynsmail/A 62589-2023 tillsynsbegäran mail.docx", "A 62589-2023")</f>
        <v/>
      </c>
    </row>
    <row r="1403" ht="15" customHeight="1">
      <c r="A1403" t="inlineStr">
        <is>
          <t>A 62898-2023</t>
        </is>
      </c>
      <c r="B1403" s="1" t="n">
        <v>45271</v>
      </c>
      <c r="C1403" s="1" t="n">
        <v>45799</v>
      </c>
      <c r="D1403" t="inlineStr">
        <is>
          <t>KALMAR LÄN</t>
        </is>
      </c>
      <c r="E1403" t="inlineStr">
        <is>
          <t>VÄSTERVIK</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62888-2023</t>
        </is>
      </c>
      <c r="B1404" s="1" t="n">
        <v>45272</v>
      </c>
      <c r="C1404" s="1" t="n">
        <v>45799</v>
      </c>
      <c r="D1404" t="inlineStr">
        <is>
          <t>KALMAR LÄN</t>
        </is>
      </c>
      <c r="E1404" t="inlineStr">
        <is>
          <t>VÄSTERVIK</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63018-2023</t>
        </is>
      </c>
      <c r="B1405" s="1" t="n">
        <v>45272</v>
      </c>
      <c r="C1405" s="1" t="n">
        <v>45799</v>
      </c>
      <c r="D1405" t="inlineStr">
        <is>
          <t>KALMAR LÄN</t>
        </is>
      </c>
      <c r="E1405" t="inlineStr">
        <is>
          <t>VÄSTERVIK</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62873-2023</t>
        </is>
      </c>
      <c r="B1406" s="1" t="n">
        <v>45272</v>
      </c>
      <c r="C1406" s="1" t="n">
        <v>45799</v>
      </c>
      <c r="D1406" t="inlineStr">
        <is>
          <t>KALMAR LÄN</t>
        </is>
      </c>
      <c r="E1406" t="inlineStr">
        <is>
          <t>VÄSTERVIK</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62887-2023</t>
        </is>
      </c>
      <c r="B1407" s="1" t="n">
        <v>45272</v>
      </c>
      <c r="C1407" s="1" t="n">
        <v>45799</v>
      </c>
      <c r="D1407" t="inlineStr">
        <is>
          <t>KALMAR LÄN</t>
        </is>
      </c>
      <c r="E1407" t="inlineStr">
        <is>
          <t>VÄSTERVIK</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62850-2023</t>
        </is>
      </c>
      <c r="B1408" s="1" t="n">
        <v>45272</v>
      </c>
      <c r="C1408" s="1" t="n">
        <v>45799</v>
      </c>
      <c r="D1408" t="inlineStr">
        <is>
          <t>KALMAR LÄN</t>
        </is>
      </c>
      <c r="E1408" t="inlineStr">
        <is>
          <t>VÄSTERVIK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62876-2023</t>
        </is>
      </c>
      <c r="B1409" s="1" t="n">
        <v>45272</v>
      </c>
      <c r="C1409" s="1" t="n">
        <v>45799</v>
      </c>
      <c r="D1409" t="inlineStr">
        <is>
          <t>KALMAR LÄN</t>
        </is>
      </c>
      <c r="E1409" t="inlineStr">
        <is>
          <t>VÄSTERVIK</t>
        </is>
      </c>
      <c r="F1409" t="inlineStr">
        <is>
          <t>Sveaskog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63023-2023</t>
        </is>
      </c>
      <c r="B1410" s="1" t="n">
        <v>45272</v>
      </c>
      <c r="C1410" s="1" t="n">
        <v>45799</v>
      </c>
      <c r="D1410" t="inlineStr">
        <is>
          <t>KALMAR LÄN</t>
        </is>
      </c>
      <c r="E1410" t="inlineStr">
        <is>
          <t>VÄSTERVIK</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63043-2023</t>
        </is>
      </c>
      <c r="B1411" s="1" t="n">
        <v>45272</v>
      </c>
      <c r="C1411" s="1" t="n">
        <v>45799</v>
      </c>
      <c r="D1411" t="inlineStr">
        <is>
          <t>KALMAR LÄN</t>
        </is>
      </c>
      <c r="E1411" t="inlineStr">
        <is>
          <t>VÄSTERVIK</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62921-2023</t>
        </is>
      </c>
      <c r="B1412" s="1" t="n">
        <v>45272</v>
      </c>
      <c r="C1412" s="1" t="n">
        <v>45799</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63017-2023</t>
        </is>
      </c>
      <c r="B1413" s="1" t="n">
        <v>45272</v>
      </c>
      <c r="C1413" s="1" t="n">
        <v>45799</v>
      </c>
      <c r="D1413" t="inlineStr">
        <is>
          <t>KALMAR LÄN</t>
        </is>
      </c>
      <c r="E1413" t="inlineStr">
        <is>
          <t>VÄSTERVIK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63021-2023</t>
        </is>
      </c>
      <c r="B1414" s="1" t="n">
        <v>45272</v>
      </c>
      <c r="C1414" s="1" t="n">
        <v>45799</v>
      </c>
      <c r="D1414" t="inlineStr">
        <is>
          <t>KALMAR LÄN</t>
        </is>
      </c>
      <c r="E1414" t="inlineStr">
        <is>
          <t>VÄSTERVIK</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63041-2023</t>
        </is>
      </c>
      <c r="B1415" s="1" t="n">
        <v>45272</v>
      </c>
      <c r="C1415" s="1" t="n">
        <v>45799</v>
      </c>
      <c r="D1415" t="inlineStr">
        <is>
          <t>KALMAR LÄN</t>
        </is>
      </c>
      <c r="E1415" t="inlineStr">
        <is>
          <t>VÄSTERVIK</t>
        </is>
      </c>
      <c r="F1415" t="inlineStr">
        <is>
          <t>Sveaskog</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63361-2023</t>
        </is>
      </c>
      <c r="B1416" s="1" t="n">
        <v>45274</v>
      </c>
      <c r="C1416" s="1" t="n">
        <v>45799</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63606-2023</t>
        </is>
      </c>
      <c r="B1417" s="1" t="n">
        <v>45275</v>
      </c>
      <c r="C1417" s="1" t="n">
        <v>45799</v>
      </c>
      <c r="D1417" t="inlineStr">
        <is>
          <t>KALMAR LÄN</t>
        </is>
      </c>
      <c r="E1417" t="inlineStr">
        <is>
          <t>VÄSTERVIK</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63890-2023</t>
        </is>
      </c>
      <c r="B1418" s="1" t="n">
        <v>45278</v>
      </c>
      <c r="C1418" s="1" t="n">
        <v>45799</v>
      </c>
      <c r="D1418" t="inlineStr">
        <is>
          <t>KALMAR LÄN</t>
        </is>
      </c>
      <c r="E1418" t="inlineStr">
        <is>
          <t>VÄSTERVIK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63859-2023</t>
        </is>
      </c>
      <c r="B1419" s="1" t="n">
        <v>45278</v>
      </c>
      <c r="C1419" s="1" t="n">
        <v>45799</v>
      </c>
      <c r="D1419" t="inlineStr">
        <is>
          <t>KALMAR LÄN</t>
        </is>
      </c>
      <c r="E1419" t="inlineStr">
        <is>
          <t>VÄSTERVIK</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64040-2023</t>
        </is>
      </c>
      <c r="B1420" s="1" t="n">
        <v>45279</v>
      </c>
      <c r="C1420" s="1" t="n">
        <v>45799</v>
      </c>
      <c r="D1420" t="inlineStr">
        <is>
          <t>KALMAR LÄN</t>
        </is>
      </c>
      <c r="E1420" t="inlineStr">
        <is>
          <t>VÄSTERVIK</t>
        </is>
      </c>
      <c r="F1420" t="inlineStr">
        <is>
          <t>Holmen skog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64580-2023</t>
        </is>
      </c>
      <c r="B1421" s="1" t="n">
        <v>45281</v>
      </c>
      <c r="C1421" s="1" t="n">
        <v>45799</v>
      </c>
      <c r="D1421" t="inlineStr">
        <is>
          <t>KALMAR LÄN</t>
        </is>
      </c>
      <c r="E1421" t="inlineStr">
        <is>
          <t>VÄSTERVIK</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64762-2023</t>
        </is>
      </c>
      <c r="B1422" s="1" t="n">
        <v>45282</v>
      </c>
      <c r="C1422" s="1" t="n">
        <v>45799</v>
      </c>
      <c r="D1422" t="inlineStr">
        <is>
          <t>KALMAR LÄN</t>
        </is>
      </c>
      <c r="E1422" t="inlineStr">
        <is>
          <t>VÄSTERVIK</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64763-2023</t>
        </is>
      </c>
      <c r="B1423" s="1" t="n">
        <v>45282</v>
      </c>
      <c r="C1423" s="1" t="n">
        <v>45799</v>
      </c>
      <c r="D1423" t="inlineStr">
        <is>
          <t>KALMAR LÄN</t>
        </is>
      </c>
      <c r="E1423" t="inlineStr">
        <is>
          <t>VÄSTERVIK</t>
        </is>
      </c>
      <c r="F1423" t="inlineStr">
        <is>
          <t>Övriga Aktiebolag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64760-2023</t>
        </is>
      </c>
      <c r="B1424" s="1" t="n">
        <v>45282</v>
      </c>
      <c r="C1424" s="1" t="n">
        <v>45799</v>
      </c>
      <c r="D1424" t="inlineStr">
        <is>
          <t>KALMAR LÄN</t>
        </is>
      </c>
      <c r="E1424" t="inlineStr">
        <is>
          <t>VÄSTERVIK</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64886-2023</t>
        </is>
      </c>
      <c r="B1425" s="1" t="n">
        <v>45282</v>
      </c>
      <c r="C1425" s="1" t="n">
        <v>45799</v>
      </c>
      <c r="D1425" t="inlineStr">
        <is>
          <t>KALMAR LÄN</t>
        </is>
      </c>
      <c r="E1425" t="inlineStr">
        <is>
          <t>VÄSTERVIK</t>
        </is>
      </c>
      <c r="F1425" t="inlineStr">
        <is>
          <t>Sveaskog</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65046-2023</t>
        </is>
      </c>
      <c r="B1426" s="1" t="n">
        <v>45287</v>
      </c>
      <c r="C1426" s="1" t="n">
        <v>45799</v>
      </c>
      <c r="D1426" t="inlineStr">
        <is>
          <t>KALMAR LÄN</t>
        </is>
      </c>
      <c r="E1426" t="inlineStr">
        <is>
          <t>VÄSTERVIK</t>
        </is>
      </c>
      <c r="F1426" t="inlineStr">
        <is>
          <t>Holmen skog AB</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65028-2023</t>
        </is>
      </c>
      <c r="B1427" s="1" t="n">
        <v>45287</v>
      </c>
      <c r="C1427" s="1" t="n">
        <v>45799</v>
      </c>
      <c r="D1427" t="inlineStr">
        <is>
          <t>KALMAR LÄN</t>
        </is>
      </c>
      <c r="E1427" t="inlineStr">
        <is>
          <t>VÄSTERVIK</t>
        </is>
      </c>
      <c r="F1427" t="inlineStr">
        <is>
          <t>Holmen skog AB</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65059-2023</t>
        </is>
      </c>
      <c r="B1428" s="1" t="n">
        <v>45287</v>
      </c>
      <c r="C1428" s="1" t="n">
        <v>45799</v>
      </c>
      <c r="D1428" t="inlineStr">
        <is>
          <t>KALMAR LÄN</t>
        </is>
      </c>
      <c r="E1428" t="inlineStr">
        <is>
          <t>VÄSTERVIK</t>
        </is>
      </c>
      <c r="F1428" t="inlineStr">
        <is>
          <t>Holmen skog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338-2024</t>
        </is>
      </c>
      <c r="B1429" s="1" t="n">
        <v>45295</v>
      </c>
      <c r="C1429" s="1" t="n">
        <v>45799</v>
      </c>
      <c r="D1429" t="inlineStr">
        <is>
          <t>KALMAR LÄN</t>
        </is>
      </c>
      <c r="E1429" t="inlineStr">
        <is>
          <t>VÄSTERVIK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340-2024</t>
        </is>
      </c>
      <c r="B1430" s="1" t="n">
        <v>45295</v>
      </c>
      <c r="C1430" s="1" t="n">
        <v>45799</v>
      </c>
      <c r="D1430" t="inlineStr">
        <is>
          <t>KALMAR LÄN</t>
        </is>
      </c>
      <c r="E1430" t="inlineStr">
        <is>
          <t>VÄSTERVIK</t>
        </is>
      </c>
      <c r="F1430" t="inlineStr">
        <is>
          <t>Holmen skog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492-2024</t>
        </is>
      </c>
      <c r="B1431" s="1" t="n">
        <v>45299</v>
      </c>
      <c r="C1431" s="1" t="n">
        <v>45799</v>
      </c>
      <c r="D1431" t="inlineStr">
        <is>
          <t>KALMAR LÄN</t>
        </is>
      </c>
      <c r="E1431" t="inlineStr">
        <is>
          <t>VÄSTERVIK</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782-2024</t>
        </is>
      </c>
      <c r="B1432" s="1" t="n">
        <v>45300</v>
      </c>
      <c r="C1432" s="1" t="n">
        <v>45799</v>
      </c>
      <c r="D1432" t="inlineStr">
        <is>
          <t>KALMAR LÄN</t>
        </is>
      </c>
      <c r="E1432" t="inlineStr">
        <is>
          <t>VÄSTERVIK</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928-2024</t>
        </is>
      </c>
      <c r="B1433" s="1" t="n">
        <v>45301</v>
      </c>
      <c r="C1433" s="1" t="n">
        <v>45799</v>
      </c>
      <c r="D1433" t="inlineStr">
        <is>
          <t>KALMAR LÄN</t>
        </is>
      </c>
      <c r="E1433" t="inlineStr">
        <is>
          <t>VÄSTERVIK</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936-2024</t>
        </is>
      </c>
      <c r="B1434" s="1" t="n">
        <v>45301</v>
      </c>
      <c r="C1434" s="1" t="n">
        <v>45799</v>
      </c>
      <c r="D1434" t="inlineStr">
        <is>
          <t>KALMAR LÄN</t>
        </is>
      </c>
      <c r="E1434" t="inlineStr">
        <is>
          <t>VÄSTERVIK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944-2024</t>
        </is>
      </c>
      <c r="B1435" s="1" t="n">
        <v>45301</v>
      </c>
      <c r="C1435" s="1" t="n">
        <v>45799</v>
      </c>
      <c r="D1435" t="inlineStr">
        <is>
          <t>KALMAR LÄN</t>
        </is>
      </c>
      <c r="E1435" t="inlineStr">
        <is>
          <t>VÄSTERVIK</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901-2024</t>
        </is>
      </c>
      <c r="B1436" s="1" t="n">
        <v>45301</v>
      </c>
      <c r="C1436" s="1" t="n">
        <v>45799</v>
      </c>
      <c r="D1436" t="inlineStr">
        <is>
          <t>KALMAR LÄN</t>
        </is>
      </c>
      <c r="E1436" t="inlineStr">
        <is>
          <t>VÄSTERVIK</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925-2024</t>
        </is>
      </c>
      <c r="B1437" s="1" t="n">
        <v>45301</v>
      </c>
      <c r="C1437" s="1" t="n">
        <v>45799</v>
      </c>
      <c r="D1437" t="inlineStr">
        <is>
          <t>KALMAR LÄN</t>
        </is>
      </c>
      <c r="E1437" t="inlineStr">
        <is>
          <t>VÄSTERVIK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949-2024</t>
        </is>
      </c>
      <c r="B1438" s="1" t="n">
        <v>45301</v>
      </c>
      <c r="C1438" s="1" t="n">
        <v>45799</v>
      </c>
      <c r="D1438" t="inlineStr">
        <is>
          <t>KALMAR LÄN</t>
        </is>
      </c>
      <c r="E1438" t="inlineStr">
        <is>
          <t>VÄSTERVIK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934-2024</t>
        </is>
      </c>
      <c r="B1439" s="1" t="n">
        <v>45301</v>
      </c>
      <c r="C1439" s="1" t="n">
        <v>45799</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942-2024</t>
        </is>
      </c>
      <c r="B1440" s="1" t="n">
        <v>45301</v>
      </c>
      <c r="C1440" s="1" t="n">
        <v>45799</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946-2024</t>
        </is>
      </c>
      <c r="B1441" s="1" t="n">
        <v>45301</v>
      </c>
      <c r="C1441" s="1" t="n">
        <v>45799</v>
      </c>
      <c r="D1441" t="inlineStr">
        <is>
          <t>KALMAR LÄN</t>
        </is>
      </c>
      <c r="E1441" t="inlineStr">
        <is>
          <t>VÄSTERVIK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1098-2024</t>
        </is>
      </c>
      <c r="B1442" s="1" t="n">
        <v>45302</v>
      </c>
      <c r="C1442" s="1" t="n">
        <v>45799</v>
      </c>
      <c r="D1442" t="inlineStr">
        <is>
          <t>KALMAR LÄN</t>
        </is>
      </c>
      <c r="E1442" t="inlineStr">
        <is>
          <t>VÄSTERVIK</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1096-2024</t>
        </is>
      </c>
      <c r="B1443" s="1" t="n">
        <v>45302</v>
      </c>
      <c r="C1443" s="1" t="n">
        <v>45799</v>
      </c>
      <c r="D1443" t="inlineStr">
        <is>
          <t>KALMAR LÄN</t>
        </is>
      </c>
      <c r="E1443" t="inlineStr">
        <is>
          <t>VÄSTERVIK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1665-2024</t>
        </is>
      </c>
      <c r="B1444" s="1" t="n">
        <v>45306</v>
      </c>
      <c r="C1444" s="1" t="n">
        <v>45799</v>
      </c>
      <c r="D1444" t="inlineStr">
        <is>
          <t>KALMAR LÄN</t>
        </is>
      </c>
      <c r="E1444" t="inlineStr">
        <is>
          <t>VÄSTERVIK</t>
        </is>
      </c>
      <c r="F1444" t="inlineStr">
        <is>
          <t>Sveaskog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1568-2024</t>
        </is>
      </c>
      <c r="B1445" s="1" t="n">
        <v>45306</v>
      </c>
      <c r="C1445" s="1" t="n">
        <v>45799</v>
      </c>
      <c r="D1445" t="inlineStr">
        <is>
          <t>KALMAR LÄN</t>
        </is>
      </c>
      <c r="E1445" t="inlineStr">
        <is>
          <t>VÄSTERVIK</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1572-2024</t>
        </is>
      </c>
      <c r="B1446" s="1" t="n">
        <v>45306</v>
      </c>
      <c r="C1446" s="1" t="n">
        <v>45799</v>
      </c>
      <c r="D1446" t="inlineStr">
        <is>
          <t>KALMAR LÄN</t>
        </is>
      </c>
      <c r="E1446" t="inlineStr">
        <is>
          <t>VÄSTERVIK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1664-2024</t>
        </is>
      </c>
      <c r="B1447" s="1" t="n">
        <v>45306</v>
      </c>
      <c r="C1447" s="1" t="n">
        <v>45799</v>
      </c>
      <c r="D1447" t="inlineStr">
        <is>
          <t>KALMAR LÄN</t>
        </is>
      </c>
      <c r="E1447" t="inlineStr">
        <is>
          <t>VÄSTERVIK</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2153-2024</t>
        </is>
      </c>
      <c r="B1448" s="1" t="n">
        <v>45309</v>
      </c>
      <c r="C1448" s="1" t="n">
        <v>45799</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2082-2024</t>
        </is>
      </c>
      <c r="B1449" s="1" t="n">
        <v>45309</v>
      </c>
      <c r="C1449" s="1" t="n">
        <v>45799</v>
      </c>
      <c r="D1449" t="inlineStr">
        <is>
          <t>KALMAR LÄN</t>
        </is>
      </c>
      <c r="E1449" t="inlineStr">
        <is>
          <t>VÄSTERVIK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2144-2024</t>
        </is>
      </c>
      <c r="B1450" s="1" t="n">
        <v>45309</v>
      </c>
      <c r="C1450" s="1" t="n">
        <v>45799</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2168-2024</t>
        </is>
      </c>
      <c r="B1451" s="1" t="n">
        <v>45309</v>
      </c>
      <c r="C1451" s="1" t="n">
        <v>45799</v>
      </c>
      <c r="D1451" t="inlineStr">
        <is>
          <t>KALMAR LÄN</t>
        </is>
      </c>
      <c r="E1451" t="inlineStr">
        <is>
          <t>VÄSTERVIK</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2520-2024</t>
        </is>
      </c>
      <c r="B1452" s="1" t="n">
        <v>45313</v>
      </c>
      <c r="C1452" s="1" t="n">
        <v>45799</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2507-2024</t>
        </is>
      </c>
      <c r="B1453" s="1" t="n">
        <v>45313</v>
      </c>
      <c r="C1453" s="1" t="n">
        <v>45799</v>
      </c>
      <c r="D1453" t="inlineStr">
        <is>
          <t>KALMAR LÄN</t>
        </is>
      </c>
      <c r="E1453" t="inlineStr">
        <is>
          <t>VÄSTERVIK</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2543-2024</t>
        </is>
      </c>
      <c r="B1454" s="1" t="n">
        <v>45313</v>
      </c>
      <c r="C1454" s="1" t="n">
        <v>45799</v>
      </c>
      <c r="D1454" t="inlineStr">
        <is>
          <t>KALMAR LÄN</t>
        </is>
      </c>
      <c r="E1454" t="inlineStr">
        <is>
          <t>VÄSTERVIK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2634-2024</t>
        </is>
      </c>
      <c r="B1455" s="1" t="n">
        <v>45314</v>
      </c>
      <c r="C1455" s="1" t="n">
        <v>45799</v>
      </c>
      <c r="D1455" t="inlineStr">
        <is>
          <t>KALMAR LÄN</t>
        </is>
      </c>
      <c r="E1455" t="inlineStr">
        <is>
          <t>VÄSTERVIK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2726-2024</t>
        </is>
      </c>
      <c r="B1456" s="1" t="n">
        <v>45314</v>
      </c>
      <c r="C1456" s="1" t="n">
        <v>45799</v>
      </c>
      <c r="D1456" t="inlineStr">
        <is>
          <t>KALMAR LÄN</t>
        </is>
      </c>
      <c r="E1456" t="inlineStr">
        <is>
          <t>VÄSTERVIK</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3157-2024</t>
        </is>
      </c>
      <c r="B1457" s="1" t="n">
        <v>45316</v>
      </c>
      <c r="C1457" s="1" t="n">
        <v>45799</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3557-2024</t>
        </is>
      </c>
      <c r="B1458" s="1" t="n">
        <v>45320</v>
      </c>
      <c r="C1458" s="1" t="n">
        <v>45799</v>
      </c>
      <c r="D1458" t="inlineStr">
        <is>
          <t>KALMAR LÄN</t>
        </is>
      </c>
      <c r="E1458" t="inlineStr">
        <is>
          <t>VÄSTERVIK</t>
        </is>
      </c>
      <c r="F1458" t="inlineStr">
        <is>
          <t>Holmen skog AB</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3818-2024</t>
        </is>
      </c>
      <c r="B1459" s="1" t="n">
        <v>45321</v>
      </c>
      <c r="C1459" s="1" t="n">
        <v>45799</v>
      </c>
      <c r="D1459" t="inlineStr">
        <is>
          <t>KALMAR LÄN</t>
        </is>
      </c>
      <c r="E1459" t="inlineStr">
        <is>
          <t>VÄSTERVIK</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3826-2024</t>
        </is>
      </c>
      <c r="B1460" s="1" t="n">
        <v>45321</v>
      </c>
      <c r="C1460" s="1" t="n">
        <v>45799</v>
      </c>
      <c r="D1460" t="inlineStr">
        <is>
          <t>KALMAR LÄN</t>
        </is>
      </c>
      <c r="E1460" t="inlineStr">
        <is>
          <t>VÄSTERVIK</t>
        </is>
      </c>
      <c r="F1460" t="inlineStr">
        <is>
          <t>Holmen skog AB</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3830-2024</t>
        </is>
      </c>
      <c r="B1461" s="1" t="n">
        <v>45321</v>
      </c>
      <c r="C1461" s="1" t="n">
        <v>45799</v>
      </c>
      <c r="D1461" t="inlineStr">
        <is>
          <t>KALMAR LÄN</t>
        </is>
      </c>
      <c r="E1461" t="inlineStr">
        <is>
          <t>VÄSTERVIK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3776-2024</t>
        </is>
      </c>
      <c r="B1462" s="1" t="n">
        <v>45321</v>
      </c>
      <c r="C1462" s="1" t="n">
        <v>45799</v>
      </c>
      <c r="D1462" t="inlineStr">
        <is>
          <t>KALMAR LÄN</t>
        </is>
      </c>
      <c r="E1462" t="inlineStr">
        <is>
          <t>VÄSTERVIK</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3817-2024</t>
        </is>
      </c>
      <c r="B1463" s="1" t="n">
        <v>45321</v>
      </c>
      <c r="C1463" s="1" t="n">
        <v>45799</v>
      </c>
      <c r="D1463" t="inlineStr">
        <is>
          <t>KALMAR LÄN</t>
        </is>
      </c>
      <c r="E1463" t="inlineStr">
        <is>
          <t>VÄSTERVIK</t>
        </is>
      </c>
      <c r="F1463" t="inlineStr">
        <is>
          <t>Holmen skog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3829-2024</t>
        </is>
      </c>
      <c r="B1464" s="1" t="n">
        <v>45321</v>
      </c>
      <c r="C1464" s="1" t="n">
        <v>45799</v>
      </c>
      <c r="D1464" t="inlineStr">
        <is>
          <t>KALMAR LÄN</t>
        </is>
      </c>
      <c r="E1464" t="inlineStr">
        <is>
          <t>VÄSTERVIK</t>
        </is>
      </c>
      <c r="F1464" t="inlineStr">
        <is>
          <t>Holmen skog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3828-2024</t>
        </is>
      </c>
      <c r="B1465" s="1" t="n">
        <v>45321</v>
      </c>
      <c r="C1465" s="1" t="n">
        <v>45799</v>
      </c>
      <c r="D1465" t="inlineStr">
        <is>
          <t>KALMAR LÄN</t>
        </is>
      </c>
      <c r="E1465" t="inlineStr">
        <is>
          <t>VÄSTERVIK</t>
        </is>
      </c>
      <c r="F1465" t="inlineStr">
        <is>
          <t>Holmen skog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4520-2024</t>
        </is>
      </c>
      <c r="B1466" s="1" t="n">
        <v>45327</v>
      </c>
      <c r="C1466" s="1" t="n">
        <v>45799</v>
      </c>
      <c r="D1466" t="inlineStr">
        <is>
          <t>KALMAR LÄN</t>
        </is>
      </c>
      <c r="E1466" t="inlineStr">
        <is>
          <t>VÄSTERVIK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4540-2024</t>
        </is>
      </c>
      <c r="B1467" s="1" t="n">
        <v>45327</v>
      </c>
      <c r="C1467" s="1" t="n">
        <v>45799</v>
      </c>
      <c r="D1467" t="inlineStr">
        <is>
          <t>KALMAR LÄN</t>
        </is>
      </c>
      <c r="E1467" t="inlineStr">
        <is>
          <t>VÄSTERVIK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4858-2024</t>
        </is>
      </c>
      <c r="B1468" s="1" t="n">
        <v>45329</v>
      </c>
      <c r="C1468" s="1" t="n">
        <v>45799</v>
      </c>
      <c r="D1468" t="inlineStr">
        <is>
          <t>KALMAR LÄN</t>
        </is>
      </c>
      <c r="E1468" t="inlineStr">
        <is>
          <t>VÄSTERVIK</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4950-2024</t>
        </is>
      </c>
      <c r="B1469" s="1" t="n">
        <v>45329</v>
      </c>
      <c r="C1469" s="1" t="n">
        <v>45799</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5004-2024</t>
        </is>
      </c>
      <c r="B1470" s="1" t="n">
        <v>45329</v>
      </c>
      <c r="C1470" s="1" t="n">
        <v>45799</v>
      </c>
      <c r="D1470" t="inlineStr">
        <is>
          <t>KALMAR LÄN</t>
        </is>
      </c>
      <c r="E1470" t="inlineStr">
        <is>
          <t>VÄSTERVIK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4945-2024</t>
        </is>
      </c>
      <c r="B1471" s="1" t="n">
        <v>45329</v>
      </c>
      <c r="C1471" s="1" t="n">
        <v>45799</v>
      </c>
      <c r="D1471" t="inlineStr">
        <is>
          <t>KALMAR LÄN</t>
        </is>
      </c>
      <c r="E1471" t="inlineStr">
        <is>
          <t>VÄSTERVIK</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4965-2024</t>
        </is>
      </c>
      <c r="B1472" s="1" t="n">
        <v>45329</v>
      </c>
      <c r="C1472" s="1" t="n">
        <v>45799</v>
      </c>
      <c r="D1472" t="inlineStr">
        <is>
          <t>KALMAR LÄN</t>
        </is>
      </c>
      <c r="E1472" t="inlineStr">
        <is>
          <t>VÄSTERVIK</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5234-2024</t>
        </is>
      </c>
      <c r="B1473" s="1" t="n">
        <v>45330</v>
      </c>
      <c r="C1473" s="1" t="n">
        <v>45799</v>
      </c>
      <c r="D1473" t="inlineStr">
        <is>
          <t>KALMAR LÄN</t>
        </is>
      </c>
      <c r="E1473" t="inlineStr">
        <is>
          <t>VÄSTERVIK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5300-2024</t>
        </is>
      </c>
      <c r="B1474" s="1" t="n">
        <v>45331</v>
      </c>
      <c r="C1474" s="1" t="n">
        <v>45799</v>
      </c>
      <c r="D1474" t="inlineStr">
        <is>
          <t>KALMAR LÄN</t>
        </is>
      </c>
      <c r="E1474" t="inlineStr">
        <is>
          <t>VÄSTERVIK</t>
        </is>
      </c>
      <c r="F1474" t="inlineStr">
        <is>
          <t>Övriga Aktiebolag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5348-2024</t>
        </is>
      </c>
      <c r="B1475" s="1" t="n">
        <v>45331</v>
      </c>
      <c r="C1475" s="1" t="n">
        <v>45799</v>
      </c>
      <c r="D1475" t="inlineStr">
        <is>
          <t>KALMAR LÄN</t>
        </is>
      </c>
      <c r="E1475" t="inlineStr">
        <is>
          <t>VÄSTERVIK</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5355-2024</t>
        </is>
      </c>
      <c r="B1476" s="1" t="n">
        <v>45331</v>
      </c>
      <c r="C1476" s="1" t="n">
        <v>45799</v>
      </c>
      <c r="D1476" t="inlineStr">
        <is>
          <t>KALMAR LÄN</t>
        </is>
      </c>
      <c r="E1476" t="inlineStr">
        <is>
          <t>VÄSTERVIK</t>
        </is>
      </c>
      <c r="F1476" t="inlineStr">
        <is>
          <t>Övriga Aktiebolag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5923-2024</t>
        </is>
      </c>
      <c r="B1477" s="1" t="n">
        <v>45335</v>
      </c>
      <c r="C1477" s="1" t="n">
        <v>45799</v>
      </c>
      <c r="D1477" t="inlineStr">
        <is>
          <t>KALMAR LÄN</t>
        </is>
      </c>
      <c r="E1477" t="inlineStr">
        <is>
          <t>VÄSTERVIK</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5924-2024</t>
        </is>
      </c>
      <c r="B1478" s="1" t="n">
        <v>45335</v>
      </c>
      <c r="C1478" s="1" t="n">
        <v>45799</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5925-2024</t>
        </is>
      </c>
      <c r="B1479" s="1" t="n">
        <v>45336</v>
      </c>
      <c r="C1479" s="1" t="n">
        <v>45799</v>
      </c>
      <c r="D1479" t="inlineStr">
        <is>
          <t>KALMAR LÄN</t>
        </is>
      </c>
      <c r="E1479" t="inlineStr">
        <is>
          <t>VÄSTERVIK</t>
        </is>
      </c>
      <c r="F1479" t="inlineStr">
        <is>
          <t>Holmen skog AB</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6019-2024</t>
        </is>
      </c>
      <c r="B1480" s="1" t="n">
        <v>45336</v>
      </c>
      <c r="C1480" s="1" t="n">
        <v>45799</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6017-2024</t>
        </is>
      </c>
      <c r="B1481" s="1" t="n">
        <v>45336</v>
      </c>
      <c r="C1481" s="1" t="n">
        <v>45799</v>
      </c>
      <c r="D1481" t="inlineStr">
        <is>
          <t>KALMAR LÄN</t>
        </is>
      </c>
      <c r="E1481" t="inlineStr">
        <is>
          <t>VÄSTERVIK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6021-2024</t>
        </is>
      </c>
      <c r="B1482" s="1" t="n">
        <v>45336</v>
      </c>
      <c r="C1482" s="1" t="n">
        <v>45799</v>
      </c>
      <c r="D1482" t="inlineStr">
        <is>
          <t>KALMAR LÄN</t>
        </is>
      </c>
      <c r="E1482" t="inlineStr">
        <is>
          <t>VÄSTERVIK</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6148-2024</t>
        </is>
      </c>
      <c r="B1483" s="1" t="n">
        <v>45337</v>
      </c>
      <c r="C1483" s="1" t="n">
        <v>45799</v>
      </c>
      <c r="D1483" t="inlineStr">
        <is>
          <t>KALMAR LÄN</t>
        </is>
      </c>
      <c r="E1483" t="inlineStr">
        <is>
          <t>VÄSTERVIK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6289-2024</t>
        </is>
      </c>
      <c r="B1484" s="1" t="n">
        <v>45338</v>
      </c>
      <c r="C1484" s="1" t="n">
        <v>45799</v>
      </c>
      <c r="D1484" t="inlineStr">
        <is>
          <t>KALMAR LÄN</t>
        </is>
      </c>
      <c r="E1484" t="inlineStr">
        <is>
          <t>VÄSTERVIK</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6426-2024</t>
        </is>
      </c>
      <c r="B1485" s="1" t="n">
        <v>45338</v>
      </c>
      <c r="C1485" s="1" t="n">
        <v>45799</v>
      </c>
      <c r="D1485" t="inlineStr">
        <is>
          <t>KALMAR LÄN</t>
        </is>
      </c>
      <c r="E1485" t="inlineStr">
        <is>
          <t>VÄSTERVIK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6312-2024</t>
        </is>
      </c>
      <c r="B1486" s="1" t="n">
        <v>45338</v>
      </c>
      <c r="C1486" s="1" t="n">
        <v>45799</v>
      </c>
      <c r="D1486" t="inlineStr">
        <is>
          <t>KALMAR LÄN</t>
        </is>
      </c>
      <c r="E1486" t="inlineStr">
        <is>
          <t>VÄSTERVIK</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6406-2024</t>
        </is>
      </c>
      <c r="B1487" s="1" t="n">
        <v>45338</v>
      </c>
      <c r="C1487" s="1" t="n">
        <v>45799</v>
      </c>
      <c r="D1487" t="inlineStr">
        <is>
          <t>KALMAR LÄN</t>
        </is>
      </c>
      <c r="E1487" t="inlineStr">
        <is>
          <t>VÄSTERVIK</t>
        </is>
      </c>
      <c r="G1487" t="n">
        <v>5.5</v>
      </c>
      <c r="H1487" t="n">
        <v>0</v>
      </c>
      <c r="I1487" t="n">
        <v>0</v>
      </c>
      <c r="J1487" t="n">
        <v>0</v>
      </c>
      <c r="K1487" t="n">
        <v>0</v>
      </c>
      <c r="L1487" t="n">
        <v>0</v>
      </c>
      <c r="M1487" t="n">
        <v>0</v>
      </c>
      <c r="N1487" t="n">
        <v>0</v>
      </c>
      <c r="O1487" t="n">
        <v>0</v>
      </c>
      <c r="P1487" t="n">
        <v>0</v>
      </c>
      <c r="Q1487" t="n">
        <v>0</v>
      </c>
      <c r="R1487" s="2" t="inlineStr"/>
      <c r="U1487">
        <f>HYPERLINK("https://klasma.github.io/Logging_0883/knärot/A 6406-2024 karta knärot.png", "A 6406-2024")</f>
        <v/>
      </c>
      <c r="V1487">
        <f>HYPERLINK("https://klasma.github.io/Logging_0883/klagomål/A 6406-2024 FSC-klagomål.docx", "A 6406-2024")</f>
        <v/>
      </c>
      <c r="W1487">
        <f>HYPERLINK("https://klasma.github.io/Logging_0883/klagomålsmail/A 6406-2024 FSC-klagomål mail.docx", "A 6406-2024")</f>
        <v/>
      </c>
      <c r="X1487">
        <f>HYPERLINK("https://klasma.github.io/Logging_0883/tillsyn/A 6406-2024 tillsynsbegäran.docx", "A 6406-2024")</f>
        <v/>
      </c>
      <c r="Y1487">
        <f>HYPERLINK("https://klasma.github.io/Logging_0883/tillsynsmail/A 6406-2024 tillsynsbegäran mail.docx", "A 6406-2024")</f>
        <v/>
      </c>
    </row>
    <row r="1488" ht="15" customHeight="1">
      <c r="A1488" t="inlineStr">
        <is>
          <t>A 6731-2024</t>
        </is>
      </c>
      <c r="B1488" s="1" t="n">
        <v>45342</v>
      </c>
      <c r="C1488" s="1" t="n">
        <v>45799</v>
      </c>
      <c r="D1488" t="inlineStr">
        <is>
          <t>KALMAR LÄN</t>
        </is>
      </c>
      <c r="E1488" t="inlineStr">
        <is>
          <t>VÄSTERVIK</t>
        </is>
      </c>
      <c r="F1488" t="inlineStr">
        <is>
          <t>Holmen skog AB</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6746-2024</t>
        </is>
      </c>
      <c r="B1489" s="1" t="n">
        <v>45342</v>
      </c>
      <c r="C1489" s="1" t="n">
        <v>45799</v>
      </c>
      <c r="D1489" t="inlineStr">
        <is>
          <t>KALMAR LÄN</t>
        </is>
      </c>
      <c r="E1489" t="inlineStr">
        <is>
          <t>VÄSTERVIK</t>
        </is>
      </c>
      <c r="F1489" t="inlineStr">
        <is>
          <t>Holmen skog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7089-2024</t>
        </is>
      </c>
      <c r="B1490" s="1" t="n">
        <v>45343</v>
      </c>
      <c r="C1490" s="1" t="n">
        <v>45799</v>
      </c>
      <c r="D1490" t="inlineStr">
        <is>
          <t>KALMAR LÄN</t>
        </is>
      </c>
      <c r="E1490" t="inlineStr">
        <is>
          <t>VÄSTERVIK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7090-2024</t>
        </is>
      </c>
      <c r="B1491" s="1" t="n">
        <v>45343</v>
      </c>
      <c r="C1491" s="1" t="n">
        <v>45799</v>
      </c>
      <c r="D1491" t="inlineStr">
        <is>
          <t>KALMAR LÄN</t>
        </is>
      </c>
      <c r="E1491" t="inlineStr">
        <is>
          <t>VÄSTERVIK</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7512-2024</t>
        </is>
      </c>
      <c r="B1492" s="1" t="n">
        <v>45348</v>
      </c>
      <c r="C1492" s="1" t="n">
        <v>45799</v>
      </c>
      <c r="D1492" t="inlineStr">
        <is>
          <t>KALMAR LÄN</t>
        </is>
      </c>
      <c r="E1492" t="inlineStr">
        <is>
          <t>VÄSTERVIK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7536-2024</t>
        </is>
      </c>
      <c r="B1493" s="1" t="n">
        <v>45348</v>
      </c>
      <c r="C1493" s="1" t="n">
        <v>45799</v>
      </c>
      <c r="D1493" t="inlineStr">
        <is>
          <t>KALMAR LÄN</t>
        </is>
      </c>
      <c r="E1493" t="inlineStr">
        <is>
          <t>VÄSTERVIK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7548-2024</t>
        </is>
      </c>
      <c r="B1494" s="1" t="n">
        <v>45348</v>
      </c>
      <c r="C1494" s="1" t="n">
        <v>45799</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7688-2024</t>
        </is>
      </c>
      <c r="B1495" s="1" t="n">
        <v>45349</v>
      </c>
      <c r="C1495" s="1" t="n">
        <v>45799</v>
      </c>
      <c r="D1495" t="inlineStr">
        <is>
          <t>KALMAR LÄN</t>
        </is>
      </c>
      <c r="E1495" t="inlineStr">
        <is>
          <t>VÄSTERVIK</t>
        </is>
      </c>
      <c r="F1495" t="inlineStr">
        <is>
          <t>Holmen skog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7687-2024</t>
        </is>
      </c>
      <c r="B1496" s="1" t="n">
        <v>45349</v>
      </c>
      <c r="C1496" s="1" t="n">
        <v>45799</v>
      </c>
      <c r="D1496" t="inlineStr">
        <is>
          <t>KALMAR LÄN</t>
        </is>
      </c>
      <c r="E1496" t="inlineStr">
        <is>
          <t>VÄSTERVIK</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8089-2024</t>
        </is>
      </c>
      <c r="B1497" s="1" t="n">
        <v>45351</v>
      </c>
      <c r="C1497" s="1" t="n">
        <v>45799</v>
      </c>
      <c r="D1497" t="inlineStr">
        <is>
          <t>KALMAR LÄN</t>
        </is>
      </c>
      <c r="E1497" t="inlineStr">
        <is>
          <t>VÄSTERVIK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8619-2024</t>
        </is>
      </c>
      <c r="B1498" s="1" t="n">
        <v>45355</v>
      </c>
      <c r="C1498" s="1" t="n">
        <v>45799</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8731-2024</t>
        </is>
      </c>
      <c r="B1499" s="1" t="n">
        <v>45356</v>
      </c>
      <c r="C1499" s="1" t="n">
        <v>45799</v>
      </c>
      <c r="D1499" t="inlineStr">
        <is>
          <t>KALMAR LÄN</t>
        </is>
      </c>
      <c r="E1499" t="inlineStr">
        <is>
          <t>VÄSTERVIK</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8732-2024</t>
        </is>
      </c>
      <c r="B1500" s="1" t="n">
        <v>45356</v>
      </c>
      <c r="C1500" s="1" t="n">
        <v>45799</v>
      </c>
      <c r="D1500" t="inlineStr">
        <is>
          <t>KALMAR LÄN</t>
        </is>
      </c>
      <c r="E1500" t="inlineStr">
        <is>
          <t>VÄSTERVIK</t>
        </is>
      </c>
      <c r="F1500" t="inlineStr">
        <is>
          <t>Sveaskog</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9107-2024</t>
        </is>
      </c>
      <c r="B1501" s="1" t="n">
        <v>45357</v>
      </c>
      <c r="C1501" s="1" t="n">
        <v>45799</v>
      </c>
      <c r="D1501" t="inlineStr">
        <is>
          <t>KALMAR LÄN</t>
        </is>
      </c>
      <c r="E1501" t="inlineStr">
        <is>
          <t>VÄSTERVIK</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9124-2024</t>
        </is>
      </c>
      <c r="B1502" s="1" t="n">
        <v>45358</v>
      </c>
      <c r="C1502" s="1" t="n">
        <v>45799</v>
      </c>
      <c r="D1502" t="inlineStr">
        <is>
          <t>KALMAR LÄN</t>
        </is>
      </c>
      <c r="E1502" t="inlineStr">
        <is>
          <t>VÄSTERVIK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9249-2024</t>
        </is>
      </c>
      <c r="B1503" s="1" t="n">
        <v>45358</v>
      </c>
      <c r="C1503" s="1" t="n">
        <v>45799</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9140-2024</t>
        </is>
      </c>
      <c r="B1504" s="1" t="n">
        <v>45358</v>
      </c>
      <c r="C1504" s="1" t="n">
        <v>45799</v>
      </c>
      <c r="D1504" t="inlineStr">
        <is>
          <t>KALMAR LÄN</t>
        </is>
      </c>
      <c r="E1504" t="inlineStr">
        <is>
          <t>VÄSTERVIK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9549-2024</t>
        </is>
      </c>
      <c r="B1505" s="1" t="n">
        <v>45359</v>
      </c>
      <c r="C1505" s="1" t="n">
        <v>45799</v>
      </c>
      <c r="D1505" t="inlineStr">
        <is>
          <t>KALMAR LÄN</t>
        </is>
      </c>
      <c r="E1505" t="inlineStr">
        <is>
          <t>VÄSTERVIK</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9760-2024</t>
        </is>
      </c>
      <c r="B1506" s="1" t="n">
        <v>45362</v>
      </c>
      <c r="C1506" s="1" t="n">
        <v>45799</v>
      </c>
      <c r="D1506" t="inlineStr">
        <is>
          <t>KALMAR LÄN</t>
        </is>
      </c>
      <c r="E1506" t="inlineStr">
        <is>
          <t>VÄSTERVIK</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9753-2024</t>
        </is>
      </c>
      <c r="B1507" s="1" t="n">
        <v>45362</v>
      </c>
      <c r="C1507" s="1" t="n">
        <v>45799</v>
      </c>
      <c r="D1507" t="inlineStr">
        <is>
          <t>KALMAR LÄN</t>
        </is>
      </c>
      <c r="E1507" t="inlineStr">
        <is>
          <t>VÄSTERVIK</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9985-2024</t>
        </is>
      </c>
      <c r="B1508" s="1" t="n">
        <v>45363</v>
      </c>
      <c r="C1508" s="1" t="n">
        <v>45799</v>
      </c>
      <c r="D1508" t="inlineStr">
        <is>
          <t>KALMAR LÄN</t>
        </is>
      </c>
      <c r="E1508" t="inlineStr">
        <is>
          <t>VÄSTERVIK</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10515-2024</t>
        </is>
      </c>
      <c r="B1509" s="1" t="n">
        <v>45366</v>
      </c>
      <c r="C1509" s="1" t="n">
        <v>45799</v>
      </c>
      <c r="D1509" t="inlineStr">
        <is>
          <t>KALMAR LÄN</t>
        </is>
      </c>
      <c r="E1509" t="inlineStr">
        <is>
          <t>VÄSTERVIK</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10521-2024</t>
        </is>
      </c>
      <c r="B1510" s="1" t="n">
        <v>45366</v>
      </c>
      <c r="C1510" s="1" t="n">
        <v>45799</v>
      </c>
      <c r="D1510" t="inlineStr">
        <is>
          <t>KALMAR LÄN</t>
        </is>
      </c>
      <c r="E1510" t="inlineStr">
        <is>
          <t>VÄSTERVIK</t>
        </is>
      </c>
      <c r="F1510" t="inlineStr">
        <is>
          <t>Kyrkan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10727-2024</t>
        </is>
      </c>
      <c r="B1511" s="1" t="n">
        <v>45369</v>
      </c>
      <c r="C1511" s="1" t="n">
        <v>45799</v>
      </c>
      <c r="D1511" t="inlineStr">
        <is>
          <t>KALMAR LÄN</t>
        </is>
      </c>
      <c r="E1511" t="inlineStr">
        <is>
          <t>VÄSTERVIK</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10688-2024</t>
        </is>
      </c>
      <c r="B1512" s="1" t="n">
        <v>45369</v>
      </c>
      <c r="C1512" s="1" t="n">
        <v>45799</v>
      </c>
      <c r="D1512" t="inlineStr">
        <is>
          <t>KALMAR LÄN</t>
        </is>
      </c>
      <c r="E1512" t="inlineStr">
        <is>
          <t>VÄSTERVIK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10942-2024</t>
        </is>
      </c>
      <c r="B1513" s="1" t="n">
        <v>45370</v>
      </c>
      <c r="C1513" s="1" t="n">
        <v>45799</v>
      </c>
      <c r="D1513" t="inlineStr">
        <is>
          <t>KALMAR LÄN</t>
        </is>
      </c>
      <c r="E1513" t="inlineStr">
        <is>
          <t>VÄSTERVIK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11189-2024</t>
        </is>
      </c>
      <c r="B1514" s="1" t="n">
        <v>45371</v>
      </c>
      <c r="C1514" s="1" t="n">
        <v>45799</v>
      </c>
      <c r="D1514" t="inlineStr">
        <is>
          <t>KALMAR LÄN</t>
        </is>
      </c>
      <c r="E1514" t="inlineStr">
        <is>
          <t>VÄSTERVIK</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11167-2024</t>
        </is>
      </c>
      <c r="B1515" s="1" t="n">
        <v>45371</v>
      </c>
      <c r="C1515" s="1" t="n">
        <v>45799</v>
      </c>
      <c r="D1515" t="inlineStr">
        <is>
          <t>KALMAR LÄN</t>
        </is>
      </c>
      <c r="E1515" t="inlineStr">
        <is>
          <t>VÄSTERVIK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11183-2024</t>
        </is>
      </c>
      <c r="B1516" s="1" t="n">
        <v>45371</v>
      </c>
      <c r="C1516" s="1" t="n">
        <v>45799</v>
      </c>
      <c r="D1516" t="inlineStr">
        <is>
          <t>KALMAR LÄN</t>
        </is>
      </c>
      <c r="E1516" t="inlineStr">
        <is>
          <t>VÄSTERVIK</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11198-2024</t>
        </is>
      </c>
      <c r="B1517" s="1" t="n">
        <v>45371</v>
      </c>
      <c r="C1517" s="1" t="n">
        <v>45799</v>
      </c>
      <c r="D1517" t="inlineStr">
        <is>
          <t>KALMAR LÄN</t>
        </is>
      </c>
      <c r="E1517" t="inlineStr">
        <is>
          <t>VÄSTERVIK</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11750-2024</t>
        </is>
      </c>
      <c r="B1518" s="1" t="n">
        <v>45373</v>
      </c>
      <c r="C1518" s="1" t="n">
        <v>45799</v>
      </c>
      <c r="D1518" t="inlineStr">
        <is>
          <t>KALMAR LÄN</t>
        </is>
      </c>
      <c r="E1518" t="inlineStr">
        <is>
          <t>VÄSTERVIK</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11746-2024</t>
        </is>
      </c>
      <c r="B1519" s="1" t="n">
        <v>45373</v>
      </c>
      <c r="C1519" s="1" t="n">
        <v>45799</v>
      </c>
      <c r="D1519" t="inlineStr">
        <is>
          <t>KALMAR LÄN</t>
        </is>
      </c>
      <c r="E1519" t="inlineStr">
        <is>
          <t>VÄSTERVIK</t>
        </is>
      </c>
      <c r="F1519" t="inlineStr">
        <is>
          <t>Holmen skog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11611-2024</t>
        </is>
      </c>
      <c r="B1520" s="1" t="n">
        <v>45373</v>
      </c>
      <c r="C1520" s="1" t="n">
        <v>45799</v>
      </c>
      <c r="D1520" t="inlineStr">
        <is>
          <t>KALMAR LÄN</t>
        </is>
      </c>
      <c r="E1520" t="inlineStr">
        <is>
          <t>VÄSTERVIK</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11791-2024</t>
        </is>
      </c>
      <c r="B1521" s="1" t="n">
        <v>45375</v>
      </c>
      <c r="C1521" s="1" t="n">
        <v>45799</v>
      </c>
      <c r="D1521" t="inlineStr">
        <is>
          <t>KALMAR LÄN</t>
        </is>
      </c>
      <c r="E1521" t="inlineStr">
        <is>
          <t>VÄSTERVIK</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11848-2024</t>
        </is>
      </c>
      <c r="B1522" s="1" t="n">
        <v>45376</v>
      </c>
      <c r="C1522" s="1" t="n">
        <v>45799</v>
      </c>
      <c r="D1522" t="inlineStr">
        <is>
          <t>KALMAR LÄN</t>
        </is>
      </c>
      <c r="E1522" t="inlineStr">
        <is>
          <t>VÄSTERVIK</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11856-2024</t>
        </is>
      </c>
      <c r="B1523" s="1" t="n">
        <v>45376</v>
      </c>
      <c r="C1523" s="1" t="n">
        <v>45799</v>
      </c>
      <c r="D1523" t="inlineStr">
        <is>
          <t>KALMAR LÄN</t>
        </is>
      </c>
      <c r="E1523" t="inlineStr">
        <is>
          <t>VÄSTERVIK</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11864-2024</t>
        </is>
      </c>
      <c r="B1524" s="1" t="n">
        <v>45376</v>
      </c>
      <c r="C1524" s="1" t="n">
        <v>45799</v>
      </c>
      <c r="D1524" t="inlineStr">
        <is>
          <t>KALMAR LÄN</t>
        </is>
      </c>
      <c r="E1524" t="inlineStr">
        <is>
          <t>VÄSTERVIK</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11854-2024</t>
        </is>
      </c>
      <c r="B1525" s="1" t="n">
        <v>45376</v>
      </c>
      <c r="C1525" s="1" t="n">
        <v>45799</v>
      </c>
      <c r="D1525" t="inlineStr">
        <is>
          <t>KALMAR LÄN</t>
        </is>
      </c>
      <c r="E1525" t="inlineStr">
        <is>
          <t>VÄSTERVIK</t>
        </is>
      </c>
      <c r="F1525" t="inlineStr">
        <is>
          <t>Sveaskog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12009-2024</t>
        </is>
      </c>
      <c r="B1526" s="1" t="n">
        <v>45377</v>
      </c>
      <c r="C1526" s="1" t="n">
        <v>45799</v>
      </c>
      <c r="D1526" t="inlineStr">
        <is>
          <t>KALMAR LÄN</t>
        </is>
      </c>
      <c r="E1526" t="inlineStr">
        <is>
          <t>VÄSTERVIK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12433-2024</t>
        </is>
      </c>
      <c r="B1527" s="1" t="n">
        <v>45379</v>
      </c>
      <c r="C1527" s="1" t="n">
        <v>45799</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12643-2024</t>
        </is>
      </c>
      <c r="B1528" s="1" t="n">
        <v>45379</v>
      </c>
      <c r="C1528" s="1" t="n">
        <v>45799</v>
      </c>
      <c r="D1528" t="inlineStr">
        <is>
          <t>KALMAR LÄN</t>
        </is>
      </c>
      <c r="E1528" t="inlineStr">
        <is>
          <t>VÄSTERVIK</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12431-2024</t>
        </is>
      </c>
      <c r="B1529" s="1" t="n">
        <v>45379</v>
      </c>
      <c r="C1529" s="1" t="n">
        <v>45799</v>
      </c>
      <c r="D1529" t="inlineStr">
        <is>
          <t>KALMAR LÄN</t>
        </is>
      </c>
      <c r="E1529" t="inlineStr">
        <is>
          <t>VÄSTERVIK</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12435-2024</t>
        </is>
      </c>
      <c r="B1530" s="1" t="n">
        <v>45379</v>
      </c>
      <c r="C1530" s="1" t="n">
        <v>45799</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12446-2024</t>
        </is>
      </c>
      <c r="B1531" s="1" t="n">
        <v>45379</v>
      </c>
      <c r="C1531" s="1" t="n">
        <v>45799</v>
      </c>
      <c r="D1531" t="inlineStr">
        <is>
          <t>KALMAR LÄN</t>
        </is>
      </c>
      <c r="E1531" t="inlineStr">
        <is>
          <t>VÄSTERVIK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12852-2024</t>
        </is>
      </c>
      <c r="B1532" s="1" t="n">
        <v>45384</v>
      </c>
      <c r="C1532" s="1" t="n">
        <v>45799</v>
      </c>
      <c r="D1532" t="inlineStr">
        <is>
          <t>KALMAR LÄN</t>
        </is>
      </c>
      <c r="E1532" t="inlineStr">
        <is>
          <t>VÄSTERVIK</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13400-2024</t>
        </is>
      </c>
      <c r="B1533" s="1" t="n">
        <v>45387</v>
      </c>
      <c r="C1533" s="1" t="n">
        <v>45799</v>
      </c>
      <c r="D1533" t="inlineStr">
        <is>
          <t>KALMAR LÄN</t>
        </is>
      </c>
      <c r="E1533" t="inlineStr">
        <is>
          <t>VÄSTERVIK</t>
        </is>
      </c>
      <c r="F1533" t="inlineStr">
        <is>
          <t>Holmen skog AB</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13753-2024</t>
        </is>
      </c>
      <c r="B1534" s="1" t="n">
        <v>45390</v>
      </c>
      <c r="C1534" s="1" t="n">
        <v>45799</v>
      </c>
      <c r="D1534" t="inlineStr">
        <is>
          <t>KALMAR LÄN</t>
        </is>
      </c>
      <c r="E1534" t="inlineStr">
        <is>
          <t>VÄSTERVIK</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13743-2024</t>
        </is>
      </c>
      <c r="B1535" s="1" t="n">
        <v>45390</v>
      </c>
      <c r="C1535" s="1" t="n">
        <v>45799</v>
      </c>
      <c r="D1535" t="inlineStr">
        <is>
          <t>KALMAR LÄN</t>
        </is>
      </c>
      <c r="E1535" t="inlineStr">
        <is>
          <t>VÄSTERVIK</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13748-2024</t>
        </is>
      </c>
      <c r="B1536" s="1" t="n">
        <v>45390</v>
      </c>
      <c r="C1536" s="1" t="n">
        <v>45799</v>
      </c>
      <c r="D1536" t="inlineStr">
        <is>
          <t>KALMAR LÄN</t>
        </is>
      </c>
      <c r="E1536" t="inlineStr">
        <is>
          <t>VÄSTERVIK</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13747-2024</t>
        </is>
      </c>
      <c r="B1537" s="1" t="n">
        <v>45390</v>
      </c>
      <c r="C1537" s="1" t="n">
        <v>45799</v>
      </c>
      <c r="D1537" t="inlineStr">
        <is>
          <t>KALMAR LÄN</t>
        </is>
      </c>
      <c r="E1537" t="inlineStr">
        <is>
          <t>VÄSTERVIK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13751-2024</t>
        </is>
      </c>
      <c r="B1538" s="1" t="n">
        <v>45390</v>
      </c>
      <c r="C1538" s="1" t="n">
        <v>45799</v>
      </c>
      <c r="D1538" t="inlineStr">
        <is>
          <t>KALMAR LÄN</t>
        </is>
      </c>
      <c r="E1538" t="inlineStr">
        <is>
          <t>VÄSTERVIK</t>
        </is>
      </c>
      <c r="F1538" t="inlineStr">
        <is>
          <t>Sveaskog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13742-2024</t>
        </is>
      </c>
      <c r="B1539" s="1" t="n">
        <v>45390</v>
      </c>
      <c r="C1539" s="1" t="n">
        <v>45799</v>
      </c>
      <c r="D1539" t="inlineStr">
        <is>
          <t>KALMAR LÄN</t>
        </is>
      </c>
      <c r="E1539" t="inlineStr">
        <is>
          <t>VÄSTERVIK</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13746-2024</t>
        </is>
      </c>
      <c r="B1540" s="1" t="n">
        <v>45390</v>
      </c>
      <c r="C1540" s="1" t="n">
        <v>45799</v>
      </c>
      <c r="D1540" t="inlineStr">
        <is>
          <t>KALMAR LÄN</t>
        </is>
      </c>
      <c r="E1540" t="inlineStr">
        <is>
          <t>VÄSTERVIK</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13750-2024</t>
        </is>
      </c>
      <c r="B1541" s="1" t="n">
        <v>45390</v>
      </c>
      <c r="C1541" s="1" t="n">
        <v>45799</v>
      </c>
      <c r="D1541" t="inlineStr">
        <is>
          <t>KALMAR LÄN</t>
        </is>
      </c>
      <c r="E1541" t="inlineStr">
        <is>
          <t>VÄSTERVIK</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13825-2024</t>
        </is>
      </c>
      <c r="B1542" s="1" t="n">
        <v>45391</v>
      </c>
      <c r="C1542" s="1" t="n">
        <v>45799</v>
      </c>
      <c r="D1542" t="inlineStr">
        <is>
          <t>KALMAR LÄN</t>
        </is>
      </c>
      <c r="E1542" t="inlineStr">
        <is>
          <t>VÄSTERVIK</t>
        </is>
      </c>
      <c r="F1542" t="inlineStr">
        <is>
          <t>Sveaskog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13836-2024</t>
        </is>
      </c>
      <c r="B1543" s="1" t="n">
        <v>45391</v>
      </c>
      <c r="C1543" s="1" t="n">
        <v>45799</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13840-2024</t>
        </is>
      </c>
      <c r="B1544" s="1" t="n">
        <v>45391</v>
      </c>
      <c r="C1544" s="1" t="n">
        <v>45799</v>
      </c>
      <c r="D1544" t="inlineStr">
        <is>
          <t>KALMAR LÄN</t>
        </is>
      </c>
      <c r="E1544" t="inlineStr">
        <is>
          <t>VÄSTERVIK</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13823-2024</t>
        </is>
      </c>
      <c r="B1545" s="1" t="n">
        <v>45391</v>
      </c>
      <c r="C1545" s="1" t="n">
        <v>45799</v>
      </c>
      <c r="D1545" t="inlineStr">
        <is>
          <t>KALMAR LÄN</t>
        </is>
      </c>
      <c r="E1545" t="inlineStr">
        <is>
          <t>VÄSTERVIK</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13827-2024</t>
        </is>
      </c>
      <c r="B1546" s="1" t="n">
        <v>45391</v>
      </c>
      <c r="C1546" s="1" t="n">
        <v>45799</v>
      </c>
      <c r="D1546" t="inlineStr">
        <is>
          <t>KALMAR LÄN</t>
        </is>
      </c>
      <c r="E1546" t="inlineStr">
        <is>
          <t>VÄSTERVIK</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13838-2024</t>
        </is>
      </c>
      <c r="B1547" s="1" t="n">
        <v>45391</v>
      </c>
      <c r="C1547" s="1" t="n">
        <v>45799</v>
      </c>
      <c r="D1547" t="inlineStr">
        <is>
          <t>KALMAR LÄN</t>
        </is>
      </c>
      <c r="E1547" t="inlineStr">
        <is>
          <t>VÄSTERVIK</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13837-2024</t>
        </is>
      </c>
      <c r="B1548" s="1" t="n">
        <v>45391</v>
      </c>
      <c r="C1548" s="1" t="n">
        <v>45799</v>
      </c>
      <c r="D1548" t="inlineStr">
        <is>
          <t>KALMAR LÄN</t>
        </is>
      </c>
      <c r="E1548" t="inlineStr">
        <is>
          <t>VÄSTERVIK</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13843-2024</t>
        </is>
      </c>
      <c r="B1549" s="1" t="n">
        <v>45391</v>
      </c>
      <c r="C1549" s="1" t="n">
        <v>45799</v>
      </c>
      <c r="D1549" t="inlineStr">
        <is>
          <t>KALMAR LÄN</t>
        </is>
      </c>
      <c r="E1549" t="inlineStr">
        <is>
          <t>VÄSTERVIK</t>
        </is>
      </c>
      <c r="F1549" t="inlineStr">
        <is>
          <t>Sveaskog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13839-2024</t>
        </is>
      </c>
      <c r="B1550" s="1" t="n">
        <v>45391</v>
      </c>
      <c r="C1550" s="1" t="n">
        <v>45799</v>
      </c>
      <c r="D1550" t="inlineStr">
        <is>
          <t>KALMAR LÄN</t>
        </is>
      </c>
      <c r="E1550" t="inlineStr">
        <is>
          <t>VÄSTERVIK</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14024-2024</t>
        </is>
      </c>
      <c r="B1551" s="1" t="n">
        <v>45392</v>
      </c>
      <c r="C1551" s="1" t="n">
        <v>45799</v>
      </c>
      <c r="D1551" t="inlineStr">
        <is>
          <t>KALMAR LÄN</t>
        </is>
      </c>
      <c r="E1551" t="inlineStr">
        <is>
          <t>VÄSTERVIK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14147-2024</t>
        </is>
      </c>
      <c r="B1552" s="1" t="n">
        <v>45392</v>
      </c>
      <c r="C1552" s="1" t="n">
        <v>45799</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14146-2024</t>
        </is>
      </c>
      <c r="B1553" s="1" t="n">
        <v>45392</v>
      </c>
      <c r="C1553" s="1" t="n">
        <v>45799</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14145-2024</t>
        </is>
      </c>
      <c r="B1554" s="1" t="n">
        <v>45392</v>
      </c>
      <c r="C1554" s="1" t="n">
        <v>45799</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14281-2024</t>
        </is>
      </c>
      <c r="B1555" s="1" t="n">
        <v>45393</v>
      </c>
      <c r="C1555" s="1" t="n">
        <v>45799</v>
      </c>
      <c r="D1555" t="inlineStr">
        <is>
          <t>KALMAR LÄN</t>
        </is>
      </c>
      <c r="E1555" t="inlineStr">
        <is>
          <t>VÄSTERVIK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14282-2024</t>
        </is>
      </c>
      <c r="B1556" s="1" t="n">
        <v>45393</v>
      </c>
      <c r="C1556" s="1" t="n">
        <v>45799</v>
      </c>
      <c r="D1556" t="inlineStr">
        <is>
          <t>KALMAR LÄN</t>
        </is>
      </c>
      <c r="E1556" t="inlineStr">
        <is>
          <t>VÄSTERVIK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14237-2024</t>
        </is>
      </c>
      <c r="B1557" s="1" t="n">
        <v>45393</v>
      </c>
      <c r="C1557" s="1" t="n">
        <v>45799</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14452-2024</t>
        </is>
      </c>
      <c r="B1558" s="1" t="n">
        <v>45394</v>
      </c>
      <c r="C1558" s="1" t="n">
        <v>45799</v>
      </c>
      <c r="D1558" t="inlineStr">
        <is>
          <t>KALMAR LÄN</t>
        </is>
      </c>
      <c r="E1558" t="inlineStr">
        <is>
          <t>VÄSTERVIK</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15356-2024</t>
        </is>
      </c>
      <c r="B1559" s="1" t="n">
        <v>45400</v>
      </c>
      <c r="C1559" s="1" t="n">
        <v>45799</v>
      </c>
      <c r="D1559" t="inlineStr">
        <is>
          <t>KALMAR LÄN</t>
        </is>
      </c>
      <c r="E1559" t="inlineStr">
        <is>
          <t>VÄSTERVIK</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15357-2024</t>
        </is>
      </c>
      <c r="B1560" s="1" t="n">
        <v>45400</v>
      </c>
      <c r="C1560" s="1" t="n">
        <v>45799</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15553-2024</t>
        </is>
      </c>
      <c r="B1561" s="1" t="n">
        <v>45401</v>
      </c>
      <c r="C1561" s="1" t="n">
        <v>45799</v>
      </c>
      <c r="D1561" t="inlineStr">
        <is>
          <t>KALMAR LÄN</t>
        </is>
      </c>
      <c r="E1561" t="inlineStr">
        <is>
          <t>VÄSTERVIK</t>
        </is>
      </c>
      <c r="F1561" t="inlineStr">
        <is>
          <t>Holmen skog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16040-2024</t>
        </is>
      </c>
      <c r="B1562" s="1" t="n">
        <v>45405</v>
      </c>
      <c r="C1562" s="1" t="n">
        <v>45799</v>
      </c>
      <c r="D1562" t="inlineStr">
        <is>
          <t>KALMAR LÄN</t>
        </is>
      </c>
      <c r="E1562" t="inlineStr">
        <is>
          <t>VÄSTERVIK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16011-2024</t>
        </is>
      </c>
      <c r="B1563" s="1" t="n">
        <v>45405</v>
      </c>
      <c r="C1563" s="1" t="n">
        <v>45799</v>
      </c>
      <c r="D1563" t="inlineStr">
        <is>
          <t>KALMAR LÄN</t>
        </is>
      </c>
      <c r="E1563" t="inlineStr">
        <is>
          <t>VÄSTERVIK</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15926-2024</t>
        </is>
      </c>
      <c r="B1564" s="1" t="n">
        <v>45405</v>
      </c>
      <c r="C1564" s="1" t="n">
        <v>45799</v>
      </c>
      <c r="D1564" t="inlineStr">
        <is>
          <t>KALMAR LÄN</t>
        </is>
      </c>
      <c r="E1564" t="inlineStr">
        <is>
          <t>VÄSTERVIK</t>
        </is>
      </c>
      <c r="F1564" t="inlineStr">
        <is>
          <t>Övriga Aktiebolag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16395-2024</t>
        </is>
      </c>
      <c r="B1565" s="1" t="n">
        <v>45407</v>
      </c>
      <c r="C1565" s="1" t="n">
        <v>45799</v>
      </c>
      <c r="D1565" t="inlineStr">
        <is>
          <t>KALMAR LÄN</t>
        </is>
      </c>
      <c r="E1565" t="inlineStr">
        <is>
          <t>VÄSTERVIK</t>
        </is>
      </c>
      <c r="G1565" t="n">
        <v>1.3</v>
      </c>
      <c r="H1565" t="n">
        <v>0</v>
      </c>
      <c r="I1565" t="n">
        <v>0</v>
      </c>
      <c r="J1565" t="n">
        <v>0</v>
      </c>
      <c r="K1565" t="n">
        <v>0</v>
      </c>
      <c r="L1565" t="n">
        <v>0</v>
      </c>
      <c r="M1565" t="n">
        <v>0</v>
      </c>
      <c r="N1565" t="n">
        <v>0</v>
      </c>
      <c r="O1565" t="n">
        <v>0</v>
      </c>
      <c r="P1565" t="n">
        <v>0</v>
      </c>
      <c r="Q1565" t="n">
        <v>0</v>
      </c>
      <c r="R1565" s="2" t="inlineStr"/>
      <c r="U1565">
        <f>HYPERLINK("https://klasma.github.io/Logging_0883/knärot/A 16395-2024 karta knärot.png", "A 16395-2024")</f>
        <v/>
      </c>
      <c r="V1565">
        <f>HYPERLINK("https://klasma.github.io/Logging_0883/klagomål/A 16395-2024 FSC-klagomål.docx", "A 16395-2024")</f>
        <v/>
      </c>
      <c r="W1565">
        <f>HYPERLINK("https://klasma.github.io/Logging_0883/klagomålsmail/A 16395-2024 FSC-klagomål mail.docx", "A 16395-2024")</f>
        <v/>
      </c>
      <c r="X1565">
        <f>HYPERLINK("https://klasma.github.io/Logging_0883/tillsyn/A 16395-2024 tillsynsbegäran.docx", "A 16395-2024")</f>
        <v/>
      </c>
      <c r="Y1565">
        <f>HYPERLINK("https://klasma.github.io/Logging_0883/tillsynsmail/A 16395-2024 tillsynsbegäran mail.docx", "A 16395-2024")</f>
        <v/>
      </c>
    </row>
    <row r="1566" ht="15" customHeight="1">
      <c r="A1566" t="inlineStr">
        <is>
          <t>A 16381-2024</t>
        </is>
      </c>
      <c r="B1566" s="1" t="n">
        <v>45407</v>
      </c>
      <c r="C1566" s="1" t="n">
        <v>45799</v>
      </c>
      <c r="D1566" t="inlineStr">
        <is>
          <t>KALMAR LÄN</t>
        </is>
      </c>
      <c r="E1566" t="inlineStr">
        <is>
          <t>VÄSTERVIK</t>
        </is>
      </c>
      <c r="F1566" t="inlineStr">
        <is>
          <t>Holmen skog AB</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16385-2024</t>
        </is>
      </c>
      <c r="B1567" s="1" t="n">
        <v>45407</v>
      </c>
      <c r="C1567" s="1" t="n">
        <v>45799</v>
      </c>
      <c r="D1567" t="inlineStr">
        <is>
          <t>KALMAR LÄN</t>
        </is>
      </c>
      <c r="E1567" t="inlineStr">
        <is>
          <t>VÄSTERVIK</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16386-2024</t>
        </is>
      </c>
      <c r="B1568" s="1" t="n">
        <v>45407</v>
      </c>
      <c r="C1568" s="1" t="n">
        <v>45799</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16390-2024</t>
        </is>
      </c>
      <c r="B1569" s="1" t="n">
        <v>45407</v>
      </c>
      <c r="C1569" s="1" t="n">
        <v>45799</v>
      </c>
      <c r="D1569" t="inlineStr">
        <is>
          <t>KALMAR LÄN</t>
        </is>
      </c>
      <c r="E1569" t="inlineStr">
        <is>
          <t>VÄSTERVIK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16398-2024</t>
        </is>
      </c>
      <c r="B1570" s="1" t="n">
        <v>45407</v>
      </c>
      <c r="C1570" s="1" t="n">
        <v>45799</v>
      </c>
      <c r="D1570" t="inlineStr">
        <is>
          <t>KALMAR LÄN</t>
        </is>
      </c>
      <c r="E1570" t="inlineStr">
        <is>
          <t>VÄSTERVIK</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16696-2024</t>
        </is>
      </c>
      <c r="B1571" s="1" t="n">
        <v>45409</v>
      </c>
      <c r="C1571" s="1" t="n">
        <v>45799</v>
      </c>
      <c r="D1571" t="inlineStr">
        <is>
          <t>KALMAR LÄN</t>
        </is>
      </c>
      <c r="E1571" t="inlineStr">
        <is>
          <t>VÄSTERVIK</t>
        </is>
      </c>
      <c r="F1571" t="inlineStr">
        <is>
          <t>Holmen skog AB</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17216-2024</t>
        </is>
      </c>
      <c r="B1572" s="1" t="n">
        <v>45414</v>
      </c>
      <c r="C1572" s="1" t="n">
        <v>45799</v>
      </c>
      <c r="D1572" t="inlineStr">
        <is>
          <t>KALMAR LÄN</t>
        </is>
      </c>
      <c r="E1572" t="inlineStr">
        <is>
          <t>VÄSTERVIK</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17214-2024</t>
        </is>
      </c>
      <c r="B1573" s="1" t="n">
        <v>45414</v>
      </c>
      <c r="C1573" s="1" t="n">
        <v>45799</v>
      </c>
      <c r="D1573" t="inlineStr">
        <is>
          <t>KALMAR LÄN</t>
        </is>
      </c>
      <c r="E1573" t="inlineStr">
        <is>
          <t>VÄSTERVIK</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17427-2024</t>
        </is>
      </c>
      <c r="B1574" s="1" t="n">
        <v>45415</v>
      </c>
      <c r="C1574" s="1" t="n">
        <v>45799</v>
      </c>
      <c r="D1574" t="inlineStr">
        <is>
          <t>KALMAR LÄN</t>
        </is>
      </c>
      <c r="E1574" t="inlineStr">
        <is>
          <t>VÄSTERVIK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17425-2024</t>
        </is>
      </c>
      <c r="B1575" s="1" t="n">
        <v>45415</v>
      </c>
      <c r="C1575" s="1" t="n">
        <v>45799</v>
      </c>
      <c r="D1575" t="inlineStr">
        <is>
          <t>KALMAR LÄN</t>
        </is>
      </c>
      <c r="E1575" t="inlineStr">
        <is>
          <t>VÄSTERVIK</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17426-2024</t>
        </is>
      </c>
      <c r="B1576" s="1" t="n">
        <v>45415</v>
      </c>
      <c r="C1576" s="1" t="n">
        <v>45799</v>
      </c>
      <c r="D1576" t="inlineStr">
        <is>
          <t>KALMAR LÄN</t>
        </is>
      </c>
      <c r="E1576" t="inlineStr">
        <is>
          <t>VÄSTERVIK</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18034-2024</t>
        </is>
      </c>
      <c r="B1577" s="1" t="n">
        <v>45420</v>
      </c>
      <c r="C1577" s="1" t="n">
        <v>45799</v>
      </c>
      <c r="D1577" t="inlineStr">
        <is>
          <t>KALMAR LÄN</t>
        </is>
      </c>
      <c r="E1577" t="inlineStr">
        <is>
          <t>VÄSTERVIK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18143-2024</t>
        </is>
      </c>
      <c r="B1578" s="1" t="n">
        <v>45420</v>
      </c>
      <c r="C1578" s="1" t="n">
        <v>45799</v>
      </c>
      <c r="D1578" t="inlineStr">
        <is>
          <t>KALMAR LÄN</t>
        </is>
      </c>
      <c r="E1578" t="inlineStr">
        <is>
          <t>VÄSTERVIK</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18395-2024</t>
        </is>
      </c>
      <c r="B1579" s="1" t="n">
        <v>45425</v>
      </c>
      <c r="C1579" s="1" t="n">
        <v>45799</v>
      </c>
      <c r="D1579" t="inlineStr">
        <is>
          <t>KALMAR LÄN</t>
        </is>
      </c>
      <c r="E1579" t="inlineStr">
        <is>
          <t>VÄSTERVIK</t>
        </is>
      </c>
      <c r="F1579" t="inlineStr">
        <is>
          <t>Holmen skog AB</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18434-2024</t>
        </is>
      </c>
      <c r="B1580" s="1" t="n">
        <v>45425</v>
      </c>
      <c r="C1580" s="1" t="n">
        <v>45799</v>
      </c>
      <c r="D1580" t="inlineStr">
        <is>
          <t>KALMAR LÄN</t>
        </is>
      </c>
      <c r="E1580" t="inlineStr">
        <is>
          <t>VÄSTERVIK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20368-2024</t>
        </is>
      </c>
      <c r="B1581" s="1" t="n">
        <v>45435</v>
      </c>
      <c r="C1581" s="1" t="n">
        <v>45799</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20365-2024</t>
        </is>
      </c>
      <c r="B1582" s="1" t="n">
        <v>45435</v>
      </c>
      <c r="C1582" s="1" t="n">
        <v>45799</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20370-2024</t>
        </is>
      </c>
      <c r="B1583" s="1" t="n">
        <v>45435</v>
      </c>
      <c r="C1583" s="1" t="n">
        <v>45799</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21648-2024</t>
        </is>
      </c>
      <c r="B1584" s="1" t="n">
        <v>45442</v>
      </c>
      <c r="C1584" s="1" t="n">
        <v>45799</v>
      </c>
      <c r="D1584" t="inlineStr">
        <is>
          <t>KALMAR LÄN</t>
        </is>
      </c>
      <c r="E1584" t="inlineStr">
        <is>
          <t>VÄSTERVIK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21752-2024</t>
        </is>
      </c>
      <c r="B1585" s="1" t="n">
        <v>45442</v>
      </c>
      <c r="C1585" s="1" t="n">
        <v>45799</v>
      </c>
      <c r="D1585" t="inlineStr">
        <is>
          <t>KALMAR LÄN</t>
        </is>
      </c>
      <c r="E1585" t="inlineStr">
        <is>
          <t>VÄSTERVIK</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22266-2024</t>
        </is>
      </c>
      <c r="B1586" s="1" t="n">
        <v>45446</v>
      </c>
      <c r="C1586" s="1" t="n">
        <v>45799</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22740-2024</t>
        </is>
      </c>
      <c r="B1587" s="1" t="n">
        <v>45448</v>
      </c>
      <c r="C1587" s="1" t="n">
        <v>45799</v>
      </c>
      <c r="D1587" t="inlineStr">
        <is>
          <t>KALMAR LÄN</t>
        </is>
      </c>
      <c r="E1587" t="inlineStr">
        <is>
          <t>VÄSTERVIK</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23221-2024</t>
        </is>
      </c>
      <c r="B1588" s="1" t="n">
        <v>45452</v>
      </c>
      <c r="C1588" s="1" t="n">
        <v>45799</v>
      </c>
      <c r="D1588" t="inlineStr">
        <is>
          <t>KALMAR LÄN</t>
        </is>
      </c>
      <c r="E1588" t="inlineStr">
        <is>
          <t>VÄSTERVIK</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23248-2024</t>
        </is>
      </c>
      <c r="B1589" s="1" t="n">
        <v>45453</v>
      </c>
      <c r="C1589" s="1" t="n">
        <v>45799</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23626-2024</t>
        </is>
      </c>
      <c r="B1590" s="1" t="n">
        <v>45454</v>
      </c>
      <c r="C1590" s="1" t="n">
        <v>45799</v>
      </c>
      <c r="D1590" t="inlineStr">
        <is>
          <t>KALMAR LÄN</t>
        </is>
      </c>
      <c r="E1590" t="inlineStr">
        <is>
          <t>VÄSTERVIK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23873-2024</t>
        </is>
      </c>
      <c r="B1591" s="1" t="n">
        <v>45455</v>
      </c>
      <c r="C1591" s="1" t="n">
        <v>45799</v>
      </c>
      <c r="D1591" t="inlineStr">
        <is>
          <t>KALMAR LÄN</t>
        </is>
      </c>
      <c r="E1591" t="inlineStr">
        <is>
          <t>VÄSTERVIK</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23983-2024</t>
        </is>
      </c>
      <c r="B1592" s="1" t="n">
        <v>45456</v>
      </c>
      <c r="C1592" s="1" t="n">
        <v>45799</v>
      </c>
      <c r="D1592" t="inlineStr">
        <is>
          <t>KALMAR LÄN</t>
        </is>
      </c>
      <c r="E1592" t="inlineStr">
        <is>
          <t>VÄSTERVIK</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24600-2024</t>
        </is>
      </c>
      <c r="B1593" s="1" t="n">
        <v>45460</v>
      </c>
      <c r="C1593" s="1" t="n">
        <v>45799</v>
      </c>
      <c r="D1593" t="inlineStr">
        <is>
          <t>KALMAR LÄN</t>
        </is>
      </c>
      <c r="E1593" t="inlineStr">
        <is>
          <t>VÄSTERVIK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24596-2024</t>
        </is>
      </c>
      <c r="B1594" s="1" t="n">
        <v>45460</v>
      </c>
      <c r="C1594" s="1" t="n">
        <v>45799</v>
      </c>
      <c r="D1594" t="inlineStr">
        <is>
          <t>KALMAR LÄN</t>
        </is>
      </c>
      <c r="E1594" t="inlineStr">
        <is>
          <t>VÄSTERVIK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24592-2024</t>
        </is>
      </c>
      <c r="B1595" s="1" t="n">
        <v>45460</v>
      </c>
      <c r="C1595" s="1" t="n">
        <v>45799</v>
      </c>
      <c r="D1595" t="inlineStr">
        <is>
          <t>KALMAR LÄN</t>
        </is>
      </c>
      <c r="E1595" t="inlineStr">
        <is>
          <t>VÄSTERVIK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24584-2024</t>
        </is>
      </c>
      <c r="B1596" s="1" t="n">
        <v>45460</v>
      </c>
      <c r="C1596" s="1" t="n">
        <v>45799</v>
      </c>
      <c r="D1596" t="inlineStr">
        <is>
          <t>KALMAR LÄN</t>
        </is>
      </c>
      <c r="E1596" t="inlineStr">
        <is>
          <t>VÄSTERVIK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24571-2024</t>
        </is>
      </c>
      <c r="B1597" s="1" t="n">
        <v>45460</v>
      </c>
      <c r="C1597" s="1" t="n">
        <v>45799</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24567-2024</t>
        </is>
      </c>
      <c r="B1598" s="1" t="n">
        <v>45460</v>
      </c>
      <c r="C1598" s="1" t="n">
        <v>45799</v>
      </c>
      <c r="D1598" t="inlineStr">
        <is>
          <t>KALMAR LÄN</t>
        </is>
      </c>
      <c r="E1598" t="inlineStr">
        <is>
          <t>VÄSTERVIK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24536-2024</t>
        </is>
      </c>
      <c r="B1599" s="1" t="n">
        <v>45460</v>
      </c>
      <c r="C1599" s="1" t="n">
        <v>45799</v>
      </c>
      <c r="D1599" t="inlineStr">
        <is>
          <t>KALMAR LÄN</t>
        </is>
      </c>
      <c r="E1599" t="inlineStr">
        <is>
          <t>VÄSTERVIK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24578-2024</t>
        </is>
      </c>
      <c r="B1600" s="1" t="n">
        <v>45460</v>
      </c>
      <c r="C1600" s="1" t="n">
        <v>45799</v>
      </c>
      <c r="D1600" t="inlineStr">
        <is>
          <t>KALMAR LÄN</t>
        </is>
      </c>
      <c r="E1600" t="inlineStr">
        <is>
          <t>VÄSTERVIK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24562-2024</t>
        </is>
      </c>
      <c r="B1601" s="1" t="n">
        <v>45460</v>
      </c>
      <c r="C1601" s="1" t="n">
        <v>45799</v>
      </c>
      <c r="D1601" t="inlineStr">
        <is>
          <t>KALMAR LÄN</t>
        </is>
      </c>
      <c r="E1601" t="inlineStr">
        <is>
          <t>VÄSTERVIK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24572-2024</t>
        </is>
      </c>
      <c r="B1602" s="1" t="n">
        <v>45460</v>
      </c>
      <c r="C1602" s="1" t="n">
        <v>45799</v>
      </c>
      <c r="D1602" t="inlineStr">
        <is>
          <t>KALMAR LÄN</t>
        </is>
      </c>
      <c r="E1602" t="inlineStr">
        <is>
          <t>VÄSTERVIK</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24988-2024</t>
        </is>
      </c>
      <c r="B1603" s="1" t="n">
        <v>45461</v>
      </c>
      <c r="C1603" s="1" t="n">
        <v>45799</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25561-2024</t>
        </is>
      </c>
      <c r="B1604" s="1" t="n">
        <v>45463</v>
      </c>
      <c r="C1604" s="1" t="n">
        <v>45799</v>
      </c>
      <c r="D1604" t="inlineStr">
        <is>
          <t>KALMAR LÄN</t>
        </is>
      </c>
      <c r="E1604" t="inlineStr">
        <is>
          <t>VÄSTERVIK</t>
        </is>
      </c>
      <c r="F1604" t="inlineStr">
        <is>
          <t>Holmen skog AB</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25429-2024</t>
        </is>
      </c>
      <c r="B1605" s="1" t="n">
        <v>45463</v>
      </c>
      <c r="C1605" s="1" t="n">
        <v>45799</v>
      </c>
      <c r="D1605" t="inlineStr">
        <is>
          <t>KALMAR LÄN</t>
        </is>
      </c>
      <c r="E1605" t="inlineStr">
        <is>
          <t>VÄSTERVIK</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25882-2024</t>
        </is>
      </c>
      <c r="B1606" s="1" t="n">
        <v>45467</v>
      </c>
      <c r="C1606" s="1" t="n">
        <v>45799</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26285-2024</t>
        </is>
      </c>
      <c r="B1607" s="1" t="n">
        <v>45468</v>
      </c>
      <c r="C1607" s="1" t="n">
        <v>45799</v>
      </c>
      <c r="D1607" t="inlineStr">
        <is>
          <t>KALMAR LÄN</t>
        </is>
      </c>
      <c r="E1607" t="inlineStr">
        <is>
          <t>VÄSTERVIK</t>
        </is>
      </c>
      <c r="F1607" t="inlineStr">
        <is>
          <t>Holmen skog AB</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26140-2024</t>
        </is>
      </c>
      <c r="B1608" s="1" t="n">
        <v>45468</v>
      </c>
      <c r="C1608" s="1" t="n">
        <v>45799</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26066-2024</t>
        </is>
      </c>
      <c r="B1609" s="1" t="n">
        <v>45468</v>
      </c>
      <c r="C1609" s="1" t="n">
        <v>45799</v>
      </c>
      <c r="D1609" t="inlineStr">
        <is>
          <t>KALMAR LÄN</t>
        </is>
      </c>
      <c r="E1609" t="inlineStr">
        <is>
          <t>VÄSTERVIK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26061-2024</t>
        </is>
      </c>
      <c r="B1610" s="1" t="n">
        <v>45468</v>
      </c>
      <c r="C1610" s="1" t="n">
        <v>45799</v>
      </c>
      <c r="D1610" t="inlineStr">
        <is>
          <t>KALMAR LÄN</t>
        </is>
      </c>
      <c r="E1610" t="inlineStr">
        <is>
          <t>VÄSTERVIK</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26053-2024</t>
        </is>
      </c>
      <c r="B1611" s="1" t="n">
        <v>45468</v>
      </c>
      <c r="C1611" s="1" t="n">
        <v>45799</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27094-2024</t>
        </is>
      </c>
      <c r="B1612" s="1" t="n">
        <v>45471</v>
      </c>
      <c r="C1612" s="1" t="n">
        <v>45799</v>
      </c>
      <c r="D1612" t="inlineStr">
        <is>
          <t>KALMAR LÄN</t>
        </is>
      </c>
      <c r="E1612" t="inlineStr">
        <is>
          <t>VÄSTERVIK</t>
        </is>
      </c>
      <c r="F1612" t="inlineStr">
        <is>
          <t>Holmen skog AB</t>
        </is>
      </c>
      <c r="G1612" t="n">
        <v>2.4</v>
      </c>
      <c r="H1612" t="n">
        <v>0</v>
      </c>
      <c r="I1612" t="n">
        <v>0</v>
      </c>
      <c r="J1612" t="n">
        <v>0</v>
      </c>
      <c r="K1612" t="n">
        <v>0</v>
      </c>
      <c r="L1612" t="n">
        <v>0</v>
      </c>
      <c r="M1612" t="n">
        <v>0</v>
      </c>
      <c r="N1612" t="n">
        <v>0</v>
      </c>
      <c r="O1612" t="n">
        <v>0</v>
      </c>
      <c r="P1612" t="n">
        <v>0</v>
      </c>
      <c r="Q1612" t="n">
        <v>0</v>
      </c>
      <c r="R1612" s="2" t="inlineStr"/>
      <c r="U1612">
        <f>HYPERLINK("https://klasma.github.io/Logging_0883/knärot/A 27094-2024 karta knärot.png", "A 27094-2024")</f>
        <v/>
      </c>
      <c r="V1612">
        <f>HYPERLINK("https://klasma.github.io/Logging_0883/klagomål/A 27094-2024 FSC-klagomål.docx", "A 27094-2024")</f>
        <v/>
      </c>
      <c r="W1612">
        <f>HYPERLINK("https://klasma.github.io/Logging_0883/klagomålsmail/A 27094-2024 FSC-klagomål mail.docx", "A 27094-2024")</f>
        <v/>
      </c>
      <c r="X1612">
        <f>HYPERLINK("https://klasma.github.io/Logging_0883/tillsyn/A 27094-2024 tillsynsbegäran.docx", "A 27094-2024")</f>
        <v/>
      </c>
      <c r="Y1612">
        <f>HYPERLINK("https://klasma.github.io/Logging_0883/tillsynsmail/A 27094-2024 tillsynsbegäran mail.docx", "A 27094-2024")</f>
        <v/>
      </c>
    </row>
    <row r="1613" ht="15" customHeight="1">
      <c r="A1613" t="inlineStr">
        <is>
          <t>A 27568-2024</t>
        </is>
      </c>
      <c r="B1613" s="1" t="n">
        <v>45474</v>
      </c>
      <c r="C1613" s="1" t="n">
        <v>45799</v>
      </c>
      <c r="D1613" t="inlineStr">
        <is>
          <t>KALMAR LÄN</t>
        </is>
      </c>
      <c r="E1613" t="inlineStr">
        <is>
          <t>VÄSTERVIK</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28110-2024</t>
        </is>
      </c>
      <c r="B1614" s="1" t="n">
        <v>45476</v>
      </c>
      <c r="C1614" s="1" t="n">
        <v>45799</v>
      </c>
      <c r="D1614" t="inlineStr">
        <is>
          <t>KALMAR LÄN</t>
        </is>
      </c>
      <c r="E1614" t="inlineStr">
        <is>
          <t>VÄSTERVIK</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28122-2024</t>
        </is>
      </c>
      <c r="B1615" s="1" t="n">
        <v>45476</v>
      </c>
      <c r="C1615" s="1" t="n">
        <v>45799</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28037-2024</t>
        </is>
      </c>
      <c r="B1616" s="1" t="n">
        <v>45476</v>
      </c>
      <c r="C1616" s="1" t="n">
        <v>45799</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28404-2024</t>
        </is>
      </c>
      <c r="B1617" s="1" t="n">
        <v>45477</v>
      </c>
      <c r="C1617" s="1" t="n">
        <v>45799</v>
      </c>
      <c r="D1617" t="inlineStr">
        <is>
          <t>KALMAR LÄN</t>
        </is>
      </c>
      <c r="E1617" t="inlineStr">
        <is>
          <t>VÄSTERVIK</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28315-2024</t>
        </is>
      </c>
      <c r="B1618" s="1" t="n">
        <v>45477</v>
      </c>
      <c r="C1618" s="1" t="n">
        <v>45799</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28291-2024</t>
        </is>
      </c>
      <c r="B1619" s="1" t="n">
        <v>45477</v>
      </c>
      <c r="C1619" s="1" t="n">
        <v>45799</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28415-2024</t>
        </is>
      </c>
      <c r="B1620" s="1" t="n">
        <v>45477</v>
      </c>
      <c r="C1620" s="1" t="n">
        <v>45799</v>
      </c>
      <c r="D1620" t="inlineStr">
        <is>
          <t>KALMAR LÄN</t>
        </is>
      </c>
      <c r="E1620" t="inlineStr">
        <is>
          <t>VÄSTERVIK</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28390-2024</t>
        </is>
      </c>
      <c r="B1621" s="1" t="n">
        <v>45477</v>
      </c>
      <c r="C1621" s="1" t="n">
        <v>45799</v>
      </c>
      <c r="D1621" t="inlineStr">
        <is>
          <t>KALMAR LÄN</t>
        </is>
      </c>
      <c r="E1621" t="inlineStr">
        <is>
          <t>VÄSTERVIK</t>
        </is>
      </c>
      <c r="F1621" t="inlineStr">
        <is>
          <t>Holmen skog AB</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28378-2024</t>
        </is>
      </c>
      <c r="B1622" s="1" t="n">
        <v>45477</v>
      </c>
      <c r="C1622" s="1" t="n">
        <v>45799</v>
      </c>
      <c r="D1622" t="inlineStr">
        <is>
          <t>KALMAR LÄN</t>
        </is>
      </c>
      <c r="E1622" t="inlineStr">
        <is>
          <t>VÄSTERVIK</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28222-2024</t>
        </is>
      </c>
      <c r="B1623" s="1" t="n">
        <v>45477</v>
      </c>
      <c r="C1623" s="1" t="n">
        <v>45799</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28344-2024</t>
        </is>
      </c>
      <c r="B1624" s="1" t="n">
        <v>45477</v>
      </c>
      <c r="C1624" s="1" t="n">
        <v>45799</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28667-2024</t>
        </is>
      </c>
      <c r="B1625" s="1" t="n">
        <v>45478</v>
      </c>
      <c r="C1625" s="1" t="n">
        <v>45799</v>
      </c>
      <c r="D1625" t="inlineStr">
        <is>
          <t>KALMAR LÄN</t>
        </is>
      </c>
      <c r="E1625" t="inlineStr">
        <is>
          <t>VÄSTERVIK</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28640-2024</t>
        </is>
      </c>
      <c r="B1626" s="1" t="n">
        <v>45478</v>
      </c>
      <c r="C1626" s="1" t="n">
        <v>45799</v>
      </c>
      <c r="D1626" t="inlineStr">
        <is>
          <t>KALMAR LÄN</t>
        </is>
      </c>
      <c r="E1626" t="inlineStr">
        <is>
          <t>VÄSTERVIK</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29400-2024</t>
        </is>
      </c>
      <c r="B1627" s="1" t="n">
        <v>45483</v>
      </c>
      <c r="C1627" s="1" t="n">
        <v>45799</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29404-2024</t>
        </is>
      </c>
      <c r="B1628" s="1" t="n">
        <v>45483</v>
      </c>
      <c r="C1628" s="1" t="n">
        <v>45799</v>
      </c>
      <c r="D1628" t="inlineStr">
        <is>
          <t>KALMAR LÄN</t>
        </is>
      </c>
      <c r="E1628" t="inlineStr">
        <is>
          <t>VÄSTERVIK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29412-2024</t>
        </is>
      </c>
      <c r="B1629" s="1" t="n">
        <v>45483</v>
      </c>
      <c r="C1629" s="1" t="n">
        <v>45799</v>
      </c>
      <c r="D1629" t="inlineStr">
        <is>
          <t>KALMAR LÄN</t>
        </is>
      </c>
      <c r="E1629" t="inlineStr">
        <is>
          <t>VÄSTERVIK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29420-2024</t>
        </is>
      </c>
      <c r="B1630" s="1" t="n">
        <v>45483</v>
      </c>
      <c r="C1630" s="1" t="n">
        <v>45799</v>
      </c>
      <c r="D1630" t="inlineStr">
        <is>
          <t>KALMAR LÄN</t>
        </is>
      </c>
      <c r="E1630" t="inlineStr">
        <is>
          <t>VÄSTERVIK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29396-2024</t>
        </is>
      </c>
      <c r="B1631" s="1" t="n">
        <v>45483</v>
      </c>
      <c r="C1631" s="1" t="n">
        <v>45799</v>
      </c>
      <c r="D1631" t="inlineStr">
        <is>
          <t>KALMAR LÄN</t>
        </is>
      </c>
      <c r="E1631" t="inlineStr">
        <is>
          <t>VÄSTERVIK</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29405-2024</t>
        </is>
      </c>
      <c r="B1632" s="1" t="n">
        <v>45483</v>
      </c>
      <c r="C1632" s="1" t="n">
        <v>45799</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29417-2024</t>
        </is>
      </c>
      <c r="B1633" s="1" t="n">
        <v>45483</v>
      </c>
      <c r="C1633" s="1" t="n">
        <v>45799</v>
      </c>
      <c r="D1633" t="inlineStr">
        <is>
          <t>KALMAR LÄN</t>
        </is>
      </c>
      <c r="E1633" t="inlineStr">
        <is>
          <t>VÄSTERVIK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29407-2024</t>
        </is>
      </c>
      <c r="B1634" s="1" t="n">
        <v>45483</v>
      </c>
      <c r="C1634" s="1" t="n">
        <v>45799</v>
      </c>
      <c r="D1634" t="inlineStr">
        <is>
          <t>KALMAR LÄN</t>
        </is>
      </c>
      <c r="E1634" t="inlineStr">
        <is>
          <t>VÄSTERVIK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29414-2024</t>
        </is>
      </c>
      <c r="B1635" s="1" t="n">
        <v>45483</v>
      </c>
      <c r="C1635" s="1" t="n">
        <v>45799</v>
      </c>
      <c r="D1635" t="inlineStr">
        <is>
          <t>KALMAR LÄN</t>
        </is>
      </c>
      <c r="E1635" t="inlineStr">
        <is>
          <t>VÄSTERVIK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29418-2024</t>
        </is>
      </c>
      <c r="B1636" s="1" t="n">
        <v>45483</v>
      </c>
      <c r="C1636" s="1" t="n">
        <v>45799</v>
      </c>
      <c r="D1636" t="inlineStr">
        <is>
          <t>KALMAR LÄN</t>
        </is>
      </c>
      <c r="E1636" t="inlineStr">
        <is>
          <t>VÄSTERVIK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29557-2024</t>
        </is>
      </c>
      <c r="B1637" s="1" t="n">
        <v>45484</v>
      </c>
      <c r="C1637" s="1" t="n">
        <v>45799</v>
      </c>
      <c r="D1637" t="inlineStr">
        <is>
          <t>KALMAR LÄN</t>
        </is>
      </c>
      <c r="E1637" t="inlineStr">
        <is>
          <t>VÄSTERVIK</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29571-2024</t>
        </is>
      </c>
      <c r="B1638" s="1" t="n">
        <v>45484</v>
      </c>
      <c r="C1638" s="1" t="n">
        <v>45799</v>
      </c>
      <c r="D1638" t="inlineStr">
        <is>
          <t>KALMAR LÄN</t>
        </is>
      </c>
      <c r="E1638" t="inlineStr">
        <is>
          <t>VÄSTERVIK</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29786-2024</t>
        </is>
      </c>
      <c r="B1639" s="1" t="n">
        <v>45485</v>
      </c>
      <c r="C1639" s="1" t="n">
        <v>45799</v>
      </c>
      <c r="D1639" t="inlineStr">
        <is>
          <t>KALMAR LÄN</t>
        </is>
      </c>
      <c r="E1639" t="inlineStr">
        <is>
          <t>VÄSTERVIK</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29784-2024</t>
        </is>
      </c>
      <c r="B1640" s="1" t="n">
        <v>45485</v>
      </c>
      <c r="C1640" s="1" t="n">
        <v>45799</v>
      </c>
      <c r="D1640" t="inlineStr">
        <is>
          <t>KALMAR LÄN</t>
        </is>
      </c>
      <c r="E1640" t="inlineStr">
        <is>
          <t>VÄSTERVIK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29789-2024</t>
        </is>
      </c>
      <c r="B1641" s="1" t="n">
        <v>45485</v>
      </c>
      <c r="C1641" s="1" t="n">
        <v>45799</v>
      </c>
      <c r="D1641" t="inlineStr">
        <is>
          <t>KALMAR LÄN</t>
        </is>
      </c>
      <c r="E1641" t="inlineStr">
        <is>
          <t>VÄSTERVIK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30153-2024</t>
        </is>
      </c>
      <c r="B1642" s="1" t="n">
        <v>45489</v>
      </c>
      <c r="C1642" s="1" t="n">
        <v>45799</v>
      </c>
      <c r="D1642" t="inlineStr">
        <is>
          <t>KALMAR LÄN</t>
        </is>
      </c>
      <c r="E1642" t="inlineStr">
        <is>
          <t>VÄSTERVIK</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30148-2024</t>
        </is>
      </c>
      <c r="B1643" s="1" t="n">
        <v>45489</v>
      </c>
      <c r="C1643" s="1" t="n">
        <v>45799</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30149-2024</t>
        </is>
      </c>
      <c r="B1644" s="1" t="n">
        <v>45489</v>
      </c>
      <c r="C1644" s="1" t="n">
        <v>45799</v>
      </c>
      <c r="D1644" t="inlineStr">
        <is>
          <t>KALMAR LÄN</t>
        </is>
      </c>
      <c r="E1644" t="inlineStr">
        <is>
          <t>VÄSTERVIK</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30157-2024</t>
        </is>
      </c>
      <c r="B1645" s="1" t="n">
        <v>45489</v>
      </c>
      <c r="C1645" s="1" t="n">
        <v>45799</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30437-2024</t>
        </is>
      </c>
      <c r="B1646" s="1" t="n">
        <v>45491</v>
      </c>
      <c r="C1646" s="1" t="n">
        <v>45799</v>
      </c>
      <c r="D1646" t="inlineStr">
        <is>
          <t>KALMAR LÄN</t>
        </is>
      </c>
      <c r="E1646" t="inlineStr">
        <is>
          <t>VÄSTERVIK</t>
        </is>
      </c>
      <c r="F1646" t="inlineStr">
        <is>
          <t>Holmen skog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30525-2024</t>
        </is>
      </c>
      <c r="B1647" s="1" t="n">
        <v>45492</v>
      </c>
      <c r="C1647" s="1" t="n">
        <v>45799</v>
      </c>
      <c r="D1647" t="inlineStr">
        <is>
          <t>KALMAR LÄN</t>
        </is>
      </c>
      <c r="E1647" t="inlineStr">
        <is>
          <t>VÄSTERVIK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30523-2024</t>
        </is>
      </c>
      <c r="B1648" s="1" t="n">
        <v>45492</v>
      </c>
      <c r="C1648" s="1" t="n">
        <v>45799</v>
      </c>
      <c r="D1648" t="inlineStr">
        <is>
          <t>KALMAR LÄN</t>
        </is>
      </c>
      <c r="E1648" t="inlineStr">
        <is>
          <t>VÄSTERVIK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30511-2024</t>
        </is>
      </c>
      <c r="B1649" s="1" t="n">
        <v>45492</v>
      </c>
      <c r="C1649" s="1" t="n">
        <v>45799</v>
      </c>
      <c r="D1649" t="inlineStr">
        <is>
          <t>KALMAR LÄN</t>
        </is>
      </c>
      <c r="E1649" t="inlineStr">
        <is>
          <t>VÄSTERVIK</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31147-2024</t>
        </is>
      </c>
      <c r="B1650" s="1" t="n">
        <v>45502</v>
      </c>
      <c r="C1650" s="1" t="n">
        <v>45799</v>
      </c>
      <c r="D1650" t="inlineStr">
        <is>
          <t>KALMAR LÄN</t>
        </is>
      </c>
      <c r="E1650" t="inlineStr">
        <is>
          <t>VÄSTERVIK</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31056-2024</t>
        </is>
      </c>
      <c r="B1651" s="1" t="n">
        <v>45502</v>
      </c>
      <c r="C1651" s="1" t="n">
        <v>45799</v>
      </c>
      <c r="D1651" t="inlineStr">
        <is>
          <t>KALMAR LÄN</t>
        </is>
      </c>
      <c r="E1651" t="inlineStr">
        <is>
          <t>VÄSTERVIK</t>
        </is>
      </c>
      <c r="F1651" t="inlineStr">
        <is>
          <t>Holmen skog AB</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32009-2024</t>
        </is>
      </c>
      <c r="B1652" s="1" t="n">
        <v>45510</v>
      </c>
      <c r="C1652" s="1" t="n">
        <v>45799</v>
      </c>
      <c r="D1652" t="inlineStr">
        <is>
          <t>KALMAR LÄN</t>
        </is>
      </c>
      <c r="E1652" t="inlineStr">
        <is>
          <t>VÄSTERVIK</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31999-2024</t>
        </is>
      </c>
      <c r="B1653" s="1" t="n">
        <v>45510</v>
      </c>
      <c r="C1653" s="1" t="n">
        <v>45799</v>
      </c>
      <c r="D1653" t="inlineStr">
        <is>
          <t>KALMAR LÄN</t>
        </is>
      </c>
      <c r="E1653" t="inlineStr">
        <is>
          <t>VÄSTERVIK</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32006-2024</t>
        </is>
      </c>
      <c r="B1654" s="1" t="n">
        <v>45510</v>
      </c>
      <c r="C1654" s="1" t="n">
        <v>45799</v>
      </c>
      <c r="D1654" t="inlineStr">
        <is>
          <t>KALMAR LÄN</t>
        </is>
      </c>
      <c r="E1654" t="inlineStr">
        <is>
          <t>VÄSTERVIK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32159-2024</t>
        </is>
      </c>
      <c r="B1655" s="1" t="n">
        <v>45511</v>
      </c>
      <c r="C1655" s="1" t="n">
        <v>45799</v>
      </c>
      <c r="D1655" t="inlineStr">
        <is>
          <t>KALMAR LÄN</t>
        </is>
      </c>
      <c r="E1655" t="inlineStr">
        <is>
          <t>VÄSTERVIK</t>
        </is>
      </c>
      <c r="F1655" t="inlineStr">
        <is>
          <t>Övriga Aktiebolag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32146-2024</t>
        </is>
      </c>
      <c r="B1656" s="1" t="n">
        <v>45511</v>
      </c>
      <c r="C1656" s="1" t="n">
        <v>45799</v>
      </c>
      <c r="D1656" t="inlineStr">
        <is>
          <t>KALMAR LÄN</t>
        </is>
      </c>
      <c r="E1656" t="inlineStr">
        <is>
          <t>VÄSTERVIK</t>
        </is>
      </c>
      <c r="F1656" t="inlineStr">
        <is>
          <t>Övriga Aktiebolag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32137-2024</t>
        </is>
      </c>
      <c r="B1657" s="1" t="n">
        <v>45511</v>
      </c>
      <c r="C1657" s="1" t="n">
        <v>45799</v>
      </c>
      <c r="D1657" t="inlineStr">
        <is>
          <t>KALMAR LÄN</t>
        </is>
      </c>
      <c r="E1657" t="inlineStr">
        <is>
          <t>VÄSTERVIK</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32386-2024</t>
        </is>
      </c>
      <c r="B1658" s="1" t="n">
        <v>45512</v>
      </c>
      <c r="C1658" s="1" t="n">
        <v>45799</v>
      </c>
      <c r="D1658" t="inlineStr">
        <is>
          <t>KALMAR LÄN</t>
        </is>
      </c>
      <c r="E1658" t="inlineStr">
        <is>
          <t>VÄSTERVIK</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32388-2024</t>
        </is>
      </c>
      <c r="B1659" s="1" t="n">
        <v>45512</v>
      </c>
      <c r="C1659" s="1" t="n">
        <v>45799</v>
      </c>
      <c r="D1659" t="inlineStr">
        <is>
          <t>KALMAR LÄN</t>
        </is>
      </c>
      <c r="E1659" t="inlineStr">
        <is>
          <t>VÄSTERVIK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32389-2024</t>
        </is>
      </c>
      <c r="B1660" s="1" t="n">
        <v>45512</v>
      </c>
      <c r="C1660" s="1" t="n">
        <v>45799</v>
      </c>
      <c r="D1660" t="inlineStr">
        <is>
          <t>KALMAR LÄN</t>
        </is>
      </c>
      <c r="E1660" t="inlineStr">
        <is>
          <t>VÄSTERVIK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32283-2024</t>
        </is>
      </c>
      <c r="B1661" s="1" t="n">
        <v>45512</v>
      </c>
      <c r="C1661" s="1" t="n">
        <v>45799</v>
      </c>
      <c r="D1661" t="inlineStr">
        <is>
          <t>KALMAR LÄN</t>
        </is>
      </c>
      <c r="E1661" t="inlineStr">
        <is>
          <t>VÄSTERVIK</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33535-2024</t>
        </is>
      </c>
      <c r="B1662" s="1" t="n">
        <v>45519</v>
      </c>
      <c r="C1662" s="1" t="n">
        <v>45799</v>
      </c>
      <c r="D1662" t="inlineStr">
        <is>
          <t>KALMAR LÄN</t>
        </is>
      </c>
      <c r="E1662" t="inlineStr">
        <is>
          <t>VÄSTERVIK</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33508-2024</t>
        </is>
      </c>
      <c r="B1663" s="1" t="n">
        <v>45519</v>
      </c>
      <c r="C1663" s="1" t="n">
        <v>45799</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33969-2024</t>
        </is>
      </c>
      <c r="B1664" s="1" t="n">
        <v>45523</v>
      </c>
      <c r="C1664" s="1" t="n">
        <v>45799</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33966-2024</t>
        </is>
      </c>
      <c r="B1665" s="1" t="n">
        <v>45523</v>
      </c>
      <c r="C1665" s="1" t="n">
        <v>45799</v>
      </c>
      <c r="D1665" t="inlineStr">
        <is>
          <t>KALMAR LÄN</t>
        </is>
      </c>
      <c r="E1665" t="inlineStr">
        <is>
          <t>VÄSTERVIK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34461-2024</t>
        </is>
      </c>
      <c r="B1666" s="1" t="n">
        <v>45525</v>
      </c>
      <c r="C1666" s="1" t="n">
        <v>45799</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34463-2024</t>
        </is>
      </c>
      <c r="B1667" s="1" t="n">
        <v>45525</v>
      </c>
      <c r="C1667" s="1" t="n">
        <v>45799</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34471-2024</t>
        </is>
      </c>
      <c r="B1668" s="1" t="n">
        <v>45525</v>
      </c>
      <c r="C1668" s="1" t="n">
        <v>45799</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34420-2024</t>
        </is>
      </c>
      <c r="B1669" s="1" t="n">
        <v>45525</v>
      </c>
      <c r="C1669" s="1" t="n">
        <v>45799</v>
      </c>
      <c r="D1669" t="inlineStr">
        <is>
          <t>KALMAR LÄN</t>
        </is>
      </c>
      <c r="E1669" t="inlineStr">
        <is>
          <t>VÄSTERVIK</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34795-2024</t>
        </is>
      </c>
      <c r="B1670" s="1" t="n">
        <v>45526</v>
      </c>
      <c r="C1670" s="1" t="n">
        <v>45799</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34833-2024</t>
        </is>
      </c>
      <c r="B1671" s="1" t="n">
        <v>45526</v>
      </c>
      <c r="C1671" s="1" t="n">
        <v>45799</v>
      </c>
      <c r="D1671" t="inlineStr">
        <is>
          <t>KALMAR LÄN</t>
        </is>
      </c>
      <c r="E1671" t="inlineStr">
        <is>
          <t>VÄSTERVIK</t>
        </is>
      </c>
      <c r="F1671" t="inlineStr">
        <is>
          <t>Sveaskog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34788-2024</t>
        </is>
      </c>
      <c r="B1672" s="1" t="n">
        <v>45526</v>
      </c>
      <c r="C1672" s="1" t="n">
        <v>45799</v>
      </c>
      <c r="D1672" t="inlineStr">
        <is>
          <t>KALMAR LÄN</t>
        </is>
      </c>
      <c r="E1672" t="inlineStr">
        <is>
          <t>VÄSTERVIK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34832-2024</t>
        </is>
      </c>
      <c r="B1673" s="1" t="n">
        <v>45526</v>
      </c>
      <c r="C1673" s="1" t="n">
        <v>45799</v>
      </c>
      <c r="D1673" t="inlineStr">
        <is>
          <t>KALMAR LÄN</t>
        </is>
      </c>
      <c r="E1673" t="inlineStr">
        <is>
          <t>VÄSTERVIK</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35018-2024</t>
        </is>
      </c>
      <c r="B1674" s="1" t="n">
        <v>45527</v>
      </c>
      <c r="C1674" s="1" t="n">
        <v>45799</v>
      </c>
      <c r="D1674" t="inlineStr">
        <is>
          <t>KALMAR LÄN</t>
        </is>
      </c>
      <c r="E1674" t="inlineStr">
        <is>
          <t>VÄSTERVIK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35108-2024</t>
        </is>
      </c>
      <c r="B1675" s="1" t="n">
        <v>45529</v>
      </c>
      <c r="C1675" s="1" t="n">
        <v>45799</v>
      </c>
      <c r="D1675" t="inlineStr">
        <is>
          <t>KALMAR LÄN</t>
        </is>
      </c>
      <c r="E1675" t="inlineStr">
        <is>
          <t>VÄSTERVIK</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35162-2024</t>
        </is>
      </c>
      <c r="B1676" s="1" t="n">
        <v>45530</v>
      </c>
      <c r="C1676" s="1" t="n">
        <v>45799</v>
      </c>
      <c r="D1676" t="inlineStr">
        <is>
          <t>KALMAR LÄN</t>
        </is>
      </c>
      <c r="E1676" t="inlineStr">
        <is>
          <t>VÄSTERVIK</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35163-2024</t>
        </is>
      </c>
      <c r="B1677" s="1" t="n">
        <v>45530</v>
      </c>
      <c r="C1677" s="1" t="n">
        <v>45799</v>
      </c>
      <c r="D1677" t="inlineStr">
        <is>
          <t>KALMAR LÄN</t>
        </is>
      </c>
      <c r="E1677" t="inlineStr">
        <is>
          <t>VÄSTERVIK</t>
        </is>
      </c>
      <c r="F1677" t="inlineStr">
        <is>
          <t>Sveaskog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35137-2024</t>
        </is>
      </c>
      <c r="B1678" s="1" t="n">
        <v>45530</v>
      </c>
      <c r="C1678" s="1" t="n">
        <v>45799</v>
      </c>
      <c r="D1678" t="inlineStr">
        <is>
          <t>KALMAR LÄN</t>
        </is>
      </c>
      <c r="E1678" t="inlineStr">
        <is>
          <t>VÄSTERVIK</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35456-2024</t>
        </is>
      </c>
      <c r="B1679" s="1" t="n">
        <v>45531</v>
      </c>
      <c r="C1679" s="1" t="n">
        <v>45799</v>
      </c>
      <c r="D1679" t="inlineStr">
        <is>
          <t>KALMAR LÄN</t>
        </is>
      </c>
      <c r="E1679" t="inlineStr">
        <is>
          <t>VÄSTERVIK</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35951-2024</t>
        </is>
      </c>
      <c r="B1680" s="1" t="n">
        <v>45533</v>
      </c>
      <c r="C1680" s="1" t="n">
        <v>45799</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36050-2024</t>
        </is>
      </c>
      <c r="B1681" s="1" t="n">
        <v>45533</v>
      </c>
      <c r="C1681" s="1" t="n">
        <v>45799</v>
      </c>
      <c r="D1681" t="inlineStr">
        <is>
          <t>KALMAR LÄN</t>
        </is>
      </c>
      <c r="E1681" t="inlineStr">
        <is>
          <t>VÄSTERVIK</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35983-2024</t>
        </is>
      </c>
      <c r="B1682" s="1" t="n">
        <v>45533</v>
      </c>
      <c r="C1682" s="1" t="n">
        <v>45799</v>
      </c>
      <c r="D1682" t="inlineStr">
        <is>
          <t>KALMAR LÄN</t>
        </is>
      </c>
      <c r="E1682" t="inlineStr">
        <is>
          <t>VÄSTERVIK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36259-2024</t>
        </is>
      </c>
      <c r="B1683" s="1" t="n">
        <v>45534</v>
      </c>
      <c r="C1683" s="1" t="n">
        <v>45799</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36400-2024</t>
        </is>
      </c>
      <c r="B1684" s="1" t="n">
        <v>45535</v>
      </c>
      <c r="C1684" s="1" t="n">
        <v>45799</v>
      </c>
      <c r="D1684" t="inlineStr">
        <is>
          <t>KALMAR LÄN</t>
        </is>
      </c>
      <c r="E1684" t="inlineStr">
        <is>
          <t>VÄSTERVIK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36555-2024</t>
        </is>
      </c>
      <c r="B1685" s="1" t="n">
        <v>45537</v>
      </c>
      <c r="C1685" s="1" t="n">
        <v>45799</v>
      </c>
      <c r="D1685" t="inlineStr">
        <is>
          <t>KALMAR LÄN</t>
        </is>
      </c>
      <c r="E1685" t="inlineStr">
        <is>
          <t>VÄSTERVIK</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36725-2024</t>
        </is>
      </c>
      <c r="B1686" s="1" t="n">
        <v>45537</v>
      </c>
      <c r="C1686" s="1" t="n">
        <v>45799</v>
      </c>
      <c r="D1686" t="inlineStr">
        <is>
          <t>KALMAR LÄN</t>
        </is>
      </c>
      <c r="E1686" t="inlineStr">
        <is>
          <t>VÄSTERVIK</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36853-2024</t>
        </is>
      </c>
      <c r="B1687" s="1" t="n">
        <v>45538</v>
      </c>
      <c r="C1687" s="1" t="n">
        <v>45799</v>
      </c>
      <c r="D1687" t="inlineStr">
        <is>
          <t>KALMAR LÄN</t>
        </is>
      </c>
      <c r="E1687" t="inlineStr">
        <is>
          <t>VÄSTERVIK</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36878-2024</t>
        </is>
      </c>
      <c r="B1688" s="1" t="n">
        <v>45538</v>
      </c>
      <c r="C1688" s="1" t="n">
        <v>45799</v>
      </c>
      <c r="D1688" t="inlineStr">
        <is>
          <t>KALMAR LÄN</t>
        </is>
      </c>
      <c r="E1688" t="inlineStr">
        <is>
          <t>VÄSTERVIK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36881-2024</t>
        </is>
      </c>
      <c r="B1689" s="1" t="n">
        <v>45538</v>
      </c>
      <c r="C1689" s="1" t="n">
        <v>45799</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36889-2024</t>
        </is>
      </c>
      <c r="B1690" s="1" t="n">
        <v>45538</v>
      </c>
      <c r="C1690" s="1" t="n">
        <v>45799</v>
      </c>
      <c r="D1690" t="inlineStr">
        <is>
          <t>KALMAR LÄN</t>
        </is>
      </c>
      <c r="E1690" t="inlineStr">
        <is>
          <t>VÄSTERVIK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36888-2024</t>
        </is>
      </c>
      <c r="B1691" s="1" t="n">
        <v>45538</v>
      </c>
      <c r="C1691" s="1" t="n">
        <v>45799</v>
      </c>
      <c r="D1691" t="inlineStr">
        <is>
          <t>KALMAR LÄN</t>
        </is>
      </c>
      <c r="E1691" t="inlineStr">
        <is>
          <t>VÄSTERVIK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36906-2024</t>
        </is>
      </c>
      <c r="B1692" s="1" t="n">
        <v>45538</v>
      </c>
      <c r="C1692" s="1" t="n">
        <v>45799</v>
      </c>
      <c r="D1692" t="inlineStr">
        <is>
          <t>KALMAR LÄN</t>
        </is>
      </c>
      <c r="E1692" t="inlineStr">
        <is>
          <t>VÄSTERVIK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37117-2024</t>
        </is>
      </c>
      <c r="B1693" s="1" t="n">
        <v>45539</v>
      </c>
      <c r="C1693" s="1" t="n">
        <v>45799</v>
      </c>
      <c r="D1693" t="inlineStr">
        <is>
          <t>KALMAR LÄN</t>
        </is>
      </c>
      <c r="E1693" t="inlineStr">
        <is>
          <t>VÄSTERVIK</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37326-2024</t>
        </is>
      </c>
      <c r="B1694" s="1" t="n">
        <v>45540</v>
      </c>
      <c r="C1694" s="1" t="n">
        <v>45799</v>
      </c>
      <c r="D1694" t="inlineStr">
        <is>
          <t>KALMAR LÄN</t>
        </is>
      </c>
      <c r="E1694" t="inlineStr">
        <is>
          <t>VÄSTERVIK</t>
        </is>
      </c>
      <c r="F1694" t="inlineStr">
        <is>
          <t>Holmen skog AB</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38061-2024</t>
        </is>
      </c>
      <c r="B1695" s="1" t="n">
        <v>45544</v>
      </c>
      <c r="C1695" s="1" t="n">
        <v>45799</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38545-2024</t>
        </is>
      </c>
      <c r="B1696" s="1" t="n">
        <v>45546</v>
      </c>
      <c r="C1696" s="1" t="n">
        <v>45799</v>
      </c>
      <c r="D1696" t="inlineStr">
        <is>
          <t>KALMAR LÄN</t>
        </is>
      </c>
      <c r="E1696" t="inlineStr">
        <is>
          <t>VÄSTERVIK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39193-2024</t>
        </is>
      </c>
      <c r="B1697" s="1" t="n">
        <v>45548</v>
      </c>
      <c r="C1697" s="1" t="n">
        <v>45799</v>
      </c>
      <c r="D1697" t="inlineStr">
        <is>
          <t>KALMAR LÄN</t>
        </is>
      </c>
      <c r="E1697" t="inlineStr">
        <is>
          <t>VÄSTERVIK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39257-2024</t>
        </is>
      </c>
      <c r="B1698" s="1" t="n">
        <v>45551</v>
      </c>
      <c r="C1698" s="1" t="n">
        <v>45799</v>
      </c>
      <c r="D1698" t="inlineStr">
        <is>
          <t>KALMAR LÄN</t>
        </is>
      </c>
      <c r="E1698" t="inlineStr">
        <is>
          <t>VÄSTERVIK</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39278-2024</t>
        </is>
      </c>
      <c r="B1699" s="1" t="n">
        <v>45551</v>
      </c>
      <c r="C1699" s="1" t="n">
        <v>45799</v>
      </c>
      <c r="D1699" t="inlineStr">
        <is>
          <t>KALMAR LÄN</t>
        </is>
      </c>
      <c r="E1699" t="inlineStr">
        <is>
          <t>VÄSTERVIK</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39287-2024</t>
        </is>
      </c>
      <c r="B1700" s="1" t="n">
        <v>45551</v>
      </c>
      <c r="C1700" s="1" t="n">
        <v>45799</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39309-2024</t>
        </is>
      </c>
      <c r="B1701" s="1" t="n">
        <v>45551</v>
      </c>
      <c r="C1701" s="1" t="n">
        <v>45799</v>
      </c>
      <c r="D1701" t="inlineStr">
        <is>
          <t>KALMAR LÄN</t>
        </is>
      </c>
      <c r="E1701" t="inlineStr">
        <is>
          <t>VÄSTERVIK</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39259-2024</t>
        </is>
      </c>
      <c r="B1702" s="1" t="n">
        <v>45551</v>
      </c>
      <c r="C1702" s="1" t="n">
        <v>45799</v>
      </c>
      <c r="D1702" t="inlineStr">
        <is>
          <t>KALMAR LÄN</t>
        </is>
      </c>
      <c r="E1702" t="inlineStr">
        <is>
          <t>VÄSTERVIK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39982-2024</t>
        </is>
      </c>
      <c r="B1703" s="1" t="n">
        <v>45553</v>
      </c>
      <c r="C1703" s="1" t="n">
        <v>45799</v>
      </c>
      <c r="D1703" t="inlineStr">
        <is>
          <t>KALMAR LÄN</t>
        </is>
      </c>
      <c r="E1703" t="inlineStr">
        <is>
          <t>VÄSTERVIK</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39983-2024</t>
        </is>
      </c>
      <c r="B1704" s="1" t="n">
        <v>45553</v>
      </c>
      <c r="C1704" s="1" t="n">
        <v>45799</v>
      </c>
      <c r="D1704" t="inlineStr">
        <is>
          <t>KALMAR LÄN</t>
        </is>
      </c>
      <c r="E1704" t="inlineStr">
        <is>
          <t>VÄSTERVIK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39980-2024</t>
        </is>
      </c>
      <c r="B1705" s="1" t="n">
        <v>45553</v>
      </c>
      <c r="C1705" s="1" t="n">
        <v>45799</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40320-2024</t>
        </is>
      </c>
      <c r="B1706" s="1" t="n">
        <v>45554</v>
      </c>
      <c r="C1706" s="1" t="n">
        <v>45799</v>
      </c>
      <c r="D1706" t="inlineStr">
        <is>
          <t>KALMAR LÄN</t>
        </is>
      </c>
      <c r="E1706" t="inlineStr">
        <is>
          <t>VÄSTERVIK</t>
        </is>
      </c>
      <c r="F1706" t="inlineStr">
        <is>
          <t>Sveaskog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40648-2024</t>
        </is>
      </c>
      <c r="B1707" s="1" t="n">
        <v>45558</v>
      </c>
      <c r="C1707" s="1" t="n">
        <v>45799</v>
      </c>
      <c r="D1707" t="inlineStr">
        <is>
          <t>KALMAR LÄN</t>
        </is>
      </c>
      <c r="E1707" t="inlineStr">
        <is>
          <t>VÄSTERVIK</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40645-2024</t>
        </is>
      </c>
      <c r="B1708" s="1" t="n">
        <v>45558</v>
      </c>
      <c r="C1708" s="1" t="n">
        <v>45799</v>
      </c>
      <c r="D1708" t="inlineStr">
        <is>
          <t>KALMAR LÄN</t>
        </is>
      </c>
      <c r="E1708" t="inlineStr">
        <is>
          <t>VÄSTERVIK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40770-2024</t>
        </is>
      </c>
      <c r="B1709" s="1" t="n">
        <v>45558</v>
      </c>
      <c r="C1709" s="1" t="n">
        <v>45799</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41248-2024</t>
        </is>
      </c>
      <c r="B1710" s="1" t="n">
        <v>45559</v>
      </c>
      <c r="C1710" s="1" t="n">
        <v>45799</v>
      </c>
      <c r="D1710" t="inlineStr">
        <is>
          <t>KALMAR LÄN</t>
        </is>
      </c>
      <c r="E1710" t="inlineStr">
        <is>
          <t>VÄSTERVIK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41237-2024</t>
        </is>
      </c>
      <c r="B1711" s="1" t="n">
        <v>45559</v>
      </c>
      <c r="C1711" s="1" t="n">
        <v>45799</v>
      </c>
      <c r="D1711" t="inlineStr">
        <is>
          <t>KALMAR LÄN</t>
        </is>
      </c>
      <c r="E1711" t="inlineStr">
        <is>
          <t>VÄSTERVIK</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41926-2024</t>
        </is>
      </c>
      <c r="B1712" s="1" t="n">
        <v>45561</v>
      </c>
      <c r="C1712" s="1" t="n">
        <v>45799</v>
      </c>
      <c r="D1712" t="inlineStr">
        <is>
          <t>KALMAR LÄN</t>
        </is>
      </c>
      <c r="E1712" t="inlineStr">
        <is>
          <t>VÄSTERVIK</t>
        </is>
      </c>
      <c r="F1712" t="inlineStr">
        <is>
          <t>Kyrkan</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42218-2024</t>
        </is>
      </c>
      <c r="B1713" s="1" t="n">
        <v>45562</v>
      </c>
      <c r="C1713" s="1" t="n">
        <v>45799</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42816-2024</t>
        </is>
      </c>
      <c r="B1714" s="1" t="n">
        <v>45566</v>
      </c>
      <c r="C1714" s="1" t="n">
        <v>45799</v>
      </c>
      <c r="D1714" t="inlineStr">
        <is>
          <t>KALMAR LÄN</t>
        </is>
      </c>
      <c r="E1714" t="inlineStr">
        <is>
          <t>VÄSTERVIK</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42746-2024</t>
        </is>
      </c>
      <c r="B1715" s="1" t="n">
        <v>45566</v>
      </c>
      <c r="C1715" s="1" t="n">
        <v>45799</v>
      </c>
      <c r="D1715" t="inlineStr">
        <is>
          <t>KALMAR LÄN</t>
        </is>
      </c>
      <c r="E1715" t="inlineStr">
        <is>
          <t>VÄSTERVIK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42742-2024</t>
        </is>
      </c>
      <c r="B1716" s="1" t="n">
        <v>45566</v>
      </c>
      <c r="C1716" s="1" t="n">
        <v>45799</v>
      </c>
      <c r="D1716" t="inlineStr">
        <is>
          <t>KALMAR LÄN</t>
        </is>
      </c>
      <c r="E1716" t="inlineStr">
        <is>
          <t>VÄSTERVIK</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43199-2024</t>
        </is>
      </c>
      <c r="B1717" s="1" t="n">
        <v>45567</v>
      </c>
      <c r="C1717" s="1" t="n">
        <v>45799</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43208-2024</t>
        </is>
      </c>
      <c r="B1718" s="1" t="n">
        <v>45567</v>
      </c>
      <c r="C1718" s="1" t="n">
        <v>45799</v>
      </c>
      <c r="D1718" t="inlineStr">
        <is>
          <t>KALMAR LÄN</t>
        </is>
      </c>
      <c r="E1718" t="inlineStr">
        <is>
          <t>VÄSTERVIK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43274-2024</t>
        </is>
      </c>
      <c r="B1719" s="1" t="n">
        <v>45568</v>
      </c>
      <c r="C1719" s="1" t="n">
        <v>45799</v>
      </c>
      <c r="D1719" t="inlineStr">
        <is>
          <t>KALMAR LÄN</t>
        </is>
      </c>
      <c r="E1719" t="inlineStr">
        <is>
          <t>VÄSTERVIK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44198-2024</t>
        </is>
      </c>
      <c r="B1720" s="1" t="n">
        <v>45573</v>
      </c>
      <c r="C1720" s="1" t="n">
        <v>45799</v>
      </c>
      <c r="D1720" t="inlineStr">
        <is>
          <t>KALMAR LÄN</t>
        </is>
      </c>
      <c r="E1720" t="inlineStr">
        <is>
          <t>VÄSTERVIK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44203-2024</t>
        </is>
      </c>
      <c r="B1721" s="1" t="n">
        <v>45573</v>
      </c>
      <c r="C1721" s="1" t="n">
        <v>45799</v>
      </c>
      <c r="D1721" t="inlineStr">
        <is>
          <t>KALMAR LÄN</t>
        </is>
      </c>
      <c r="E1721" t="inlineStr">
        <is>
          <t>VÄSTERVIK</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44223-2024</t>
        </is>
      </c>
      <c r="B1722" s="1" t="n">
        <v>45573</v>
      </c>
      <c r="C1722" s="1" t="n">
        <v>45799</v>
      </c>
      <c r="D1722" t="inlineStr">
        <is>
          <t>KALMAR LÄN</t>
        </is>
      </c>
      <c r="E1722" t="inlineStr">
        <is>
          <t>VÄSTERVIK</t>
        </is>
      </c>
      <c r="F1722" t="inlineStr">
        <is>
          <t>Holmen skog AB</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45465-2024</t>
        </is>
      </c>
      <c r="B1723" s="1" t="n">
        <v>45576</v>
      </c>
      <c r="C1723" s="1" t="n">
        <v>45799</v>
      </c>
      <c r="D1723" t="inlineStr">
        <is>
          <t>KALMAR LÄN</t>
        </is>
      </c>
      <c r="E1723" t="inlineStr">
        <is>
          <t>VÄSTERVIK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45463-2024</t>
        </is>
      </c>
      <c r="B1724" s="1" t="n">
        <v>45576</v>
      </c>
      <c r="C1724" s="1" t="n">
        <v>45799</v>
      </c>
      <c r="D1724" t="inlineStr">
        <is>
          <t>KALMAR LÄN</t>
        </is>
      </c>
      <c r="E1724" t="inlineStr">
        <is>
          <t>VÄSTERVIK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45656-2024</t>
        </is>
      </c>
      <c r="B1725" s="1" t="n">
        <v>45579</v>
      </c>
      <c r="C1725" s="1" t="n">
        <v>45799</v>
      </c>
      <c r="D1725" t="inlineStr">
        <is>
          <t>KALMAR LÄN</t>
        </is>
      </c>
      <c r="E1725" t="inlineStr">
        <is>
          <t>VÄSTERVIK</t>
        </is>
      </c>
      <c r="F1725" t="inlineStr">
        <is>
          <t>Kyrkan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45652-2024</t>
        </is>
      </c>
      <c r="B1726" s="1" t="n">
        <v>45579</v>
      </c>
      <c r="C1726" s="1" t="n">
        <v>45799</v>
      </c>
      <c r="D1726" t="inlineStr">
        <is>
          <t>KALMAR LÄN</t>
        </is>
      </c>
      <c r="E1726" t="inlineStr">
        <is>
          <t>VÄSTERVIK</t>
        </is>
      </c>
      <c r="F1726" t="inlineStr">
        <is>
          <t>Kyrkan</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45678-2024</t>
        </is>
      </c>
      <c r="B1727" s="1" t="n">
        <v>45579</v>
      </c>
      <c r="C1727" s="1" t="n">
        <v>45799</v>
      </c>
      <c r="D1727" t="inlineStr">
        <is>
          <t>KALMAR LÄN</t>
        </is>
      </c>
      <c r="E1727" t="inlineStr">
        <is>
          <t>VÄSTERVIK</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46967-2024</t>
        </is>
      </c>
      <c r="B1728" s="1" t="n">
        <v>45586</v>
      </c>
      <c r="C1728" s="1" t="n">
        <v>45799</v>
      </c>
      <c r="D1728" t="inlineStr">
        <is>
          <t>KALMAR LÄN</t>
        </is>
      </c>
      <c r="E1728" t="inlineStr">
        <is>
          <t>VÄSTERVIK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47053-2024</t>
        </is>
      </c>
      <c r="B1729" s="1" t="n">
        <v>45586</v>
      </c>
      <c r="C1729" s="1" t="n">
        <v>45799</v>
      </c>
      <c r="D1729" t="inlineStr">
        <is>
          <t>KALMAR LÄN</t>
        </is>
      </c>
      <c r="E1729" t="inlineStr">
        <is>
          <t>VÄSTERVIK</t>
        </is>
      </c>
      <c r="F1729" t="inlineStr">
        <is>
          <t>Holmen skog AB</t>
        </is>
      </c>
      <c r="G1729" t="n">
        <v>13.7</v>
      </c>
      <c r="H1729" t="n">
        <v>0</v>
      </c>
      <c r="I1729" t="n">
        <v>0</v>
      </c>
      <c r="J1729" t="n">
        <v>0</v>
      </c>
      <c r="K1729" t="n">
        <v>0</v>
      </c>
      <c r="L1729" t="n">
        <v>0</v>
      </c>
      <c r="M1729" t="n">
        <v>0</v>
      </c>
      <c r="N1729" t="n">
        <v>0</v>
      </c>
      <c r="O1729" t="n">
        <v>0</v>
      </c>
      <c r="P1729" t="n">
        <v>0</v>
      </c>
      <c r="Q1729" t="n">
        <v>0</v>
      </c>
      <c r="R1729" s="2" t="inlineStr"/>
    </row>
    <row r="1730" ht="15" customHeight="1">
      <c r="A1730" t="inlineStr">
        <is>
          <t>A 48035-2024</t>
        </is>
      </c>
      <c r="B1730" s="1" t="n">
        <v>45589</v>
      </c>
      <c r="C1730" s="1" t="n">
        <v>45799</v>
      </c>
      <c r="D1730" t="inlineStr">
        <is>
          <t>KALMAR LÄN</t>
        </is>
      </c>
      <c r="E1730" t="inlineStr">
        <is>
          <t>VÄSTERVIK</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48446-2024</t>
        </is>
      </c>
      <c r="B1731" s="1" t="n">
        <v>45590</v>
      </c>
      <c r="C1731" s="1" t="n">
        <v>45799</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48445-2024</t>
        </is>
      </c>
      <c r="B1732" s="1" t="n">
        <v>45590</v>
      </c>
      <c r="C1732" s="1" t="n">
        <v>45799</v>
      </c>
      <c r="D1732" t="inlineStr">
        <is>
          <t>KALMAR LÄN</t>
        </is>
      </c>
      <c r="E1732" t="inlineStr">
        <is>
          <t>VÄSTERVIK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48735-2024</t>
        </is>
      </c>
      <c r="B1733" s="1" t="n">
        <v>45593</v>
      </c>
      <c r="C1733" s="1" t="n">
        <v>45799</v>
      </c>
      <c r="D1733" t="inlineStr">
        <is>
          <t>KALMAR LÄN</t>
        </is>
      </c>
      <c r="E1733" t="inlineStr">
        <is>
          <t>VÄSTERVIK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49378-2024</t>
        </is>
      </c>
      <c r="B1734" s="1" t="n">
        <v>45595</v>
      </c>
      <c r="C1734" s="1" t="n">
        <v>45799</v>
      </c>
      <c r="D1734" t="inlineStr">
        <is>
          <t>KALMAR LÄN</t>
        </is>
      </c>
      <c r="E1734" t="inlineStr">
        <is>
          <t>VÄSTERVIK</t>
        </is>
      </c>
      <c r="G1734" t="n">
        <v>4.1</v>
      </c>
      <c r="H1734" t="n">
        <v>0</v>
      </c>
      <c r="I1734" t="n">
        <v>0</v>
      </c>
      <c r="J1734" t="n">
        <v>0</v>
      </c>
      <c r="K1734" t="n">
        <v>0</v>
      </c>
      <c r="L1734" t="n">
        <v>0</v>
      </c>
      <c r="M1734" t="n">
        <v>0</v>
      </c>
      <c r="N1734" t="n">
        <v>0</v>
      </c>
      <c r="O1734" t="n">
        <v>0</v>
      </c>
      <c r="P1734" t="n">
        <v>0</v>
      </c>
      <c r="Q1734" t="n">
        <v>0</v>
      </c>
      <c r="R1734" s="2" t="inlineStr"/>
      <c r="U1734">
        <f>HYPERLINK("https://klasma.github.io/Logging_0883/knärot/A 49378-2024 karta knärot.png", "A 49378-2024")</f>
        <v/>
      </c>
      <c r="V1734">
        <f>HYPERLINK("https://klasma.github.io/Logging_0883/klagomål/A 49378-2024 FSC-klagomål.docx", "A 49378-2024")</f>
        <v/>
      </c>
      <c r="W1734">
        <f>HYPERLINK("https://klasma.github.io/Logging_0883/klagomålsmail/A 49378-2024 FSC-klagomål mail.docx", "A 49378-2024")</f>
        <v/>
      </c>
      <c r="X1734">
        <f>HYPERLINK("https://klasma.github.io/Logging_0883/tillsyn/A 49378-2024 tillsynsbegäran.docx", "A 49378-2024")</f>
        <v/>
      </c>
      <c r="Y1734">
        <f>HYPERLINK("https://klasma.github.io/Logging_0883/tillsynsmail/A 49378-2024 tillsynsbegäran mail.docx", "A 49378-2024")</f>
        <v/>
      </c>
    </row>
    <row r="1735" ht="15" customHeight="1">
      <c r="A1735" t="inlineStr">
        <is>
          <t>A 49700-2024</t>
        </is>
      </c>
      <c r="B1735" s="1" t="n">
        <v>45596</v>
      </c>
      <c r="C1735" s="1" t="n">
        <v>45799</v>
      </c>
      <c r="D1735" t="inlineStr">
        <is>
          <t>KALMAR LÄN</t>
        </is>
      </c>
      <c r="E1735" t="inlineStr">
        <is>
          <t>VÄSTERVIK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49708-2024</t>
        </is>
      </c>
      <c r="B1736" s="1" t="n">
        <v>45596</v>
      </c>
      <c r="C1736" s="1" t="n">
        <v>45799</v>
      </c>
      <c r="D1736" t="inlineStr">
        <is>
          <t>KALMAR LÄN</t>
        </is>
      </c>
      <c r="E1736" t="inlineStr">
        <is>
          <t>VÄSTERVIK</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49706-2024</t>
        </is>
      </c>
      <c r="B1737" s="1" t="n">
        <v>45596</v>
      </c>
      <c r="C1737" s="1" t="n">
        <v>45799</v>
      </c>
      <c r="D1737" t="inlineStr">
        <is>
          <t>KALMAR LÄN</t>
        </is>
      </c>
      <c r="E1737" t="inlineStr">
        <is>
          <t>VÄSTERVIK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49703-2024</t>
        </is>
      </c>
      <c r="B1738" s="1" t="n">
        <v>45596</v>
      </c>
      <c r="C1738" s="1" t="n">
        <v>45799</v>
      </c>
      <c r="D1738" t="inlineStr">
        <is>
          <t>KALMAR LÄN</t>
        </is>
      </c>
      <c r="E1738" t="inlineStr">
        <is>
          <t>VÄSTERVIK</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50452-2024</t>
        </is>
      </c>
      <c r="B1739" s="1" t="n">
        <v>45601</v>
      </c>
      <c r="C1739" s="1" t="n">
        <v>45799</v>
      </c>
      <c r="D1739" t="inlineStr">
        <is>
          <t>KALMAR LÄN</t>
        </is>
      </c>
      <c r="E1739" t="inlineStr">
        <is>
          <t>VÄSTERVIK</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50495-2024</t>
        </is>
      </c>
      <c r="B1740" s="1" t="n">
        <v>45601</v>
      </c>
      <c r="C1740" s="1" t="n">
        <v>45799</v>
      </c>
      <c r="D1740" t="inlineStr">
        <is>
          <t>KALMAR LÄN</t>
        </is>
      </c>
      <c r="E1740" t="inlineStr">
        <is>
          <t>VÄSTERVIK</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50454-2024</t>
        </is>
      </c>
      <c r="B1741" s="1" t="n">
        <v>45601</v>
      </c>
      <c r="C1741" s="1" t="n">
        <v>45799</v>
      </c>
      <c r="D1741" t="inlineStr">
        <is>
          <t>KALMAR LÄN</t>
        </is>
      </c>
      <c r="E1741" t="inlineStr">
        <is>
          <t>VÄSTERVIK</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51510-2024</t>
        </is>
      </c>
      <c r="B1742" s="1" t="n">
        <v>45604</v>
      </c>
      <c r="C1742" s="1" t="n">
        <v>45799</v>
      </c>
      <c r="D1742" t="inlineStr">
        <is>
          <t>KALMAR LÄN</t>
        </is>
      </c>
      <c r="E1742" t="inlineStr">
        <is>
          <t>VÄSTERVIK</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51496-2024</t>
        </is>
      </c>
      <c r="B1743" s="1" t="n">
        <v>45604</v>
      </c>
      <c r="C1743" s="1" t="n">
        <v>45799</v>
      </c>
      <c r="D1743" t="inlineStr">
        <is>
          <t>KALMAR LÄN</t>
        </is>
      </c>
      <c r="E1743" t="inlineStr">
        <is>
          <t>VÄSTERVIK</t>
        </is>
      </c>
      <c r="F1743" t="inlineStr">
        <is>
          <t>Övriga Aktiebolag</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52811-2024</t>
        </is>
      </c>
      <c r="B1744" s="1" t="n">
        <v>45610</v>
      </c>
      <c r="C1744" s="1" t="n">
        <v>45799</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52734-2024</t>
        </is>
      </c>
      <c r="B1745" s="1" t="n">
        <v>45610</v>
      </c>
      <c r="C1745" s="1" t="n">
        <v>45799</v>
      </c>
      <c r="D1745" t="inlineStr">
        <is>
          <t>KALMAR LÄN</t>
        </is>
      </c>
      <c r="E1745" t="inlineStr">
        <is>
          <t>VÄSTERVIK</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52774-2024</t>
        </is>
      </c>
      <c r="B1746" s="1" t="n">
        <v>45610</v>
      </c>
      <c r="C1746" s="1" t="n">
        <v>45799</v>
      </c>
      <c r="D1746" t="inlineStr">
        <is>
          <t>KALMAR LÄN</t>
        </is>
      </c>
      <c r="E1746" t="inlineStr">
        <is>
          <t>VÄSTERVIK</t>
        </is>
      </c>
      <c r="F1746" t="inlineStr">
        <is>
          <t>Holmen skog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52818-2024</t>
        </is>
      </c>
      <c r="B1747" s="1" t="n">
        <v>45610</v>
      </c>
      <c r="C1747" s="1" t="n">
        <v>45799</v>
      </c>
      <c r="D1747" t="inlineStr">
        <is>
          <t>KALMAR LÄN</t>
        </is>
      </c>
      <c r="E1747" t="inlineStr">
        <is>
          <t>VÄSTERVIK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53077-2024</t>
        </is>
      </c>
      <c r="B1748" s="1" t="n">
        <v>45611</v>
      </c>
      <c r="C1748" s="1" t="n">
        <v>45799</v>
      </c>
      <c r="D1748" t="inlineStr">
        <is>
          <t>KALMAR LÄN</t>
        </is>
      </c>
      <c r="E1748" t="inlineStr">
        <is>
          <t>VÄSTERVIK</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54342-2024</t>
        </is>
      </c>
      <c r="B1749" s="1" t="n">
        <v>45617</v>
      </c>
      <c r="C1749" s="1" t="n">
        <v>45799</v>
      </c>
      <c r="D1749" t="inlineStr">
        <is>
          <t>KALMAR LÄN</t>
        </is>
      </c>
      <c r="E1749" t="inlineStr">
        <is>
          <t>VÄSTERVIK</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54631-2024</t>
        </is>
      </c>
      <c r="B1750" s="1" t="n">
        <v>45617</v>
      </c>
      <c r="C1750" s="1" t="n">
        <v>45799</v>
      </c>
      <c r="D1750" t="inlineStr">
        <is>
          <t>KALMAR LÄN</t>
        </is>
      </c>
      <c r="E1750" t="inlineStr">
        <is>
          <t>VÄSTERVIK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54630-2024</t>
        </is>
      </c>
      <c r="B1751" s="1" t="n">
        <v>45617</v>
      </c>
      <c r="C1751" s="1" t="n">
        <v>45799</v>
      </c>
      <c r="D1751" t="inlineStr">
        <is>
          <t>KALMAR LÄN</t>
        </is>
      </c>
      <c r="E1751" t="inlineStr">
        <is>
          <t>VÄSTERVIK</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54638-2024</t>
        </is>
      </c>
      <c r="B1752" s="1" t="n">
        <v>45617</v>
      </c>
      <c r="C1752" s="1" t="n">
        <v>45799</v>
      </c>
      <c r="D1752" t="inlineStr">
        <is>
          <t>KALMAR LÄN</t>
        </is>
      </c>
      <c r="E1752" t="inlineStr">
        <is>
          <t>VÄSTERVIK</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54632-2024</t>
        </is>
      </c>
      <c r="B1753" s="1" t="n">
        <v>45617</v>
      </c>
      <c r="C1753" s="1" t="n">
        <v>45799</v>
      </c>
      <c r="D1753" t="inlineStr">
        <is>
          <t>KALMAR LÄN</t>
        </is>
      </c>
      <c r="E1753" t="inlineStr">
        <is>
          <t>VÄSTERVIK</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54629-2024</t>
        </is>
      </c>
      <c r="B1754" s="1" t="n">
        <v>45617</v>
      </c>
      <c r="C1754" s="1" t="n">
        <v>45799</v>
      </c>
      <c r="D1754" t="inlineStr">
        <is>
          <t>KALMAR LÄN</t>
        </is>
      </c>
      <c r="E1754" t="inlineStr">
        <is>
          <t>VÄSTERVIK</t>
        </is>
      </c>
      <c r="F1754" t="inlineStr">
        <is>
          <t>Sveaskog</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54637-2024</t>
        </is>
      </c>
      <c r="B1755" s="1" t="n">
        <v>45617</v>
      </c>
      <c r="C1755" s="1" t="n">
        <v>45799</v>
      </c>
      <c r="D1755" t="inlineStr">
        <is>
          <t>KALMAR LÄN</t>
        </is>
      </c>
      <c r="E1755" t="inlineStr">
        <is>
          <t>VÄSTERVIK</t>
        </is>
      </c>
      <c r="F1755" t="inlineStr">
        <is>
          <t>Sveaskog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55023-2024</t>
        </is>
      </c>
      <c r="B1756" s="1" t="n">
        <v>45621</v>
      </c>
      <c r="C1756" s="1" t="n">
        <v>45799</v>
      </c>
      <c r="D1756" t="inlineStr">
        <is>
          <t>KALMAR LÄN</t>
        </is>
      </c>
      <c r="E1756" t="inlineStr">
        <is>
          <t>VÄSTERVIK</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55047-2024</t>
        </is>
      </c>
      <c r="B1757" s="1" t="n">
        <v>45621</v>
      </c>
      <c r="C1757" s="1" t="n">
        <v>45799</v>
      </c>
      <c r="D1757" t="inlineStr">
        <is>
          <t>KALMAR LÄN</t>
        </is>
      </c>
      <c r="E1757" t="inlineStr">
        <is>
          <t>VÄSTERVIK</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55042-2024</t>
        </is>
      </c>
      <c r="B1758" s="1" t="n">
        <v>45621</v>
      </c>
      <c r="C1758" s="1" t="n">
        <v>45799</v>
      </c>
      <c r="D1758" t="inlineStr">
        <is>
          <t>KALMAR LÄN</t>
        </is>
      </c>
      <c r="E1758" t="inlineStr">
        <is>
          <t>VÄSTERVIK</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55358-2024</t>
        </is>
      </c>
      <c r="B1759" s="1" t="n">
        <v>45621</v>
      </c>
      <c r="C1759" s="1" t="n">
        <v>45799</v>
      </c>
      <c r="D1759" t="inlineStr">
        <is>
          <t>KALMAR LÄN</t>
        </is>
      </c>
      <c r="E1759" t="inlineStr">
        <is>
          <t>VÄSTERVIK</t>
        </is>
      </c>
      <c r="F1759" t="inlineStr">
        <is>
          <t>Sveaskog</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55359-2024</t>
        </is>
      </c>
      <c r="B1760" s="1" t="n">
        <v>45621</v>
      </c>
      <c r="C1760" s="1" t="n">
        <v>45799</v>
      </c>
      <c r="D1760" t="inlineStr">
        <is>
          <t>KALMAR LÄN</t>
        </is>
      </c>
      <c r="E1760" t="inlineStr">
        <is>
          <t>VÄSTERVIK</t>
        </is>
      </c>
      <c r="F1760" t="inlineStr">
        <is>
          <t>Sveaskog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55362-2024</t>
        </is>
      </c>
      <c r="B1761" s="1" t="n">
        <v>45621</v>
      </c>
      <c r="C1761" s="1" t="n">
        <v>45799</v>
      </c>
      <c r="D1761" t="inlineStr">
        <is>
          <t>KALMAR LÄN</t>
        </is>
      </c>
      <c r="E1761" t="inlineStr">
        <is>
          <t>VÄSTERVIK</t>
        </is>
      </c>
      <c r="F1761" t="inlineStr">
        <is>
          <t>Sveaskog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55032-2024</t>
        </is>
      </c>
      <c r="B1762" s="1" t="n">
        <v>45621</v>
      </c>
      <c r="C1762" s="1" t="n">
        <v>45799</v>
      </c>
      <c r="D1762" t="inlineStr">
        <is>
          <t>KALMAR LÄN</t>
        </is>
      </c>
      <c r="E1762" t="inlineStr">
        <is>
          <t>VÄSTERVIK</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55053-2024</t>
        </is>
      </c>
      <c r="B1763" s="1" t="n">
        <v>45621</v>
      </c>
      <c r="C1763" s="1" t="n">
        <v>45799</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55361-2024</t>
        </is>
      </c>
      <c r="B1764" s="1" t="n">
        <v>45621</v>
      </c>
      <c r="C1764" s="1" t="n">
        <v>45799</v>
      </c>
      <c r="D1764" t="inlineStr">
        <is>
          <t>KALMAR LÄN</t>
        </is>
      </c>
      <c r="E1764" t="inlineStr">
        <is>
          <t>VÄSTERVIK</t>
        </is>
      </c>
      <c r="F1764" t="inlineStr">
        <is>
          <t>Sveaskog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55050-2024</t>
        </is>
      </c>
      <c r="B1765" s="1" t="n">
        <v>45621</v>
      </c>
      <c r="C1765" s="1" t="n">
        <v>45799</v>
      </c>
      <c r="D1765" t="inlineStr">
        <is>
          <t>KALMAR LÄN</t>
        </is>
      </c>
      <c r="E1765" t="inlineStr">
        <is>
          <t>VÄSTERVIK</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55037-2024</t>
        </is>
      </c>
      <c r="B1766" s="1" t="n">
        <v>45621</v>
      </c>
      <c r="C1766" s="1" t="n">
        <v>45799</v>
      </c>
      <c r="D1766" t="inlineStr">
        <is>
          <t>KALMAR LÄN</t>
        </is>
      </c>
      <c r="E1766" t="inlineStr">
        <is>
          <t>VÄSTERVIK</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55020-2024</t>
        </is>
      </c>
      <c r="B1767" s="1" t="n">
        <v>45621</v>
      </c>
      <c r="C1767" s="1" t="n">
        <v>45799</v>
      </c>
      <c r="D1767" t="inlineStr">
        <is>
          <t>KALMAR LÄN</t>
        </is>
      </c>
      <c r="E1767" t="inlineStr">
        <is>
          <t>VÄSTERVIK</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55016-2024</t>
        </is>
      </c>
      <c r="B1768" s="1" t="n">
        <v>45621</v>
      </c>
      <c r="C1768" s="1" t="n">
        <v>45799</v>
      </c>
      <c r="D1768" t="inlineStr">
        <is>
          <t>KALMAR LÄN</t>
        </is>
      </c>
      <c r="E1768" t="inlineStr">
        <is>
          <t>VÄSTERVIK</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55609-2024</t>
        </is>
      </c>
      <c r="B1769" s="1" t="n">
        <v>45622</v>
      </c>
      <c r="C1769" s="1" t="n">
        <v>45799</v>
      </c>
      <c r="D1769" t="inlineStr">
        <is>
          <t>KALMAR LÄN</t>
        </is>
      </c>
      <c r="E1769" t="inlineStr">
        <is>
          <t>VÄSTERVIK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55647-2024</t>
        </is>
      </c>
      <c r="B1770" s="1" t="n">
        <v>45622</v>
      </c>
      <c r="C1770" s="1" t="n">
        <v>45799</v>
      </c>
      <c r="D1770" t="inlineStr">
        <is>
          <t>KALMAR LÄN</t>
        </is>
      </c>
      <c r="E1770" t="inlineStr">
        <is>
          <t>VÄSTERVIK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55565-2024</t>
        </is>
      </c>
      <c r="B1771" s="1" t="n">
        <v>45622</v>
      </c>
      <c r="C1771" s="1" t="n">
        <v>45799</v>
      </c>
      <c r="D1771" t="inlineStr">
        <is>
          <t>KALMAR LÄN</t>
        </is>
      </c>
      <c r="E1771" t="inlineStr">
        <is>
          <t>VÄSTERVIK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56077-2024</t>
        </is>
      </c>
      <c r="B1772" s="1" t="n">
        <v>45624</v>
      </c>
      <c r="C1772" s="1" t="n">
        <v>45799</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56374-2024</t>
        </is>
      </c>
      <c r="B1773" s="1" t="n">
        <v>45625</v>
      </c>
      <c r="C1773" s="1" t="n">
        <v>45799</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56379-2024</t>
        </is>
      </c>
      <c r="B1774" s="1" t="n">
        <v>45625</v>
      </c>
      <c r="C1774" s="1" t="n">
        <v>45799</v>
      </c>
      <c r="D1774" t="inlineStr">
        <is>
          <t>KALMAR LÄN</t>
        </is>
      </c>
      <c r="E1774" t="inlineStr">
        <is>
          <t>VÄSTERVIK</t>
        </is>
      </c>
      <c r="F1774" t="inlineStr">
        <is>
          <t>Sveaskog</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56371-2024</t>
        </is>
      </c>
      <c r="B1775" s="1" t="n">
        <v>45625</v>
      </c>
      <c r="C1775" s="1" t="n">
        <v>45799</v>
      </c>
      <c r="D1775" t="inlineStr">
        <is>
          <t>KALMAR LÄN</t>
        </is>
      </c>
      <c r="E1775" t="inlineStr">
        <is>
          <t>VÄSTERVIK</t>
        </is>
      </c>
      <c r="F1775" t="inlineStr">
        <is>
          <t>Sveaskog</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56384-2024</t>
        </is>
      </c>
      <c r="B1776" s="1" t="n">
        <v>45625</v>
      </c>
      <c r="C1776" s="1" t="n">
        <v>45799</v>
      </c>
      <c r="D1776" t="inlineStr">
        <is>
          <t>KALMAR LÄN</t>
        </is>
      </c>
      <c r="E1776" t="inlineStr">
        <is>
          <t>VÄSTERVIK</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56377-2024</t>
        </is>
      </c>
      <c r="B1777" s="1" t="n">
        <v>45625</v>
      </c>
      <c r="C1777" s="1" t="n">
        <v>45799</v>
      </c>
      <c r="D1777" t="inlineStr">
        <is>
          <t>KALMAR LÄN</t>
        </is>
      </c>
      <c r="E1777" t="inlineStr">
        <is>
          <t>VÄSTERVIK</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56378-2024</t>
        </is>
      </c>
      <c r="B1778" s="1" t="n">
        <v>45625</v>
      </c>
      <c r="C1778" s="1" t="n">
        <v>45799</v>
      </c>
      <c r="D1778" t="inlineStr">
        <is>
          <t>KALMAR LÄN</t>
        </is>
      </c>
      <c r="E1778" t="inlineStr">
        <is>
          <t>VÄSTERVIK</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56382-2024</t>
        </is>
      </c>
      <c r="B1779" s="1" t="n">
        <v>45625</v>
      </c>
      <c r="C1779" s="1" t="n">
        <v>45799</v>
      </c>
      <c r="D1779" t="inlineStr">
        <is>
          <t>KALMAR LÄN</t>
        </is>
      </c>
      <c r="E1779" t="inlineStr">
        <is>
          <t>VÄSTERVIK</t>
        </is>
      </c>
      <c r="F1779" t="inlineStr">
        <is>
          <t>Sveaskog</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56440-2024</t>
        </is>
      </c>
      <c r="B1780" s="1" t="n">
        <v>45625</v>
      </c>
      <c r="C1780" s="1" t="n">
        <v>45799</v>
      </c>
      <c r="D1780" t="inlineStr">
        <is>
          <t>KALMAR LÄN</t>
        </is>
      </c>
      <c r="E1780" t="inlineStr">
        <is>
          <t>VÄSTERVIK</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57178-2024</t>
        </is>
      </c>
      <c r="B1781" s="1" t="n">
        <v>45629</v>
      </c>
      <c r="C1781" s="1" t="n">
        <v>45799</v>
      </c>
      <c r="D1781" t="inlineStr">
        <is>
          <t>KALMAR LÄN</t>
        </is>
      </c>
      <c r="E1781" t="inlineStr">
        <is>
          <t>VÄSTERVIK</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57688-2024</t>
        </is>
      </c>
      <c r="B1782" s="1" t="n">
        <v>45630</v>
      </c>
      <c r="C1782" s="1" t="n">
        <v>45799</v>
      </c>
      <c r="D1782" t="inlineStr">
        <is>
          <t>KALMAR LÄN</t>
        </is>
      </c>
      <c r="E1782" t="inlineStr">
        <is>
          <t>VÄSTERVIK</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57793-2024</t>
        </is>
      </c>
      <c r="B1783" s="1" t="n">
        <v>45631</v>
      </c>
      <c r="C1783" s="1" t="n">
        <v>45799</v>
      </c>
      <c r="D1783" t="inlineStr">
        <is>
          <t>KALMAR LÄN</t>
        </is>
      </c>
      <c r="E1783" t="inlineStr">
        <is>
          <t>VÄSTERVIK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57792-2024</t>
        </is>
      </c>
      <c r="B1784" s="1" t="n">
        <v>45631</v>
      </c>
      <c r="C1784" s="1" t="n">
        <v>45799</v>
      </c>
      <c r="D1784" t="inlineStr">
        <is>
          <t>KALMAR LÄN</t>
        </is>
      </c>
      <c r="E1784" t="inlineStr">
        <is>
          <t>VÄSTERVIK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57802-2024</t>
        </is>
      </c>
      <c r="B1785" s="1" t="n">
        <v>45631</v>
      </c>
      <c r="C1785" s="1" t="n">
        <v>45799</v>
      </c>
      <c r="D1785" t="inlineStr">
        <is>
          <t>KALMAR LÄN</t>
        </is>
      </c>
      <c r="E1785" t="inlineStr">
        <is>
          <t>VÄSTERVIK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57795-2024</t>
        </is>
      </c>
      <c r="B1786" s="1" t="n">
        <v>45631</v>
      </c>
      <c r="C1786" s="1" t="n">
        <v>45799</v>
      </c>
      <c r="D1786" t="inlineStr">
        <is>
          <t>KALMAR LÄN</t>
        </is>
      </c>
      <c r="E1786" t="inlineStr">
        <is>
          <t>VÄSTERVIK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57924-2024</t>
        </is>
      </c>
      <c r="B1787" s="1" t="n">
        <v>45631</v>
      </c>
      <c r="C1787" s="1" t="n">
        <v>45799</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58429-2024</t>
        </is>
      </c>
      <c r="B1788" s="1" t="n">
        <v>45634</v>
      </c>
      <c r="C1788" s="1" t="n">
        <v>45799</v>
      </c>
      <c r="D1788" t="inlineStr">
        <is>
          <t>KALMAR LÄN</t>
        </is>
      </c>
      <c r="E1788" t="inlineStr">
        <is>
          <t>VÄSTERVIK</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58731-2024</t>
        </is>
      </c>
      <c r="B1789" s="1" t="n">
        <v>45635</v>
      </c>
      <c r="C1789" s="1" t="n">
        <v>45799</v>
      </c>
      <c r="D1789" t="inlineStr">
        <is>
          <t>KALMAR LÄN</t>
        </is>
      </c>
      <c r="E1789" t="inlineStr">
        <is>
          <t>VÄSTERVIK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58764-2024</t>
        </is>
      </c>
      <c r="B1790" s="1" t="n">
        <v>45635</v>
      </c>
      <c r="C1790" s="1" t="n">
        <v>45799</v>
      </c>
      <c r="D1790" t="inlineStr">
        <is>
          <t>KALMAR LÄN</t>
        </is>
      </c>
      <c r="E1790" t="inlineStr">
        <is>
          <t>VÄSTERVIK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59196-2024</t>
        </is>
      </c>
      <c r="B1791" s="1" t="n">
        <v>45637</v>
      </c>
      <c r="C1791" s="1" t="n">
        <v>45799</v>
      </c>
      <c r="D1791" t="inlineStr">
        <is>
          <t>KALMAR LÄN</t>
        </is>
      </c>
      <c r="E1791" t="inlineStr">
        <is>
          <t>VÄSTERVIK</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59350-2024</t>
        </is>
      </c>
      <c r="B1792" s="1" t="n">
        <v>45638</v>
      </c>
      <c r="C1792" s="1" t="n">
        <v>45799</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59880-2024</t>
        </is>
      </c>
      <c r="B1793" s="1" t="n">
        <v>45640</v>
      </c>
      <c r="C1793" s="1" t="n">
        <v>45799</v>
      </c>
      <c r="D1793" t="inlineStr">
        <is>
          <t>KALMAR LÄN</t>
        </is>
      </c>
      <c r="E1793" t="inlineStr">
        <is>
          <t>VÄSTERVIK</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60147-2024</t>
        </is>
      </c>
      <c r="B1794" s="1" t="n">
        <v>45642</v>
      </c>
      <c r="C1794" s="1" t="n">
        <v>45799</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60140-2024</t>
        </is>
      </c>
      <c r="B1795" s="1" t="n">
        <v>45642</v>
      </c>
      <c r="C1795" s="1" t="n">
        <v>45799</v>
      </c>
      <c r="D1795" t="inlineStr">
        <is>
          <t>KALMAR LÄN</t>
        </is>
      </c>
      <c r="E1795" t="inlineStr">
        <is>
          <t>VÄSTERVIK</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60478-2024</t>
        </is>
      </c>
      <c r="B1796" s="1" t="n">
        <v>45643</v>
      </c>
      <c r="C1796" s="1" t="n">
        <v>45799</v>
      </c>
      <c r="D1796" t="inlineStr">
        <is>
          <t>KALMAR LÄN</t>
        </is>
      </c>
      <c r="E1796" t="inlineStr">
        <is>
          <t>VÄSTERVIK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60483-2024</t>
        </is>
      </c>
      <c r="B1797" s="1" t="n">
        <v>45643</v>
      </c>
      <c r="C1797" s="1" t="n">
        <v>45799</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60685-2024</t>
        </is>
      </c>
      <c r="B1798" s="1" t="n">
        <v>45644</v>
      </c>
      <c r="C1798" s="1" t="n">
        <v>45799</v>
      </c>
      <c r="D1798" t="inlineStr">
        <is>
          <t>KALMAR LÄN</t>
        </is>
      </c>
      <c r="E1798" t="inlineStr">
        <is>
          <t>VÄSTERVIK</t>
        </is>
      </c>
      <c r="F1798" t="inlineStr">
        <is>
          <t>Holmen skog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1108-2025</t>
        </is>
      </c>
      <c r="B1799" s="1" t="n">
        <v>45666</v>
      </c>
      <c r="C1799" s="1" t="n">
        <v>45799</v>
      </c>
      <c r="D1799" t="inlineStr">
        <is>
          <t>KALMAR LÄN</t>
        </is>
      </c>
      <c r="E1799" t="inlineStr">
        <is>
          <t>VÄSTERVIK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1115-2025</t>
        </is>
      </c>
      <c r="B1800" s="1" t="n">
        <v>45666</v>
      </c>
      <c r="C1800" s="1" t="n">
        <v>45799</v>
      </c>
      <c r="D1800" t="inlineStr">
        <is>
          <t>KALMAR LÄN</t>
        </is>
      </c>
      <c r="E1800" t="inlineStr">
        <is>
          <t>VÄSTERVIK</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957-2025</t>
        </is>
      </c>
      <c r="B1801" s="1" t="n">
        <v>45666</v>
      </c>
      <c r="C1801" s="1" t="n">
        <v>45799</v>
      </c>
      <c r="D1801" t="inlineStr">
        <is>
          <t>KALMAR LÄN</t>
        </is>
      </c>
      <c r="E1801" t="inlineStr">
        <is>
          <t>VÄSTERVIK</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1744-2025</t>
        </is>
      </c>
      <c r="B1802" s="1" t="n">
        <v>45671</v>
      </c>
      <c r="C1802" s="1" t="n">
        <v>45799</v>
      </c>
      <c r="D1802" t="inlineStr">
        <is>
          <t>KALMAR LÄN</t>
        </is>
      </c>
      <c r="E1802" t="inlineStr">
        <is>
          <t>VÄSTERVIK</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1741-2025</t>
        </is>
      </c>
      <c r="B1803" s="1" t="n">
        <v>45671</v>
      </c>
      <c r="C1803" s="1" t="n">
        <v>45799</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1743-2025</t>
        </is>
      </c>
      <c r="B1804" s="1" t="n">
        <v>45671</v>
      </c>
      <c r="C1804" s="1" t="n">
        <v>45799</v>
      </c>
      <c r="D1804" t="inlineStr">
        <is>
          <t>KALMAR LÄN</t>
        </is>
      </c>
      <c r="E1804" t="inlineStr">
        <is>
          <t>VÄSTERVIK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1751-2025</t>
        </is>
      </c>
      <c r="B1805" s="1" t="n">
        <v>45671</v>
      </c>
      <c r="C1805" s="1" t="n">
        <v>45799</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1874-2025</t>
        </is>
      </c>
      <c r="B1806" s="1" t="n">
        <v>45671</v>
      </c>
      <c r="C1806" s="1" t="n">
        <v>45799</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1788-2025</t>
        </is>
      </c>
      <c r="B1807" s="1" t="n">
        <v>45671</v>
      </c>
      <c r="C1807" s="1" t="n">
        <v>45799</v>
      </c>
      <c r="D1807" t="inlineStr">
        <is>
          <t>KALMAR LÄN</t>
        </is>
      </c>
      <c r="E1807" t="inlineStr">
        <is>
          <t>VÄSTERVIK</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1787-2025</t>
        </is>
      </c>
      <c r="B1808" s="1" t="n">
        <v>45671</v>
      </c>
      <c r="C1808" s="1" t="n">
        <v>45799</v>
      </c>
      <c r="D1808" t="inlineStr">
        <is>
          <t>KALMAR LÄN</t>
        </is>
      </c>
      <c r="E1808" t="inlineStr">
        <is>
          <t>VÄSTERVIK</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1785-2025</t>
        </is>
      </c>
      <c r="B1809" s="1" t="n">
        <v>45671</v>
      </c>
      <c r="C1809" s="1" t="n">
        <v>45799</v>
      </c>
      <c r="D1809" t="inlineStr">
        <is>
          <t>KALMAR LÄN</t>
        </is>
      </c>
      <c r="E1809" t="inlineStr">
        <is>
          <t>VÄSTERVIK</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1877-2025</t>
        </is>
      </c>
      <c r="B1810" s="1" t="n">
        <v>45671</v>
      </c>
      <c r="C1810" s="1" t="n">
        <v>45799</v>
      </c>
      <c r="D1810" t="inlineStr">
        <is>
          <t>KALMAR LÄN</t>
        </is>
      </c>
      <c r="E1810" t="inlineStr">
        <is>
          <t>VÄSTERVIK</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1867-2025</t>
        </is>
      </c>
      <c r="B1811" s="1" t="n">
        <v>45671</v>
      </c>
      <c r="C1811" s="1" t="n">
        <v>45799</v>
      </c>
      <c r="D1811" t="inlineStr">
        <is>
          <t>KALMAR LÄN</t>
        </is>
      </c>
      <c r="E1811" t="inlineStr">
        <is>
          <t>VÄSTERVIK</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2357-2025</t>
        </is>
      </c>
      <c r="B1812" s="1" t="n">
        <v>45673</v>
      </c>
      <c r="C1812" s="1" t="n">
        <v>45799</v>
      </c>
      <c r="D1812" t="inlineStr">
        <is>
          <t>KALMAR LÄN</t>
        </is>
      </c>
      <c r="E1812" t="inlineStr">
        <is>
          <t>VÄSTERVIK</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2329-2025</t>
        </is>
      </c>
      <c r="B1813" s="1" t="n">
        <v>45673</v>
      </c>
      <c r="C1813" s="1" t="n">
        <v>45799</v>
      </c>
      <c r="D1813" t="inlineStr">
        <is>
          <t>KALMAR LÄN</t>
        </is>
      </c>
      <c r="E1813" t="inlineStr">
        <is>
          <t>VÄSTERVIK</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2360-2025</t>
        </is>
      </c>
      <c r="B1814" s="1" t="n">
        <v>45673</v>
      </c>
      <c r="C1814" s="1" t="n">
        <v>45799</v>
      </c>
      <c r="D1814" t="inlineStr">
        <is>
          <t>KALMAR LÄN</t>
        </is>
      </c>
      <c r="E1814" t="inlineStr">
        <is>
          <t>VÄSTERVIK</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2359-2025</t>
        </is>
      </c>
      <c r="B1815" s="1" t="n">
        <v>45673</v>
      </c>
      <c r="C1815" s="1" t="n">
        <v>45799</v>
      </c>
      <c r="D1815" t="inlineStr">
        <is>
          <t>KALMAR LÄN</t>
        </is>
      </c>
      <c r="E1815" t="inlineStr">
        <is>
          <t>VÄSTERVIK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2361-2025</t>
        </is>
      </c>
      <c r="B1816" s="1" t="n">
        <v>45673</v>
      </c>
      <c r="C1816" s="1" t="n">
        <v>45799</v>
      </c>
      <c r="D1816" t="inlineStr">
        <is>
          <t>KALMAR LÄN</t>
        </is>
      </c>
      <c r="E1816" t="inlineStr">
        <is>
          <t>VÄSTERVIK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2866-2025</t>
        </is>
      </c>
      <c r="B1817" s="1" t="n">
        <v>45677</v>
      </c>
      <c r="C1817" s="1" t="n">
        <v>45799</v>
      </c>
      <c r="D1817" t="inlineStr">
        <is>
          <t>KALMAR LÄN</t>
        </is>
      </c>
      <c r="E1817" t="inlineStr">
        <is>
          <t>VÄSTERVIK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2870-2025</t>
        </is>
      </c>
      <c r="B1818" s="1" t="n">
        <v>45677</v>
      </c>
      <c r="C1818" s="1" t="n">
        <v>45799</v>
      </c>
      <c r="D1818" t="inlineStr">
        <is>
          <t>KALMAR LÄN</t>
        </is>
      </c>
      <c r="E1818" t="inlineStr">
        <is>
          <t>VÄSTERVIK</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2830-2025</t>
        </is>
      </c>
      <c r="B1819" s="1" t="n">
        <v>45677</v>
      </c>
      <c r="C1819" s="1" t="n">
        <v>45799</v>
      </c>
      <c r="D1819" t="inlineStr">
        <is>
          <t>KALMAR LÄN</t>
        </is>
      </c>
      <c r="E1819" t="inlineStr">
        <is>
          <t>VÄSTERVIK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2872-2025</t>
        </is>
      </c>
      <c r="B1820" s="1" t="n">
        <v>45677</v>
      </c>
      <c r="C1820" s="1" t="n">
        <v>45799</v>
      </c>
      <c r="D1820" t="inlineStr">
        <is>
          <t>KALMAR LÄN</t>
        </is>
      </c>
      <c r="E1820" t="inlineStr">
        <is>
          <t>VÄSTERVIK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2859-2025</t>
        </is>
      </c>
      <c r="B1821" s="1" t="n">
        <v>45677</v>
      </c>
      <c r="C1821" s="1" t="n">
        <v>45799</v>
      </c>
      <c r="D1821" t="inlineStr">
        <is>
          <t>KALMAR LÄN</t>
        </is>
      </c>
      <c r="E1821" t="inlineStr">
        <is>
          <t>VÄSTERVIK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3093-2025</t>
        </is>
      </c>
      <c r="B1822" s="1" t="n">
        <v>45678</v>
      </c>
      <c r="C1822" s="1" t="n">
        <v>45799</v>
      </c>
      <c r="D1822" t="inlineStr">
        <is>
          <t>KALMAR LÄN</t>
        </is>
      </c>
      <c r="E1822" t="inlineStr">
        <is>
          <t>VÄSTERVIK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3041-2025</t>
        </is>
      </c>
      <c r="B1823" s="1" t="n">
        <v>45678</v>
      </c>
      <c r="C1823" s="1" t="n">
        <v>45799</v>
      </c>
      <c r="D1823" t="inlineStr">
        <is>
          <t>KALMAR LÄN</t>
        </is>
      </c>
      <c r="E1823" t="inlineStr">
        <is>
          <t>VÄSTERVIK</t>
        </is>
      </c>
      <c r="G1823" t="n">
        <v>0.7</v>
      </c>
      <c r="H1823" t="n">
        <v>0</v>
      </c>
      <c r="I1823" t="n">
        <v>0</v>
      </c>
      <c r="J1823" t="n">
        <v>0</v>
      </c>
      <c r="K1823" t="n">
        <v>0</v>
      </c>
      <c r="L1823" t="n">
        <v>0</v>
      </c>
      <c r="M1823" t="n">
        <v>0</v>
      </c>
      <c r="N1823" t="n">
        <v>0</v>
      </c>
      <c r="O1823" t="n">
        <v>0</v>
      </c>
      <c r="P1823" t="n">
        <v>0</v>
      </c>
      <c r="Q1823" t="n">
        <v>0</v>
      </c>
      <c r="R1823" s="2" t="inlineStr"/>
      <c r="U1823">
        <f>HYPERLINK("https://klasma.github.io/Logging_0883/knärot/A 3041-2025 karta knärot.png", "A 3041-2025")</f>
        <v/>
      </c>
      <c r="V1823">
        <f>HYPERLINK("https://klasma.github.io/Logging_0883/klagomål/A 3041-2025 FSC-klagomål.docx", "A 3041-2025")</f>
        <v/>
      </c>
      <c r="W1823">
        <f>HYPERLINK("https://klasma.github.io/Logging_0883/klagomålsmail/A 3041-2025 FSC-klagomål mail.docx", "A 3041-2025")</f>
        <v/>
      </c>
      <c r="X1823">
        <f>HYPERLINK("https://klasma.github.io/Logging_0883/tillsyn/A 3041-2025 tillsynsbegäran.docx", "A 3041-2025")</f>
        <v/>
      </c>
      <c r="Y1823">
        <f>HYPERLINK("https://klasma.github.io/Logging_0883/tillsynsmail/A 3041-2025 tillsynsbegäran mail.docx", "A 3041-2025")</f>
        <v/>
      </c>
    </row>
    <row r="1824" ht="15" customHeight="1">
      <c r="A1824" t="inlineStr">
        <is>
          <t>A 2951-2025</t>
        </is>
      </c>
      <c r="B1824" s="1" t="n">
        <v>45678</v>
      </c>
      <c r="C1824" s="1" t="n">
        <v>45799</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3467-2025</t>
        </is>
      </c>
      <c r="B1825" s="1" t="n">
        <v>45680</v>
      </c>
      <c r="C1825" s="1" t="n">
        <v>45799</v>
      </c>
      <c r="D1825" t="inlineStr">
        <is>
          <t>KALMAR LÄN</t>
        </is>
      </c>
      <c r="E1825" t="inlineStr">
        <is>
          <t>VÄSTERVIK</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3453-2025</t>
        </is>
      </c>
      <c r="B1826" s="1" t="n">
        <v>45680</v>
      </c>
      <c r="C1826" s="1" t="n">
        <v>45799</v>
      </c>
      <c r="D1826" t="inlineStr">
        <is>
          <t>KALMAR LÄN</t>
        </is>
      </c>
      <c r="E1826" t="inlineStr">
        <is>
          <t>VÄSTERVIK</t>
        </is>
      </c>
      <c r="F1826" t="inlineStr">
        <is>
          <t>Kommuner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3679-2025</t>
        </is>
      </c>
      <c r="B1827" s="1" t="n">
        <v>45681</v>
      </c>
      <c r="C1827" s="1" t="n">
        <v>45799</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3800-2025</t>
        </is>
      </c>
      <c r="B1828" s="1" t="n">
        <v>45681</v>
      </c>
      <c r="C1828" s="1" t="n">
        <v>45799</v>
      </c>
      <c r="D1828" t="inlineStr">
        <is>
          <t>KALMAR LÄN</t>
        </is>
      </c>
      <c r="E1828" t="inlineStr">
        <is>
          <t>VÄSTERVIK</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4345-2025</t>
        </is>
      </c>
      <c r="B1829" s="1" t="n">
        <v>45685</v>
      </c>
      <c r="C1829" s="1" t="n">
        <v>45799</v>
      </c>
      <c r="D1829" t="inlineStr">
        <is>
          <t>KALMAR LÄN</t>
        </is>
      </c>
      <c r="E1829" t="inlineStr">
        <is>
          <t>VÄSTERVIK</t>
        </is>
      </c>
      <c r="F1829" t="inlineStr">
        <is>
          <t>Holmen skog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4490-2025</t>
        </is>
      </c>
      <c r="B1830" s="1" t="n">
        <v>45686</v>
      </c>
      <c r="C1830" s="1" t="n">
        <v>45799</v>
      </c>
      <c r="D1830" t="inlineStr">
        <is>
          <t>KALMAR LÄN</t>
        </is>
      </c>
      <c r="E1830" t="inlineStr">
        <is>
          <t>VÄSTERVIK</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4461-2025</t>
        </is>
      </c>
      <c r="B1831" s="1" t="n">
        <v>45686</v>
      </c>
      <c r="C1831" s="1" t="n">
        <v>45799</v>
      </c>
      <c r="D1831" t="inlineStr">
        <is>
          <t>KALMAR LÄN</t>
        </is>
      </c>
      <c r="E1831" t="inlineStr">
        <is>
          <t>VÄSTERVIK</t>
        </is>
      </c>
      <c r="G1831" t="n">
        <v>0.8</v>
      </c>
      <c r="H1831" t="n">
        <v>0</v>
      </c>
      <c r="I1831" t="n">
        <v>0</v>
      </c>
      <c r="J1831" t="n">
        <v>0</v>
      </c>
      <c r="K1831" t="n">
        <v>0</v>
      </c>
      <c r="L1831" t="n">
        <v>0</v>
      </c>
      <c r="M1831" t="n">
        <v>0</v>
      </c>
      <c r="N1831" t="n">
        <v>0</v>
      </c>
      <c r="O1831" t="n">
        <v>0</v>
      </c>
      <c r="P1831" t="n">
        <v>0</v>
      </c>
      <c r="Q1831" t="n">
        <v>0</v>
      </c>
      <c r="R1831" s="2" t="inlineStr"/>
      <c r="U1831">
        <f>HYPERLINK("https://klasma.github.io/Logging_0883/knärot/A 4461-2025 karta knärot.png", "A 4461-2025")</f>
        <v/>
      </c>
      <c r="V1831">
        <f>HYPERLINK("https://klasma.github.io/Logging_0883/klagomål/A 4461-2025 FSC-klagomål.docx", "A 4461-2025")</f>
        <v/>
      </c>
      <c r="W1831">
        <f>HYPERLINK("https://klasma.github.io/Logging_0883/klagomålsmail/A 4461-2025 FSC-klagomål mail.docx", "A 4461-2025")</f>
        <v/>
      </c>
      <c r="X1831">
        <f>HYPERLINK("https://klasma.github.io/Logging_0883/tillsyn/A 4461-2025 tillsynsbegäran.docx", "A 4461-2025")</f>
        <v/>
      </c>
      <c r="Y1831">
        <f>HYPERLINK("https://klasma.github.io/Logging_0883/tillsynsmail/A 4461-2025 tillsynsbegäran mail.docx", "A 4461-2025")</f>
        <v/>
      </c>
    </row>
    <row r="1832" ht="15" customHeight="1">
      <c r="A1832" t="inlineStr">
        <is>
          <t>A 5060-2025</t>
        </is>
      </c>
      <c r="B1832" s="1" t="n">
        <v>45691</v>
      </c>
      <c r="C1832" s="1" t="n">
        <v>45799</v>
      </c>
      <c r="D1832" t="inlineStr">
        <is>
          <t>KALMAR LÄN</t>
        </is>
      </c>
      <c r="E1832" t="inlineStr">
        <is>
          <t>VÄSTERVIK</t>
        </is>
      </c>
      <c r="F1832" t="inlineStr">
        <is>
          <t>Holmen skog AB</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5079-2025</t>
        </is>
      </c>
      <c r="B1833" s="1" t="n">
        <v>45691</v>
      </c>
      <c r="C1833" s="1" t="n">
        <v>45799</v>
      </c>
      <c r="D1833" t="inlineStr">
        <is>
          <t>KALMAR LÄN</t>
        </is>
      </c>
      <c r="E1833" t="inlineStr">
        <is>
          <t>VÄSTERVIK</t>
        </is>
      </c>
      <c r="F1833" t="inlineStr">
        <is>
          <t>Holmen skog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5118-2025</t>
        </is>
      </c>
      <c r="B1834" s="1" t="n">
        <v>45691</v>
      </c>
      <c r="C1834" s="1" t="n">
        <v>45799</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5691-2025</t>
        </is>
      </c>
      <c r="B1835" s="1" t="n">
        <v>45694</v>
      </c>
      <c r="C1835" s="1" t="n">
        <v>45799</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6182-2025</t>
        </is>
      </c>
      <c r="B1836" s="1" t="n">
        <v>45698</v>
      </c>
      <c r="C1836" s="1" t="n">
        <v>45799</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6393-2025</t>
        </is>
      </c>
      <c r="B1837" s="1" t="n">
        <v>45699</v>
      </c>
      <c r="C1837" s="1" t="n">
        <v>45799</v>
      </c>
      <c r="D1837" t="inlineStr">
        <is>
          <t>KALMAR LÄN</t>
        </is>
      </c>
      <c r="E1837" t="inlineStr">
        <is>
          <t>VÄSTERVIK</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6469-2025</t>
        </is>
      </c>
      <c r="B1838" s="1" t="n">
        <v>45699</v>
      </c>
      <c r="C1838" s="1" t="n">
        <v>45799</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6846-2025</t>
        </is>
      </c>
      <c r="B1839" s="1" t="n">
        <v>45700</v>
      </c>
      <c r="C1839" s="1" t="n">
        <v>45799</v>
      </c>
      <c r="D1839" t="inlineStr">
        <is>
          <t>KALMAR LÄN</t>
        </is>
      </c>
      <c r="E1839" t="inlineStr">
        <is>
          <t>VÄSTERVIK</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6847-2025</t>
        </is>
      </c>
      <c r="B1840" s="1" t="n">
        <v>45700</v>
      </c>
      <c r="C1840" s="1" t="n">
        <v>45799</v>
      </c>
      <c r="D1840" t="inlineStr">
        <is>
          <t>KALMAR LÄN</t>
        </is>
      </c>
      <c r="E1840" t="inlineStr">
        <is>
          <t>VÄSTERVIK</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6844-2025</t>
        </is>
      </c>
      <c r="B1841" s="1" t="n">
        <v>45700</v>
      </c>
      <c r="C1841" s="1" t="n">
        <v>45799</v>
      </c>
      <c r="D1841" t="inlineStr">
        <is>
          <t>KALMAR LÄN</t>
        </is>
      </c>
      <c r="E1841" t="inlineStr">
        <is>
          <t>VÄSTERVIK</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6848-2025</t>
        </is>
      </c>
      <c r="B1842" s="1" t="n">
        <v>45700</v>
      </c>
      <c r="C1842" s="1" t="n">
        <v>45799</v>
      </c>
      <c r="D1842" t="inlineStr">
        <is>
          <t>KALMAR LÄN</t>
        </is>
      </c>
      <c r="E1842" t="inlineStr">
        <is>
          <t>VÄSTERVIK</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6940-2025</t>
        </is>
      </c>
      <c r="B1843" s="1" t="n">
        <v>45701</v>
      </c>
      <c r="C1843" s="1" t="n">
        <v>45799</v>
      </c>
      <c r="D1843" t="inlineStr">
        <is>
          <t>KALMAR LÄN</t>
        </is>
      </c>
      <c r="E1843" t="inlineStr">
        <is>
          <t>VÄSTERVIK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6938-2025</t>
        </is>
      </c>
      <c r="B1844" s="1" t="n">
        <v>45701</v>
      </c>
      <c r="C1844" s="1" t="n">
        <v>45799</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6941-2025</t>
        </is>
      </c>
      <c r="B1845" s="1" t="n">
        <v>45701</v>
      </c>
      <c r="C1845" s="1" t="n">
        <v>45799</v>
      </c>
      <c r="D1845" t="inlineStr">
        <is>
          <t>KALMAR LÄN</t>
        </is>
      </c>
      <c r="E1845" t="inlineStr">
        <is>
          <t>VÄSTERVIK</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7164-2025</t>
        </is>
      </c>
      <c r="B1846" s="1" t="n">
        <v>45702</v>
      </c>
      <c r="C1846" s="1" t="n">
        <v>45799</v>
      </c>
      <c r="D1846" t="inlineStr">
        <is>
          <t>KALMAR LÄN</t>
        </is>
      </c>
      <c r="E1846" t="inlineStr">
        <is>
          <t>VÄSTERVIK</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7165-2025</t>
        </is>
      </c>
      <c r="B1847" s="1" t="n">
        <v>45702</v>
      </c>
      <c r="C1847" s="1" t="n">
        <v>45799</v>
      </c>
      <c r="D1847" t="inlineStr">
        <is>
          <t>KALMAR LÄN</t>
        </is>
      </c>
      <c r="E1847" t="inlineStr">
        <is>
          <t>VÄSTERVIK</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7163-2025</t>
        </is>
      </c>
      <c r="B1848" s="1" t="n">
        <v>45702</v>
      </c>
      <c r="C1848" s="1" t="n">
        <v>45799</v>
      </c>
      <c r="D1848" t="inlineStr">
        <is>
          <t>KALMAR LÄN</t>
        </is>
      </c>
      <c r="E1848" t="inlineStr">
        <is>
          <t>VÄSTERVIK</t>
        </is>
      </c>
      <c r="F1848" t="inlineStr">
        <is>
          <t>Sveaskog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7381-2025</t>
        </is>
      </c>
      <c r="B1849" s="1" t="n">
        <v>45705</v>
      </c>
      <c r="C1849" s="1" t="n">
        <v>45799</v>
      </c>
      <c r="D1849" t="inlineStr">
        <is>
          <t>KALMAR LÄN</t>
        </is>
      </c>
      <c r="E1849" t="inlineStr">
        <is>
          <t>VÄSTERVIK</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7377-2025</t>
        </is>
      </c>
      <c r="B1850" s="1" t="n">
        <v>45705</v>
      </c>
      <c r="C1850" s="1" t="n">
        <v>45799</v>
      </c>
      <c r="D1850" t="inlineStr">
        <is>
          <t>KALMAR LÄN</t>
        </is>
      </c>
      <c r="E1850" t="inlineStr">
        <is>
          <t>VÄSTERVIK</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7882-2025</t>
        </is>
      </c>
      <c r="B1851" s="1" t="n">
        <v>45706</v>
      </c>
      <c r="C1851" s="1" t="n">
        <v>45799</v>
      </c>
      <c r="D1851" t="inlineStr">
        <is>
          <t>KALMAR LÄN</t>
        </is>
      </c>
      <c r="E1851" t="inlineStr">
        <is>
          <t>VÄSTERVIK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7843-2025</t>
        </is>
      </c>
      <c r="B1852" s="1" t="n">
        <v>45706</v>
      </c>
      <c r="C1852" s="1" t="n">
        <v>45799</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7883-2025</t>
        </is>
      </c>
      <c r="B1853" s="1" t="n">
        <v>45706</v>
      </c>
      <c r="C1853" s="1" t="n">
        <v>45799</v>
      </c>
      <c r="D1853" t="inlineStr">
        <is>
          <t>KALMAR LÄN</t>
        </is>
      </c>
      <c r="E1853" t="inlineStr">
        <is>
          <t>VÄSTERVIK</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7885-2025</t>
        </is>
      </c>
      <c r="B1854" s="1" t="n">
        <v>45706</v>
      </c>
      <c r="C1854" s="1" t="n">
        <v>45799</v>
      </c>
      <c r="D1854" t="inlineStr">
        <is>
          <t>KALMAR LÄN</t>
        </is>
      </c>
      <c r="E1854" t="inlineStr">
        <is>
          <t>VÄSTERVIK</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7840-2025</t>
        </is>
      </c>
      <c r="B1855" s="1" t="n">
        <v>45706</v>
      </c>
      <c r="C1855" s="1" t="n">
        <v>45799</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7884-2025</t>
        </is>
      </c>
      <c r="B1856" s="1" t="n">
        <v>45706</v>
      </c>
      <c r="C1856" s="1" t="n">
        <v>45799</v>
      </c>
      <c r="D1856" t="inlineStr">
        <is>
          <t>KALMAR LÄN</t>
        </is>
      </c>
      <c r="E1856" t="inlineStr">
        <is>
          <t>VÄSTERVIK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8281-2025</t>
        </is>
      </c>
      <c r="B1857" s="1" t="n">
        <v>45708</v>
      </c>
      <c r="C1857" s="1" t="n">
        <v>45799</v>
      </c>
      <c r="D1857" t="inlineStr">
        <is>
          <t>KALMAR LÄN</t>
        </is>
      </c>
      <c r="E1857" t="inlineStr">
        <is>
          <t>VÄSTERVIK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8402-2025</t>
        </is>
      </c>
      <c r="B1858" s="1" t="n">
        <v>45709</v>
      </c>
      <c r="C1858" s="1" t="n">
        <v>45799</v>
      </c>
      <c r="D1858" t="inlineStr">
        <is>
          <t>KALMAR LÄN</t>
        </is>
      </c>
      <c r="E1858" t="inlineStr">
        <is>
          <t>VÄSTERVIK</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8995-2025</t>
        </is>
      </c>
      <c r="B1859" s="1" t="n">
        <v>45713</v>
      </c>
      <c r="C1859" s="1" t="n">
        <v>45799</v>
      </c>
      <c r="D1859" t="inlineStr">
        <is>
          <t>KALMAR LÄN</t>
        </is>
      </c>
      <c r="E1859" t="inlineStr">
        <is>
          <t>VÄSTERVIK</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9263-2025</t>
        </is>
      </c>
      <c r="B1860" s="1" t="n">
        <v>45714</v>
      </c>
      <c r="C1860" s="1" t="n">
        <v>45799</v>
      </c>
      <c r="D1860" t="inlineStr">
        <is>
          <t>KALMAR LÄN</t>
        </is>
      </c>
      <c r="E1860" t="inlineStr">
        <is>
          <t>VÄSTERVIK</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9267-2025</t>
        </is>
      </c>
      <c r="B1861" s="1" t="n">
        <v>45714</v>
      </c>
      <c r="C1861" s="1" t="n">
        <v>45799</v>
      </c>
      <c r="D1861" t="inlineStr">
        <is>
          <t>KALMAR LÄN</t>
        </is>
      </c>
      <c r="E1861" t="inlineStr">
        <is>
          <t>VÄSTERVIK</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9269-2025</t>
        </is>
      </c>
      <c r="B1862" s="1" t="n">
        <v>45714</v>
      </c>
      <c r="C1862" s="1" t="n">
        <v>45799</v>
      </c>
      <c r="D1862" t="inlineStr">
        <is>
          <t>KALMAR LÄN</t>
        </is>
      </c>
      <c r="E1862" t="inlineStr">
        <is>
          <t>VÄSTERVIK</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9451-2025</t>
        </is>
      </c>
      <c r="B1863" s="1" t="n">
        <v>45715</v>
      </c>
      <c r="C1863" s="1" t="n">
        <v>45799</v>
      </c>
      <c r="D1863" t="inlineStr">
        <is>
          <t>KALMAR LÄN</t>
        </is>
      </c>
      <c r="E1863" t="inlineStr">
        <is>
          <t>VÄSTERVIK</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9545-2025</t>
        </is>
      </c>
      <c r="B1864" s="1" t="n">
        <v>45715</v>
      </c>
      <c r="C1864" s="1" t="n">
        <v>45799</v>
      </c>
      <c r="D1864" t="inlineStr">
        <is>
          <t>KALMAR LÄN</t>
        </is>
      </c>
      <c r="E1864" t="inlineStr">
        <is>
          <t>VÄSTERVIK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9973-2025</t>
        </is>
      </c>
      <c r="B1865" s="1" t="n">
        <v>45719</v>
      </c>
      <c r="C1865" s="1" t="n">
        <v>45799</v>
      </c>
      <c r="D1865" t="inlineStr">
        <is>
          <t>KALMAR LÄN</t>
        </is>
      </c>
      <c r="E1865" t="inlineStr">
        <is>
          <t>VÄSTERVIK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10012-2025</t>
        </is>
      </c>
      <c r="B1866" s="1" t="n">
        <v>45719</v>
      </c>
      <c r="C1866" s="1" t="n">
        <v>45799</v>
      </c>
      <c r="D1866" t="inlineStr">
        <is>
          <t>KALMAR LÄN</t>
        </is>
      </c>
      <c r="E1866" t="inlineStr">
        <is>
          <t>VÄSTERVIK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10412-2025</t>
        </is>
      </c>
      <c r="B1867" s="1" t="n">
        <v>45720</v>
      </c>
      <c r="C1867" s="1" t="n">
        <v>45799</v>
      </c>
      <c r="D1867" t="inlineStr">
        <is>
          <t>KALMAR LÄN</t>
        </is>
      </c>
      <c r="E1867" t="inlineStr">
        <is>
          <t>VÄSTERVIK</t>
        </is>
      </c>
      <c r="F1867" t="inlineStr">
        <is>
          <t>Övriga Aktiebolag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10420-2025</t>
        </is>
      </c>
      <c r="B1868" s="1" t="n">
        <v>45720</v>
      </c>
      <c r="C1868" s="1" t="n">
        <v>45799</v>
      </c>
      <c r="D1868" t="inlineStr">
        <is>
          <t>KALMAR LÄN</t>
        </is>
      </c>
      <c r="E1868" t="inlineStr">
        <is>
          <t>VÄSTERVIK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10433-2025</t>
        </is>
      </c>
      <c r="B1869" s="1" t="n">
        <v>45720</v>
      </c>
      <c r="C1869" s="1" t="n">
        <v>45799</v>
      </c>
      <c r="D1869" t="inlineStr">
        <is>
          <t>KALMAR LÄN</t>
        </is>
      </c>
      <c r="E1869" t="inlineStr">
        <is>
          <t>VÄSTERVIK</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10390-2025</t>
        </is>
      </c>
      <c r="B1870" s="1" t="n">
        <v>45720</v>
      </c>
      <c r="C1870" s="1" t="n">
        <v>45799</v>
      </c>
      <c r="D1870" t="inlineStr">
        <is>
          <t>KALMAR LÄN</t>
        </is>
      </c>
      <c r="E1870" t="inlineStr">
        <is>
          <t>VÄSTERVIK</t>
        </is>
      </c>
      <c r="F1870" t="inlineStr">
        <is>
          <t>Övriga Aktiebolag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10399-2025</t>
        </is>
      </c>
      <c r="B1871" s="1" t="n">
        <v>45720</v>
      </c>
      <c r="C1871" s="1" t="n">
        <v>45799</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10774-2025</t>
        </is>
      </c>
      <c r="B1872" s="1" t="n">
        <v>45722</v>
      </c>
      <c r="C1872" s="1" t="n">
        <v>45799</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10803-2025</t>
        </is>
      </c>
      <c r="B1873" s="1" t="n">
        <v>45722</v>
      </c>
      <c r="C1873" s="1" t="n">
        <v>45799</v>
      </c>
      <c r="D1873" t="inlineStr">
        <is>
          <t>KALMAR LÄN</t>
        </is>
      </c>
      <c r="E1873" t="inlineStr">
        <is>
          <t>VÄSTERVIK</t>
        </is>
      </c>
      <c r="F1873" t="inlineStr">
        <is>
          <t>Övriga Aktiebolag</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10800-2025</t>
        </is>
      </c>
      <c r="B1874" s="1" t="n">
        <v>45722</v>
      </c>
      <c r="C1874" s="1" t="n">
        <v>45799</v>
      </c>
      <c r="D1874" t="inlineStr">
        <is>
          <t>KALMAR LÄN</t>
        </is>
      </c>
      <c r="E1874" t="inlineStr">
        <is>
          <t>VÄSTERVIK</t>
        </is>
      </c>
      <c r="F1874" t="inlineStr">
        <is>
          <t>Övriga Aktiebolag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10771-2025</t>
        </is>
      </c>
      <c r="B1875" s="1" t="n">
        <v>45722</v>
      </c>
      <c r="C1875" s="1" t="n">
        <v>45799</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10806-2025</t>
        </is>
      </c>
      <c r="B1876" s="1" t="n">
        <v>45722</v>
      </c>
      <c r="C1876" s="1" t="n">
        <v>45799</v>
      </c>
      <c r="D1876" t="inlineStr">
        <is>
          <t>KALMAR LÄN</t>
        </is>
      </c>
      <c r="E1876" t="inlineStr">
        <is>
          <t>VÄSTERVIK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10808-2025</t>
        </is>
      </c>
      <c r="B1877" s="1" t="n">
        <v>45722</v>
      </c>
      <c r="C1877" s="1" t="n">
        <v>45799</v>
      </c>
      <c r="D1877" t="inlineStr">
        <is>
          <t>KALMAR LÄN</t>
        </is>
      </c>
      <c r="E1877" t="inlineStr">
        <is>
          <t>VÄSTERVIK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10766-2025</t>
        </is>
      </c>
      <c r="B1878" s="1" t="n">
        <v>45722</v>
      </c>
      <c r="C1878" s="1" t="n">
        <v>45799</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10778-2025</t>
        </is>
      </c>
      <c r="B1879" s="1" t="n">
        <v>45722</v>
      </c>
      <c r="C1879" s="1" t="n">
        <v>45799</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11120-2025</t>
        </is>
      </c>
      <c r="B1880" s="1" t="n">
        <v>45723</v>
      </c>
      <c r="C1880" s="1" t="n">
        <v>45799</v>
      </c>
      <c r="D1880" t="inlineStr">
        <is>
          <t>KALMAR LÄN</t>
        </is>
      </c>
      <c r="E1880" t="inlineStr">
        <is>
          <t>VÄSTERVIK</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11122-2025</t>
        </is>
      </c>
      <c r="B1881" s="1" t="n">
        <v>45723</v>
      </c>
      <c r="C1881" s="1" t="n">
        <v>45799</v>
      </c>
      <c r="D1881" t="inlineStr">
        <is>
          <t>KALMAR LÄN</t>
        </is>
      </c>
      <c r="E1881" t="inlineStr">
        <is>
          <t>VÄSTERVIK</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11296-2025</t>
        </is>
      </c>
      <c r="B1882" s="1" t="n">
        <v>45726</v>
      </c>
      <c r="C1882" s="1" t="n">
        <v>45799</v>
      </c>
      <c r="D1882" t="inlineStr">
        <is>
          <t>KALMAR LÄN</t>
        </is>
      </c>
      <c r="E1882" t="inlineStr">
        <is>
          <t>VÄSTERVIK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11316-2025</t>
        </is>
      </c>
      <c r="B1883" s="1" t="n">
        <v>45726</v>
      </c>
      <c r="C1883" s="1" t="n">
        <v>45799</v>
      </c>
      <c r="D1883" t="inlineStr">
        <is>
          <t>KALMAR LÄN</t>
        </is>
      </c>
      <c r="E1883" t="inlineStr">
        <is>
          <t>VÄSTERVIK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11852-2025</t>
        </is>
      </c>
      <c r="B1884" s="1" t="n">
        <v>45728</v>
      </c>
      <c r="C1884" s="1" t="n">
        <v>45799</v>
      </c>
      <c r="D1884" t="inlineStr">
        <is>
          <t>KALMAR LÄN</t>
        </is>
      </c>
      <c r="E1884" t="inlineStr">
        <is>
          <t>VÄSTERVIK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12333-2025</t>
        </is>
      </c>
      <c r="B1885" s="1" t="n">
        <v>45730</v>
      </c>
      <c r="C1885" s="1" t="n">
        <v>45799</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12386-2025</t>
        </is>
      </c>
      <c r="B1886" s="1" t="n">
        <v>45730</v>
      </c>
      <c r="C1886" s="1" t="n">
        <v>45799</v>
      </c>
      <c r="D1886" t="inlineStr">
        <is>
          <t>KALMAR LÄN</t>
        </is>
      </c>
      <c r="E1886" t="inlineStr">
        <is>
          <t>VÄSTERVIK</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12455-2025</t>
        </is>
      </c>
      <c r="B1887" s="1" t="n">
        <v>45730</v>
      </c>
      <c r="C1887" s="1" t="n">
        <v>45799</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13103-2025</t>
        </is>
      </c>
      <c r="B1888" s="1" t="n">
        <v>45734</v>
      </c>
      <c r="C1888" s="1" t="n">
        <v>45799</v>
      </c>
      <c r="D1888" t="inlineStr">
        <is>
          <t>KALMAR LÄN</t>
        </is>
      </c>
      <c r="E1888" t="inlineStr">
        <is>
          <t>VÄSTERVIK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13105-2025</t>
        </is>
      </c>
      <c r="B1889" s="1" t="n">
        <v>45734</v>
      </c>
      <c r="C1889" s="1" t="n">
        <v>45799</v>
      </c>
      <c r="D1889" t="inlineStr">
        <is>
          <t>KALMAR LÄN</t>
        </is>
      </c>
      <c r="E1889" t="inlineStr">
        <is>
          <t>VÄSTERVIK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13349-2025</t>
        </is>
      </c>
      <c r="B1890" s="1" t="n">
        <v>45735</v>
      </c>
      <c r="C1890" s="1" t="n">
        <v>45799</v>
      </c>
      <c r="D1890" t="inlineStr">
        <is>
          <t>KALMAR LÄN</t>
        </is>
      </c>
      <c r="E1890" t="inlineStr">
        <is>
          <t>VÄSTERVIK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13498-2025</t>
        </is>
      </c>
      <c r="B1891" s="1" t="n">
        <v>45736</v>
      </c>
      <c r="C1891" s="1" t="n">
        <v>45799</v>
      </c>
      <c r="D1891" t="inlineStr">
        <is>
          <t>KALMAR LÄN</t>
        </is>
      </c>
      <c r="E1891" t="inlineStr">
        <is>
          <t>VÄSTERVIK</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13618-2025</t>
        </is>
      </c>
      <c r="B1892" s="1" t="n">
        <v>45736</v>
      </c>
      <c r="C1892" s="1" t="n">
        <v>45799</v>
      </c>
      <c r="D1892" t="inlineStr">
        <is>
          <t>KALMAR LÄN</t>
        </is>
      </c>
      <c r="E1892" t="inlineStr">
        <is>
          <t>VÄSTERVIK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13957-2025</t>
        </is>
      </c>
      <c r="B1893" s="1" t="n">
        <v>45737</v>
      </c>
      <c r="C1893" s="1" t="n">
        <v>45799</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13958-2025</t>
        </is>
      </c>
      <c r="B1894" s="1" t="n">
        <v>45737</v>
      </c>
      <c r="C1894" s="1" t="n">
        <v>45799</v>
      </c>
      <c r="D1894" t="inlineStr">
        <is>
          <t>KALMAR LÄN</t>
        </is>
      </c>
      <c r="E1894" t="inlineStr">
        <is>
          <t>VÄSTERVIK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14071-2025</t>
        </is>
      </c>
      <c r="B1895" s="1" t="n">
        <v>45740</v>
      </c>
      <c r="C1895" s="1" t="n">
        <v>45799</v>
      </c>
      <c r="D1895" t="inlineStr">
        <is>
          <t>KALMAR LÄN</t>
        </is>
      </c>
      <c r="E1895" t="inlineStr">
        <is>
          <t>VÄSTERVIK</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14080-2025</t>
        </is>
      </c>
      <c r="B1896" s="1" t="n">
        <v>45740</v>
      </c>
      <c r="C1896" s="1" t="n">
        <v>45799</v>
      </c>
      <c r="D1896" t="inlineStr">
        <is>
          <t>KALMAR LÄN</t>
        </is>
      </c>
      <c r="E1896" t="inlineStr">
        <is>
          <t>VÄSTERVIK</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14092-2025</t>
        </is>
      </c>
      <c r="B1897" s="1" t="n">
        <v>45740</v>
      </c>
      <c r="C1897" s="1" t="n">
        <v>45799</v>
      </c>
      <c r="D1897" t="inlineStr">
        <is>
          <t>KALMAR LÄN</t>
        </is>
      </c>
      <c r="E1897" t="inlineStr">
        <is>
          <t>VÄSTERVIK</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14072-2025</t>
        </is>
      </c>
      <c r="B1898" s="1" t="n">
        <v>45740</v>
      </c>
      <c r="C1898" s="1" t="n">
        <v>45799</v>
      </c>
      <c r="D1898" t="inlineStr">
        <is>
          <t>KALMAR LÄN</t>
        </is>
      </c>
      <c r="E1898" t="inlineStr">
        <is>
          <t>VÄSTERVIK</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14105-2025</t>
        </is>
      </c>
      <c r="B1899" s="1" t="n">
        <v>45740</v>
      </c>
      <c r="C1899" s="1" t="n">
        <v>45799</v>
      </c>
      <c r="D1899" t="inlineStr">
        <is>
          <t>KALMAR LÄN</t>
        </is>
      </c>
      <c r="E1899" t="inlineStr">
        <is>
          <t>VÄSTERVIK</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14109-2025</t>
        </is>
      </c>
      <c r="B1900" s="1" t="n">
        <v>45740</v>
      </c>
      <c r="C1900" s="1" t="n">
        <v>45799</v>
      </c>
      <c r="D1900" t="inlineStr">
        <is>
          <t>KALMAR LÄN</t>
        </is>
      </c>
      <c r="E1900" t="inlineStr">
        <is>
          <t>VÄSTERVIK</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14055-2025</t>
        </is>
      </c>
      <c r="B1901" s="1" t="n">
        <v>45740</v>
      </c>
      <c r="C1901" s="1" t="n">
        <v>45799</v>
      </c>
      <c r="D1901" t="inlineStr">
        <is>
          <t>KALMAR LÄN</t>
        </is>
      </c>
      <c r="E1901" t="inlineStr">
        <is>
          <t>VÄSTERVIK</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14114-2025</t>
        </is>
      </c>
      <c r="B1902" s="1" t="n">
        <v>45740</v>
      </c>
      <c r="C1902" s="1" t="n">
        <v>45799</v>
      </c>
      <c r="D1902" t="inlineStr">
        <is>
          <t>KALMAR LÄN</t>
        </is>
      </c>
      <c r="E1902" t="inlineStr">
        <is>
          <t>VÄSTERVIK</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14068-2025</t>
        </is>
      </c>
      <c r="B1903" s="1" t="n">
        <v>45740</v>
      </c>
      <c r="C1903" s="1" t="n">
        <v>45799</v>
      </c>
      <c r="D1903" t="inlineStr">
        <is>
          <t>KALMAR LÄN</t>
        </is>
      </c>
      <c r="E1903" t="inlineStr">
        <is>
          <t>VÄSTERVIK</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14075-2025</t>
        </is>
      </c>
      <c r="B1904" s="1" t="n">
        <v>45740</v>
      </c>
      <c r="C1904" s="1" t="n">
        <v>45799</v>
      </c>
      <c r="D1904" t="inlineStr">
        <is>
          <t>KALMAR LÄN</t>
        </is>
      </c>
      <c r="E1904" t="inlineStr">
        <is>
          <t>VÄSTERVIK</t>
        </is>
      </c>
      <c r="F1904" t="inlineStr">
        <is>
          <t>Sveaskog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14685-2025</t>
        </is>
      </c>
      <c r="B1905" s="1" t="n">
        <v>45742</v>
      </c>
      <c r="C1905" s="1" t="n">
        <v>45799</v>
      </c>
      <c r="D1905" t="inlineStr">
        <is>
          <t>KALMAR LÄN</t>
        </is>
      </c>
      <c r="E1905" t="inlineStr">
        <is>
          <t>VÄSTERVIK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14811-2025</t>
        </is>
      </c>
      <c r="B1906" s="1" t="n">
        <v>45743</v>
      </c>
      <c r="C1906" s="1" t="n">
        <v>45799</v>
      </c>
      <c r="D1906" t="inlineStr">
        <is>
          <t>KALMAR LÄN</t>
        </is>
      </c>
      <c r="E1906" t="inlineStr">
        <is>
          <t>VÄSTERVIK</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15021-2025</t>
        </is>
      </c>
      <c r="B1907" s="1" t="n">
        <v>45743</v>
      </c>
      <c r="C1907" s="1" t="n">
        <v>45799</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15451-2025</t>
        </is>
      </c>
      <c r="B1908" s="1" t="n">
        <v>45747</v>
      </c>
      <c r="C1908" s="1" t="n">
        <v>45799</v>
      </c>
      <c r="D1908" t="inlineStr">
        <is>
          <t>KALMAR LÄN</t>
        </is>
      </c>
      <c r="E1908" t="inlineStr">
        <is>
          <t>VÄSTERVIK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15444-2025</t>
        </is>
      </c>
      <c r="B1909" s="1" t="n">
        <v>45747</v>
      </c>
      <c r="C1909" s="1" t="n">
        <v>45799</v>
      </c>
      <c r="D1909" t="inlineStr">
        <is>
          <t>KALMAR LÄN</t>
        </is>
      </c>
      <c r="E1909" t="inlineStr">
        <is>
          <t>VÄSTERVIK</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15440-2025</t>
        </is>
      </c>
      <c r="B1910" s="1" t="n">
        <v>45747</v>
      </c>
      <c r="C1910" s="1" t="n">
        <v>45799</v>
      </c>
      <c r="D1910" t="inlineStr">
        <is>
          <t>KALMAR LÄN</t>
        </is>
      </c>
      <c r="E1910" t="inlineStr">
        <is>
          <t>VÄSTERVIK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15379-2025</t>
        </is>
      </c>
      <c r="B1911" s="1" t="n">
        <v>45747</v>
      </c>
      <c r="C1911" s="1" t="n">
        <v>45799</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15524-2025</t>
        </is>
      </c>
      <c r="B1912" s="1" t="n">
        <v>45747</v>
      </c>
      <c r="C1912" s="1" t="n">
        <v>45799</v>
      </c>
      <c r="D1912" t="inlineStr">
        <is>
          <t>KALMAR LÄN</t>
        </is>
      </c>
      <c r="E1912" t="inlineStr">
        <is>
          <t>VÄSTERVIK</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15851-2025</t>
        </is>
      </c>
      <c r="B1913" s="1" t="n">
        <v>45748</v>
      </c>
      <c r="C1913" s="1" t="n">
        <v>45799</v>
      </c>
      <c r="D1913" t="inlineStr">
        <is>
          <t>KALMAR LÄN</t>
        </is>
      </c>
      <c r="E1913" t="inlineStr">
        <is>
          <t>VÄSTERVIK</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16080-2025</t>
        </is>
      </c>
      <c r="B1914" s="1" t="n">
        <v>45749</v>
      </c>
      <c r="C1914" s="1" t="n">
        <v>45799</v>
      </c>
      <c r="D1914" t="inlineStr">
        <is>
          <t>KALMAR LÄN</t>
        </is>
      </c>
      <c r="E1914" t="inlineStr">
        <is>
          <t>VÄSTERVIK</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16841-2025</t>
        </is>
      </c>
      <c r="B1915" s="1" t="n">
        <v>45754</v>
      </c>
      <c r="C1915" s="1" t="n">
        <v>45799</v>
      </c>
      <c r="D1915" t="inlineStr">
        <is>
          <t>KALMAR LÄN</t>
        </is>
      </c>
      <c r="E1915" t="inlineStr">
        <is>
          <t>VÄSTERVIK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16790-2025</t>
        </is>
      </c>
      <c r="B1916" s="1" t="n">
        <v>45754</v>
      </c>
      <c r="C1916" s="1" t="n">
        <v>45799</v>
      </c>
      <c r="D1916" t="inlineStr">
        <is>
          <t>KALMAR LÄN</t>
        </is>
      </c>
      <c r="E1916" t="inlineStr">
        <is>
          <t>VÄSTERVIK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16848-2025</t>
        </is>
      </c>
      <c r="B1917" s="1" t="n">
        <v>45754</v>
      </c>
      <c r="C1917" s="1" t="n">
        <v>45799</v>
      </c>
      <c r="D1917" t="inlineStr">
        <is>
          <t>KALMAR LÄN</t>
        </is>
      </c>
      <c r="E1917" t="inlineStr">
        <is>
          <t>VÄSTERVIK</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16686-2025</t>
        </is>
      </c>
      <c r="B1918" s="1" t="n">
        <v>45754</v>
      </c>
      <c r="C1918" s="1" t="n">
        <v>45799</v>
      </c>
      <c r="D1918" t="inlineStr">
        <is>
          <t>KALMAR LÄN</t>
        </is>
      </c>
      <c r="E1918" t="inlineStr">
        <is>
          <t>VÄSTERVIK</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16847-2025</t>
        </is>
      </c>
      <c r="B1919" s="1" t="n">
        <v>45754</v>
      </c>
      <c r="C1919" s="1" t="n">
        <v>45799</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16680-2025</t>
        </is>
      </c>
      <c r="B1920" s="1" t="n">
        <v>45754</v>
      </c>
      <c r="C1920" s="1" t="n">
        <v>45799</v>
      </c>
      <c r="D1920" t="inlineStr">
        <is>
          <t>KALMAR LÄN</t>
        </is>
      </c>
      <c r="E1920" t="inlineStr">
        <is>
          <t>VÄSTERVIK</t>
        </is>
      </c>
      <c r="F1920" t="inlineStr">
        <is>
          <t>Sveaskog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16683-2025</t>
        </is>
      </c>
      <c r="B1921" s="1" t="n">
        <v>45754</v>
      </c>
      <c r="C1921" s="1" t="n">
        <v>45799</v>
      </c>
      <c r="D1921" t="inlineStr">
        <is>
          <t>KALMAR LÄN</t>
        </is>
      </c>
      <c r="E1921" t="inlineStr">
        <is>
          <t>VÄSTERVIK</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16846-2025</t>
        </is>
      </c>
      <c r="B1922" s="1" t="n">
        <v>45754</v>
      </c>
      <c r="C1922" s="1" t="n">
        <v>45799</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16689-2025</t>
        </is>
      </c>
      <c r="B1923" s="1" t="n">
        <v>45754</v>
      </c>
      <c r="C1923" s="1" t="n">
        <v>45799</v>
      </c>
      <c r="D1923" t="inlineStr">
        <is>
          <t>KALMAR LÄN</t>
        </is>
      </c>
      <c r="E1923" t="inlineStr">
        <is>
          <t>VÄSTERVIK</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16693-2025</t>
        </is>
      </c>
      <c r="B1924" s="1" t="n">
        <v>45754</v>
      </c>
      <c r="C1924" s="1" t="n">
        <v>45799</v>
      </c>
      <c r="D1924" t="inlineStr">
        <is>
          <t>KALMAR LÄN</t>
        </is>
      </c>
      <c r="E1924" t="inlineStr">
        <is>
          <t>VÄSTERVIK</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16691-2025</t>
        </is>
      </c>
      <c r="B1925" s="1" t="n">
        <v>45754</v>
      </c>
      <c r="C1925" s="1" t="n">
        <v>45799</v>
      </c>
      <c r="D1925" t="inlineStr">
        <is>
          <t>KALMAR LÄN</t>
        </is>
      </c>
      <c r="E1925" t="inlineStr">
        <is>
          <t>VÄSTERVIK</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16692-2025</t>
        </is>
      </c>
      <c r="B1926" s="1" t="n">
        <v>45754</v>
      </c>
      <c r="C1926" s="1" t="n">
        <v>45799</v>
      </c>
      <c r="D1926" t="inlineStr">
        <is>
          <t>KALMAR LÄN</t>
        </is>
      </c>
      <c r="E1926" t="inlineStr">
        <is>
          <t>VÄSTERVIK</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16839-2025</t>
        </is>
      </c>
      <c r="B1927" s="1" t="n">
        <v>45754</v>
      </c>
      <c r="C1927" s="1" t="n">
        <v>45799</v>
      </c>
      <c r="D1927" t="inlineStr">
        <is>
          <t>KALMAR LÄN</t>
        </is>
      </c>
      <c r="E1927" t="inlineStr">
        <is>
          <t>VÄSTERVIK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17054-2025</t>
        </is>
      </c>
      <c r="B1928" s="1" t="n">
        <v>45755</v>
      </c>
      <c r="C1928" s="1" t="n">
        <v>45799</v>
      </c>
      <c r="D1928" t="inlineStr">
        <is>
          <t>KALMAR LÄN</t>
        </is>
      </c>
      <c r="E1928" t="inlineStr">
        <is>
          <t>VÄSTERVIK</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17052-2025</t>
        </is>
      </c>
      <c r="B1929" s="1" t="n">
        <v>45755</v>
      </c>
      <c r="C1929" s="1" t="n">
        <v>45799</v>
      </c>
      <c r="D1929" t="inlineStr">
        <is>
          <t>KALMAR LÄN</t>
        </is>
      </c>
      <c r="E1929" t="inlineStr">
        <is>
          <t>VÄSTERVIK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18728-2025</t>
        </is>
      </c>
      <c r="B1930" s="1" t="n">
        <v>45763</v>
      </c>
      <c r="C1930" s="1" t="n">
        <v>45799</v>
      </c>
      <c r="D1930" t="inlineStr">
        <is>
          <t>KALMAR LÄN</t>
        </is>
      </c>
      <c r="E1930" t="inlineStr">
        <is>
          <t>VÄSTERVIK</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18880-2025</t>
        </is>
      </c>
      <c r="B1931" s="1" t="n">
        <v>45764</v>
      </c>
      <c r="C1931" s="1" t="n">
        <v>45799</v>
      </c>
      <c r="D1931" t="inlineStr">
        <is>
          <t>KALMAR LÄN</t>
        </is>
      </c>
      <c r="E1931" t="inlineStr">
        <is>
          <t>VÄSTERVIK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18884-2025</t>
        </is>
      </c>
      <c r="B1932" s="1" t="n">
        <v>45764</v>
      </c>
      <c r="C1932" s="1" t="n">
        <v>45799</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19608-2025</t>
        </is>
      </c>
      <c r="B1933" s="1" t="n">
        <v>45770</v>
      </c>
      <c r="C1933" s="1" t="n">
        <v>45799</v>
      </c>
      <c r="D1933" t="inlineStr">
        <is>
          <t>KALMAR LÄN</t>
        </is>
      </c>
      <c r="E1933" t="inlineStr">
        <is>
          <t>VÄSTERVIK</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19950-2025</t>
        </is>
      </c>
      <c r="B1934" s="1" t="n">
        <v>45771</v>
      </c>
      <c r="C1934" s="1" t="n">
        <v>45799</v>
      </c>
      <c r="D1934" t="inlineStr">
        <is>
          <t>KALMAR LÄN</t>
        </is>
      </c>
      <c r="E1934" t="inlineStr">
        <is>
          <t>VÄSTERVIK</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19694-2025</t>
        </is>
      </c>
      <c r="B1935" s="1" t="n">
        <v>45771</v>
      </c>
      <c r="C1935" s="1" t="n">
        <v>45799</v>
      </c>
      <c r="D1935" t="inlineStr">
        <is>
          <t>KALMAR LÄN</t>
        </is>
      </c>
      <c r="E1935" t="inlineStr">
        <is>
          <t>VÄSTERVIK</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20483-2025</t>
        </is>
      </c>
      <c r="B1936" s="1" t="n">
        <v>45775</v>
      </c>
      <c r="C1936" s="1" t="n">
        <v>45799</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21015-2025</t>
        </is>
      </c>
      <c r="B1937" s="1" t="n">
        <v>45777</v>
      </c>
      <c r="C1937" s="1" t="n">
        <v>45799</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21503-2025</t>
        </is>
      </c>
      <c r="B1938" s="1" t="n">
        <v>45782</v>
      </c>
      <c r="C1938" s="1" t="n">
        <v>45799</v>
      </c>
      <c r="D1938" t="inlineStr">
        <is>
          <t>KALMAR LÄN</t>
        </is>
      </c>
      <c r="E1938" t="inlineStr">
        <is>
          <t>VÄSTERVIK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21657-2025</t>
        </is>
      </c>
      <c r="B1939" s="1" t="n">
        <v>45783</v>
      </c>
      <c r="C1939" s="1" t="n">
        <v>45799</v>
      </c>
      <c r="D1939" t="inlineStr">
        <is>
          <t>KALMAR LÄN</t>
        </is>
      </c>
      <c r="E1939" t="inlineStr">
        <is>
          <t>VÄSTERVIK</t>
        </is>
      </c>
      <c r="F1939" t="inlineStr">
        <is>
          <t>Sveaskog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21660-2025</t>
        </is>
      </c>
      <c r="B1940" s="1" t="n">
        <v>45783</v>
      </c>
      <c r="C1940" s="1" t="n">
        <v>45799</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21661-2025</t>
        </is>
      </c>
      <c r="B1941" s="1" t="n">
        <v>45783</v>
      </c>
      <c r="C1941" s="1" t="n">
        <v>45799</v>
      </c>
      <c r="D1941" t="inlineStr">
        <is>
          <t>KALMAR LÄN</t>
        </is>
      </c>
      <c r="E1941" t="inlineStr">
        <is>
          <t>VÄSTERVIK</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21658-2025</t>
        </is>
      </c>
      <c r="B1942" s="1" t="n">
        <v>45783</v>
      </c>
      <c r="C1942" s="1" t="n">
        <v>45799</v>
      </c>
      <c r="D1942" t="inlineStr">
        <is>
          <t>KALMAR LÄN</t>
        </is>
      </c>
      <c r="E1942" t="inlineStr">
        <is>
          <t>VÄSTERVIK</t>
        </is>
      </c>
      <c r="F1942" t="inlineStr">
        <is>
          <t>Sveaskog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21991-2025</t>
        </is>
      </c>
      <c r="B1943" s="1" t="n">
        <v>45784</v>
      </c>
      <c r="C1943" s="1" t="n">
        <v>45799</v>
      </c>
      <c r="D1943" t="inlineStr">
        <is>
          <t>KALMAR LÄN</t>
        </is>
      </c>
      <c r="E1943" t="inlineStr">
        <is>
          <t>VÄSTERVIK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23024-2025</t>
        </is>
      </c>
      <c r="B1944" s="1" t="n">
        <v>45790</v>
      </c>
      <c r="C1944" s="1" t="n">
        <v>45799</v>
      </c>
      <c r="D1944" t="inlineStr">
        <is>
          <t>KALMAR LÄN</t>
        </is>
      </c>
      <c r="E1944" t="inlineStr">
        <is>
          <t>VÄSTERVIK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23033-2025</t>
        </is>
      </c>
      <c r="B1945" s="1" t="n">
        <v>45790</v>
      </c>
      <c r="C1945" s="1" t="n">
        <v>45799</v>
      </c>
      <c r="D1945" t="inlineStr">
        <is>
          <t>KALMAR LÄN</t>
        </is>
      </c>
      <c r="E1945" t="inlineStr">
        <is>
          <t>VÄSTERVIK</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23042-2025</t>
        </is>
      </c>
      <c r="B1946" s="1" t="n">
        <v>45790</v>
      </c>
      <c r="C1946" s="1" t="n">
        <v>45799</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22891-2025</t>
        </is>
      </c>
      <c r="B1947" s="1" t="n">
        <v>45790</v>
      </c>
      <c r="C1947" s="1" t="n">
        <v>45799</v>
      </c>
      <c r="D1947" t="inlineStr">
        <is>
          <t>KALMAR LÄN</t>
        </is>
      </c>
      <c r="E1947" t="inlineStr">
        <is>
          <t>VÄSTERVIK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22893-2025</t>
        </is>
      </c>
      <c r="B1948" s="1" t="n">
        <v>45790</v>
      </c>
      <c r="C1948" s="1" t="n">
        <v>45799</v>
      </c>
      <c r="D1948" t="inlineStr">
        <is>
          <t>KALMAR LÄN</t>
        </is>
      </c>
      <c r="E1948" t="inlineStr">
        <is>
          <t>VÄSTERVIK</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23022-2025</t>
        </is>
      </c>
      <c r="B1949" s="1" t="n">
        <v>45790</v>
      </c>
      <c r="C1949" s="1" t="n">
        <v>45799</v>
      </c>
      <c r="D1949" t="inlineStr">
        <is>
          <t>KALMAR LÄN</t>
        </is>
      </c>
      <c r="E1949" t="inlineStr">
        <is>
          <t>VÄSTERVIK</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23148-2025</t>
        </is>
      </c>
      <c r="B1950" s="1" t="n">
        <v>45791</v>
      </c>
      <c r="C1950" s="1" t="n">
        <v>45799</v>
      </c>
      <c r="D1950" t="inlineStr">
        <is>
          <t>KALMAR LÄN</t>
        </is>
      </c>
      <c r="E1950" t="inlineStr">
        <is>
          <t>VÄSTERVIK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23706-2025</t>
        </is>
      </c>
      <c r="B1951" s="1" t="n">
        <v>45793</v>
      </c>
      <c r="C1951" s="1" t="n">
        <v>45799</v>
      </c>
      <c r="D1951" t="inlineStr">
        <is>
          <t>KALMAR LÄN</t>
        </is>
      </c>
      <c r="E1951" t="inlineStr">
        <is>
          <t>VÄSTERVIK</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23739-2025</t>
        </is>
      </c>
      <c r="B1952" s="1" t="n">
        <v>45793</v>
      </c>
      <c r="C1952" s="1" t="n">
        <v>45799</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23859-2025</t>
        </is>
      </c>
      <c r="B1953" s="1" t="n">
        <v>45793</v>
      </c>
      <c r="C1953" s="1" t="n">
        <v>45799</v>
      </c>
      <c r="D1953" t="inlineStr">
        <is>
          <t>KALMAR LÄN</t>
        </is>
      </c>
      <c r="E1953" t="inlineStr">
        <is>
          <t>VÄSTERVIK</t>
        </is>
      </c>
      <c r="F1953" t="inlineStr">
        <is>
          <t>Holmen skog AB</t>
        </is>
      </c>
      <c r="G1953" t="n">
        <v>17.7</v>
      </c>
      <c r="H1953" t="n">
        <v>0</v>
      </c>
      <c r="I1953" t="n">
        <v>0</v>
      </c>
      <c r="J1953" t="n">
        <v>0</v>
      </c>
      <c r="K1953" t="n">
        <v>0</v>
      </c>
      <c r="L1953" t="n">
        <v>0</v>
      </c>
      <c r="M1953" t="n">
        <v>0</v>
      </c>
      <c r="N1953" t="n">
        <v>0</v>
      </c>
      <c r="O1953" t="n">
        <v>0</v>
      </c>
      <c r="P1953" t="n">
        <v>0</v>
      </c>
      <c r="Q1953" t="n">
        <v>0</v>
      </c>
      <c r="R1953" s="2" t="inlineStr"/>
    </row>
    <row r="1954" ht="15" customHeight="1">
      <c r="A1954" t="inlineStr">
        <is>
          <t>A 23745-2025</t>
        </is>
      </c>
      <c r="B1954" s="1" t="n">
        <v>45793</v>
      </c>
      <c r="C1954" s="1" t="n">
        <v>45799</v>
      </c>
      <c r="D1954" t="inlineStr">
        <is>
          <t>KALMAR LÄN</t>
        </is>
      </c>
      <c r="E1954" t="inlineStr">
        <is>
          <t>VÄSTERVIK</t>
        </is>
      </c>
      <c r="F1954" t="inlineStr">
        <is>
          <t>Holmen skog AB</t>
        </is>
      </c>
      <c r="G1954" t="n">
        <v>3.7</v>
      </c>
      <c r="H1954" t="n">
        <v>0</v>
      </c>
      <c r="I1954" t="n">
        <v>0</v>
      </c>
      <c r="J1954" t="n">
        <v>0</v>
      </c>
      <c r="K1954" t="n">
        <v>0</v>
      </c>
      <c r="L1954" t="n">
        <v>0</v>
      </c>
      <c r="M1954" t="n">
        <v>0</v>
      </c>
      <c r="N1954" t="n">
        <v>0</v>
      </c>
      <c r="O1954" t="n">
        <v>0</v>
      </c>
      <c r="P1954" t="n">
        <v>0</v>
      </c>
      <c r="Q1954" t="n">
        <v>0</v>
      </c>
      <c r="R1954" s="2" t="inlineStr"/>
    </row>
    <row r="1955">
      <c r="A1955" t="inlineStr">
        <is>
          <t>A 24212-2025</t>
        </is>
      </c>
      <c r="B1955" s="1" t="n">
        <v>45797</v>
      </c>
      <c r="C1955" s="1" t="n">
        <v>45799</v>
      </c>
      <c r="D1955" t="inlineStr">
        <is>
          <t>KALMAR LÄN</t>
        </is>
      </c>
      <c r="E1955" t="inlineStr">
        <is>
          <t>VÄSTERVIK</t>
        </is>
      </c>
      <c r="G1955" t="n">
        <v>1.9</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2025-05-22T17:08:29Z</dcterms:created>
  <dcterms:modified xmlns:dcterms="http://purl.org/dc/terms/" xmlns:xsi="http://www.w3.org/2001/XMLSchema-instance" xsi:type="dcterms:W3CDTF">2025-05-22T17:08:31Z</dcterms:modified>
</cp:coreProperties>
</file>