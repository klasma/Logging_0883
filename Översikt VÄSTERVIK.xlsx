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45925</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37525-2025</t>
        </is>
      </c>
      <c r="B6" s="1" t="n">
        <v>45877</v>
      </c>
      <c r="C6" s="1" t="n">
        <v>45925</v>
      </c>
      <c r="D6" t="inlineStr">
        <is>
          <t>KALMAR LÄN</t>
        </is>
      </c>
      <c r="E6" t="inlineStr">
        <is>
          <t>VÄSTERVIK</t>
        </is>
      </c>
      <c r="G6" t="n">
        <v>2.4</v>
      </c>
      <c r="H6" t="n">
        <v>8</v>
      </c>
      <c r="I6" t="n">
        <v>2</v>
      </c>
      <c r="J6" t="n">
        <v>6</v>
      </c>
      <c r="K6" t="n">
        <v>1</v>
      </c>
      <c r="L6" t="n">
        <v>1</v>
      </c>
      <c r="M6" t="n">
        <v>0</v>
      </c>
      <c r="N6" t="n">
        <v>0</v>
      </c>
      <c r="O6" t="n">
        <v>8</v>
      </c>
      <c r="P6" t="n">
        <v>2</v>
      </c>
      <c r="Q6" t="n">
        <v>13</v>
      </c>
      <c r="R6" s="2" t="inlineStr">
        <is>
          <t>Tallharticka
Knärot
Entita
Mindre hackspett
Persiljespindling
Spillkråka
Tallticka
Talltita
Blomkålssvamp
Grönpyrola
Gröngöling
Kungsfågel
Tjäder</t>
        </is>
      </c>
      <c r="S6">
        <f>HYPERLINK("https://klasma.github.io/Logging_0883/artfynd/A 37525-2025 artfynd.xlsx", "A 37525-2025")</f>
        <v/>
      </c>
      <c r="T6">
        <f>HYPERLINK("https://klasma.github.io/Logging_0883/kartor/A 37525-2025 karta.png", "A 37525-2025")</f>
        <v/>
      </c>
      <c r="U6">
        <f>HYPERLINK("https://klasma.github.io/Logging_0883/knärot/A 37525-2025 karta knärot.png", "A 37525-2025")</f>
        <v/>
      </c>
      <c r="V6">
        <f>HYPERLINK("https://klasma.github.io/Logging_0883/klagomål/A 37525-2025 FSC-klagomål.docx", "A 37525-2025")</f>
        <v/>
      </c>
      <c r="W6">
        <f>HYPERLINK("https://klasma.github.io/Logging_0883/klagomålsmail/A 37525-2025 FSC-klagomål mail.docx", "A 37525-2025")</f>
        <v/>
      </c>
      <c r="X6">
        <f>HYPERLINK("https://klasma.github.io/Logging_0883/tillsyn/A 37525-2025 tillsynsbegäran.docx", "A 37525-2025")</f>
        <v/>
      </c>
      <c r="Y6">
        <f>HYPERLINK("https://klasma.github.io/Logging_0883/tillsynsmail/A 37525-2025 tillsynsbegäran mail.docx", "A 37525-2025")</f>
        <v/>
      </c>
      <c r="Z6">
        <f>HYPERLINK("https://klasma.github.io/Logging_0883/fåglar/A 37525-2025 prioriterade fågelarter.docx", "A 37525-2025")</f>
        <v/>
      </c>
    </row>
    <row r="7" ht="15" customHeight="1">
      <c r="A7" t="inlineStr">
        <is>
          <t>A 60440-2024</t>
        </is>
      </c>
      <c r="B7" s="1" t="n">
        <v>45643.59024305556</v>
      </c>
      <c r="C7" s="1" t="n">
        <v>45925</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45925</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37023-2021</t>
        </is>
      </c>
      <c r="B9" s="1" t="n">
        <v>44393</v>
      </c>
      <c r="C9" s="1" t="n">
        <v>45925</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45925</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27374-2024</t>
        </is>
      </c>
      <c r="B11" s="1" t="n">
        <v>45473</v>
      </c>
      <c r="C11" s="1" t="n">
        <v>45925</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56737-2023</t>
        </is>
      </c>
      <c r="B12" s="1" t="n">
        <v>45244</v>
      </c>
      <c r="C12" s="1" t="n">
        <v>45925</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55017-2021</t>
        </is>
      </c>
      <c r="B13" s="1" t="n">
        <v>44474</v>
      </c>
      <c r="C13" s="1" t="n">
        <v>45925</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35134-2024</t>
        </is>
      </c>
      <c r="B14" s="1" t="n">
        <v>45530</v>
      </c>
      <c r="C14" s="1" t="n">
        <v>45925</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42892-2025</t>
        </is>
      </c>
      <c r="B15" s="1" t="n">
        <v>45908.66357638889</v>
      </c>
      <c r="C15" s="1" t="n">
        <v>45925</v>
      </c>
      <c r="D15" t="inlineStr">
        <is>
          <t>KALMAR LÄN</t>
        </is>
      </c>
      <c r="E15" t="inlineStr">
        <is>
          <t>VÄSTERVIK</t>
        </is>
      </c>
      <c r="F15" t="inlineStr">
        <is>
          <t>Holmen skog AB</t>
        </is>
      </c>
      <c r="G15" t="n">
        <v>19.3</v>
      </c>
      <c r="H15" t="n">
        <v>4</v>
      </c>
      <c r="I15" t="n">
        <v>3</v>
      </c>
      <c r="J15" t="n">
        <v>4</v>
      </c>
      <c r="K15" t="n">
        <v>1</v>
      </c>
      <c r="L15" t="n">
        <v>0</v>
      </c>
      <c r="M15" t="n">
        <v>0</v>
      </c>
      <c r="N15" t="n">
        <v>0</v>
      </c>
      <c r="O15" t="n">
        <v>5</v>
      </c>
      <c r="P15" t="n">
        <v>1</v>
      </c>
      <c r="Q15" t="n">
        <v>9</v>
      </c>
      <c r="R15" s="2" t="inlineStr">
        <is>
          <t>Knärot
Ekticka
Spillkråka
Talltita
Ullticka
Blomkålssvamp
Grönpyrola
Gullgröppa
Blåsippa</t>
        </is>
      </c>
      <c r="S15">
        <f>HYPERLINK("https://klasma.github.io/Logging_0883/artfynd/A 42892-2025 artfynd.xlsx", "A 42892-2025")</f>
        <v/>
      </c>
      <c r="T15">
        <f>HYPERLINK("https://klasma.github.io/Logging_0883/kartor/A 42892-2025 karta.png", "A 42892-2025")</f>
        <v/>
      </c>
      <c r="U15">
        <f>HYPERLINK("https://klasma.github.io/Logging_0883/knärot/A 42892-2025 karta knärot.png", "A 42892-2025")</f>
        <v/>
      </c>
      <c r="V15">
        <f>HYPERLINK("https://klasma.github.io/Logging_0883/klagomål/A 42892-2025 FSC-klagomål.docx", "A 42892-2025")</f>
        <v/>
      </c>
      <c r="W15">
        <f>HYPERLINK("https://klasma.github.io/Logging_0883/klagomålsmail/A 42892-2025 FSC-klagomål mail.docx", "A 42892-2025")</f>
        <v/>
      </c>
      <c r="X15">
        <f>HYPERLINK("https://klasma.github.io/Logging_0883/tillsyn/A 42892-2025 tillsynsbegäran.docx", "A 42892-2025")</f>
        <v/>
      </c>
      <c r="Y15">
        <f>HYPERLINK("https://klasma.github.io/Logging_0883/tillsynsmail/A 42892-2025 tillsynsbegäran mail.docx", "A 42892-2025")</f>
        <v/>
      </c>
      <c r="Z15">
        <f>HYPERLINK("https://klasma.github.io/Logging_0883/fåglar/A 42892-2025 prioriterade fågelarter.docx", "A 42892-2025")</f>
        <v/>
      </c>
    </row>
    <row r="16" ht="15" customHeight="1">
      <c r="A16" t="inlineStr">
        <is>
          <t>A 15252-2021</t>
        </is>
      </c>
      <c r="B16" s="1" t="n">
        <v>44284</v>
      </c>
      <c r="C16" s="1" t="n">
        <v>45925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20094-2024</t>
        </is>
      </c>
      <c r="B17" s="1" t="n">
        <v>45434</v>
      </c>
      <c r="C17" s="1" t="n">
        <v>45925</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34414-2024</t>
        </is>
      </c>
      <c r="B18" s="1" t="n">
        <v>45525</v>
      </c>
      <c r="C18" s="1" t="n">
        <v>45925</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26281-2024</t>
        </is>
      </c>
      <c r="B19" s="1" t="n">
        <v>45468</v>
      </c>
      <c r="C19" s="1" t="n">
        <v>45925</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45925</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45925</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27378-2024</t>
        </is>
      </c>
      <c r="B22" s="1" t="n">
        <v>45473</v>
      </c>
      <c r="C22" s="1" t="n">
        <v>45925</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34638-2025</t>
        </is>
      </c>
      <c r="B23" s="1" t="n">
        <v>45848.30584490741</v>
      </c>
      <c r="C23" s="1" t="n">
        <v>45925</v>
      </c>
      <c r="D23" t="inlineStr">
        <is>
          <t>KALMAR LÄN</t>
        </is>
      </c>
      <c r="E23" t="inlineStr">
        <is>
          <t>VÄSTERVIK</t>
        </is>
      </c>
      <c r="G23" t="n">
        <v>1.2</v>
      </c>
      <c r="H23" t="n">
        <v>3</v>
      </c>
      <c r="I23" t="n">
        <v>2</v>
      </c>
      <c r="J23" t="n">
        <v>4</v>
      </c>
      <c r="K23" t="n">
        <v>1</v>
      </c>
      <c r="L23" t="n">
        <v>0</v>
      </c>
      <c r="M23" t="n">
        <v>0</v>
      </c>
      <c r="N23" t="n">
        <v>0</v>
      </c>
      <c r="O23" t="n">
        <v>5</v>
      </c>
      <c r="P23" t="n">
        <v>1</v>
      </c>
      <c r="Q23" t="n">
        <v>7</v>
      </c>
      <c r="R23" s="2" t="inlineStr">
        <is>
          <t>Knärot
Bredbrämad bastardsvärmare
Mindre bastardsvärmare
Spillkråka
Talltita
Barkticka
Blomskägglav</t>
        </is>
      </c>
      <c r="S23">
        <f>HYPERLINK("https://klasma.github.io/Logging_0883/artfynd/A 34638-2025 artfynd.xlsx", "A 34638-2025")</f>
        <v/>
      </c>
      <c r="T23">
        <f>HYPERLINK("https://klasma.github.io/Logging_0883/kartor/A 34638-2025 karta.png", "A 34638-2025")</f>
        <v/>
      </c>
      <c r="U23">
        <f>HYPERLINK("https://klasma.github.io/Logging_0883/knärot/A 34638-2025 karta knärot.png", "A 34638-2025")</f>
        <v/>
      </c>
      <c r="V23">
        <f>HYPERLINK("https://klasma.github.io/Logging_0883/klagomål/A 34638-2025 FSC-klagomål.docx", "A 34638-2025")</f>
        <v/>
      </c>
      <c r="W23">
        <f>HYPERLINK("https://klasma.github.io/Logging_0883/klagomålsmail/A 34638-2025 FSC-klagomål mail.docx", "A 34638-2025")</f>
        <v/>
      </c>
      <c r="X23">
        <f>HYPERLINK("https://klasma.github.io/Logging_0883/tillsyn/A 34638-2025 tillsynsbegäran.docx", "A 34638-2025")</f>
        <v/>
      </c>
      <c r="Y23">
        <f>HYPERLINK("https://klasma.github.io/Logging_0883/tillsynsmail/A 34638-2025 tillsynsbegäran mail.docx", "A 34638-2025")</f>
        <v/>
      </c>
      <c r="Z23">
        <f>HYPERLINK("https://klasma.github.io/Logging_0883/fåglar/A 34638-2025 prioriterade fågelarter.docx", "A 34638-2025")</f>
        <v/>
      </c>
    </row>
    <row r="24" ht="15" customHeight="1">
      <c r="A24" t="inlineStr">
        <is>
          <t>A 59457-2024</t>
        </is>
      </c>
      <c r="B24" s="1" t="n">
        <v>45638</v>
      </c>
      <c r="C24" s="1" t="n">
        <v>45925</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51597-2024</t>
        </is>
      </c>
      <c r="B25" s="1" t="n">
        <v>45604</v>
      </c>
      <c r="C25" s="1" t="n">
        <v>45925</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31082-2024</t>
        </is>
      </c>
      <c r="B26" s="1" t="n">
        <v>45502</v>
      </c>
      <c r="C26" s="1" t="n">
        <v>45925</v>
      </c>
      <c r="D26" t="inlineStr">
        <is>
          <t>KALMAR LÄN</t>
        </is>
      </c>
      <c r="E26" t="inlineStr">
        <is>
          <t>VÄSTERVIK</t>
        </is>
      </c>
      <c r="F26" t="inlineStr">
        <is>
          <t>Holmen skog AB</t>
        </is>
      </c>
      <c r="G26" t="n">
        <v>8</v>
      </c>
      <c r="H26" t="n">
        <v>3</v>
      </c>
      <c r="I26" t="n">
        <v>3</v>
      </c>
      <c r="J26" t="n">
        <v>2</v>
      </c>
      <c r="K26" t="n">
        <v>1</v>
      </c>
      <c r="L26" t="n">
        <v>0</v>
      </c>
      <c r="M26" t="n">
        <v>0</v>
      </c>
      <c r="N26" t="n">
        <v>0</v>
      </c>
      <c r="O26" t="n">
        <v>3</v>
      </c>
      <c r="P26" t="n">
        <v>1</v>
      </c>
      <c r="Q26" t="n">
        <v>7</v>
      </c>
      <c r="R26" s="2" t="inlineStr">
        <is>
          <t>Knärot
Orange taggsvamp
Talltita
Blåmossa
Dropptaggsvamp
Zontaggsvamp
Tjäder</t>
        </is>
      </c>
      <c r="S26">
        <f>HYPERLINK("https://klasma.github.io/Logging_0883/artfynd/A 31082-2024 artfynd.xlsx", "A 31082-2024")</f>
        <v/>
      </c>
      <c r="T26">
        <f>HYPERLINK("https://klasma.github.io/Logging_0883/kartor/A 31082-2024 karta.png", "A 31082-2024")</f>
        <v/>
      </c>
      <c r="U26">
        <f>HYPERLINK("https://klasma.github.io/Logging_0883/knärot/A 31082-2024 karta knärot.png", "A 31082-2024")</f>
        <v/>
      </c>
      <c r="V26">
        <f>HYPERLINK("https://klasma.github.io/Logging_0883/klagomål/A 31082-2024 FSC-klagomål.docx", "A 31082-2024")</f>
        <v/>
      </c>
      <c r="W26">
        <f>HYPERLINK("https://klasma.github.io/Logging_0883/klagomålsmail/A 31082-2024 FSC-klagomål mail.docx", "A 31082-2024")</f>
        <v/>
      </c>
      <c r="X26">
        <f>HYPERLINK("https://klasma.github.io/Logging_0883/tillsyn/A 31082-2024 tillsynsbegäran.docx", "A 31082-2024")</f>
        <v/>
      </c>
      <c r="Y26">
        <f>HYPERLINK("https://klasma.github.io/Logging_0883/tillsynsmail/A 31082-2024 tillsynsbegäran mail.docx", "A 31082-2024")</f>
        <v/>
      </c>
      <c r="Z26">
        <f>HYPERLINK("https://klasma.github.io/Logging_0883/fåglar/A 31082-2024 prioriterade fågelarter.docx", "A 31082-2024")</f>
        <v/>
      </c>
    </row>
    <row r="27" ht="15" customHeight="1">
      <c r="A27" t="inlineStr">
        <is>
          <t>A 16996-2025</t>
        </is>
      </c>
      <c r="B27" s="1" t="n">
        <v>45755.51844907407</v>
      </c>
      <c r="C27" s="1" t="n">
        <v>45925</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4397-2025</t>
        </is>
      </c>
      <c r="B28" s="1" t="n">
        <v>45686</v>
      </c>
      <c r="C28" s="1" t="n">
        <v>45925</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39298-2024</t>
        </is>
      </c>
      <c r="B29" s="1" t="n">
        <v>45551</v>
      </c>
      <c r="C29" s="1" t="n">
        <v>45925</v>
      </c>
      <c r="D29" t="inlineStr">
        <is>
          <t>KALMAR LÄN</t>
        </is>
      </c>
      <c r="E29" t="inlineStr">
        <is>
          <t>VÄSTERVIK</t>
        </is>
      </c>
      <c r="G29" t="n">
        <v>1.2</v>
      </c>
      <c r="H29" t="n">
        <v>3</v>
      </c>
      <c r="I29" t="n">
        <v>5</v>
      </c>
      <c r="J29" t="n">
        <v>1</v>
      </c>
      <c r="K29" t="n">
        <v>1</v>
      </c>
      <c r="L29" t="n">
        <v>0</v>
      </c>
      <c r="M29" t="n">
        <v>0</v>
      </c>
      <c r="N29" t="n">
        <v>0</v>
      </c>
      <c r="O29" t="n">
        <v>2</v>
      </c>
      <c r="P29" t="n">
        <v>1</v>
      </c>
      <c r="Q29" t="n">
        <v>7</v>
      </c>
      <c r="R29" s="2" t="inlineStr">
        <is>
          <t>Knärot
Talltita
Dropptaggsvamp
Grön sköldmossa
Grönpyrola
Rödgul trumpetsvamp
Stubbspretmossa</t>
        </is>
      </c>
      <c r="S29">
        <f>HYPERLINK("https://klasma.github.io/Logging_0883/artfynd/A 39298-2024 artfynd.xlsx", "A 39298-2024")</f>
        <v/>
      </c>
      <c r="T29">
        <f>HYPERLINK("https://klasma.github.io/Logging_0883/kartor/A 39298-2024 karta.png", "A 39298-2024")</f>
        <v/>
      </c>
      <c r="U29">
        <f>HYPERLINK("https://klasma.github.io/Logging_0883/knärot/A 39298-2024 karta knärot.png", "A 39298-2024")</f>
        <v/>
      </c>
      <c r="V29">
        <f>HYPERLINK("https://klasma.github.io/Logging_0883/klagomål/A 39298-2024 FSC-klagomål.docx", "A 39298-2024")</f>
        <v/>
      </c>
      <c r="W29">
        <f>HYPERLINK("https://klasma.github.io/Logging_0883/klagomålsmail/A 39298-2024 FSC-klagomål mail.docx", "A 39298-2024")</f>
        <v/>
      </c>
      <c r="X29">
        <f>HYPERLINK("https://klasma.github.io/Logging_0883/tillsyn/A 39298-2024 tillsynsbegäran.docx", "A 39298-2024")</f>
        <v/>
      </c>
      <c r="Y29">
        <f>HYPERLINK("https://klasma.github.io/Logging_0883/tillsynsmail/A 39298-2024 tillsynsbegäran mail.docx", "A 39298-2024")</f>
        <v/>
      </c>
      <c r="Z29">
        <f>HYPERLINK("https://klasma.github.io/Logging_0883/fåglar/A 39298-2024 prioriterade fågelarter.docx", "A 39298-2024")</f>
        <v/>
      </c>
    </row>
    <row r="30" ht="15" customHeight="1">
      <c r="A30" t="inlineStr">
        <is>
          <t>A 63850-2021</t>
        </is>
      </c>
      <c r="B30" s="1" t="n">
        <v>44505</v>
      </c>
      <c r="C30" s="1" t="n">
        <v>45925</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23021-2025</t>
        </is>
      </c>
      <c r="B31" s="1" t="n">
        <v>45790</v>
      </c>
      <c r="C31" s="1" t="n">
        <v>45925</v>
      </c>
      <c r="D31" t="inlineStr">
        <is>
          <t>KALMAR LÄN</t>
        </is>
      </c>
      <c r="E31" t="inlineStr">
        <is>
          <t>VÄSTERVIK</t>
        </is>
      </c>
      <c r="G31" t="n">
        <v>5</v>
      </c>
      <c r="H31" t="n">
        <v>5</v>
      </c>
      <c r="I31" t="n">
        <v>0</v>
      </c>
      <c r="J31" t="n">
        <v>5</v>
      </c>
      <c r="K31" t="n">
        <v>1</v>
      </c>
      <c r="L31" t="n">
        <v>0</v>
      </c>
      <c r="M31" t="n">
        <v>0</v>
      </c>
      <c r="N31" t="n">
        <v>0</v>
      </c>
      <c r="O31" t="n">
        <v>6</v>
      </c>
      <c r="P31" t="n">
        <v>1</v>
      </c>
      <c r="Q31" t="n">
        <v>7</v>
      </c>
      <c r="R31" s="2" t="inlineStr">
        <is>
          <t>Stare
Grönsångare
Mindre hackspett
Spillkråka
Tallticka
Vintertagging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26574-2025</t>
        </is>
      </c>
      <c r="B32" s="1" t="n">
        <v>45807.68491898148</v>
      </c>
      <c r="C32" s="1" t="n">
        <v>45925</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34624-2022</t>
        </is>
      </c>
      <c r="B33" s="1" t="n">
        <v>44795</v>
      </c>
      <c r="C33" s="1" t="n">
        <v>45925</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71188-2021</t>
        </is>
      </c>
      <c r="B34" s="1" t="n">
        <v>44539</v>
      </c>
      <c r="C34" s="1" t="n">
        <v>45925</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45925</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34642-2025</t>
        </is>
      </c>
      <c r="B36" s="1" t="n">
        <v>45848.32703703704</v>
      </c>
      <c r="C36" s="1" t="n">
        <v>45925</v>
      </c>
      <c r="D36" t="inlineStr">
        <is>
          <t>KALMAR LÄN</t>
        </is>
      </c>
      <c r="E36" t="inlineStr">
        <is>
          <t>VÄSTERVIK</t>
        </is>
      </c>
      <c r="G36" t="n">
        <v>1.8</v>
      </c>
      <c r="H36" t="n">
        <v>3</v>
      </c>
      <c r="I36" t="n">
        <v>2</v>
      </c>
      <c r="J36" t="n">
        <v>3</v>
      </c>
      <c r="K36" t="n">
        <v>1</v>
      </c>
      <c r="L36" t="n">
        <v>0</v>
      </c>
      <c r="M36" t="n">
        <v>0</v>
      </c>
      <c r="N36" t="n">
        <v>0</v>
      </c>
      <c r="O36" t="n">
        <v>4</v>
      </c>
      <c r="P36" t="n">
        <v>1</v>
      </c>
      <c r="Q36" t="n">
        <v>6</v>
      </c>
      <c r="R36" s="2" t="inlineStr">
        <is>
          <t>Knärot
Spillkråka
Tallticka
Talltita
Blåmossa
Grönpyrola</t>
        </is>
      </c>
      <c r="S36">
        <f>HYPERLINK("https://klasma.github.io/Logging_0883/artfynd/A 34642-2025 artfynd.xlsx", "A 34642-2025")</f>
        <v/>
      </c>
      <c r="T36">
        <f>HYPERLINK("https://klasma.github.io/Logging_0883/kartor/A 34642-2025 karta.png", "A 34642-2025")</f>
        <v/>
      </c>
      <c r="U36">
        <f>HYPERLINK("https://klasma.github.io/Logging_0883/knärot/A 34642-2025 karta knärot.png", "A 34642-2025")</f>
        <v/>
      </c>
      <c r="V36">
        <f>HYPERLINK("https://klasma.github.io/Logging_0883/klagomål/A 34642-2025 FSC-klagomål.docx", "A 34642-2025")</f>
        <v/>
      </c>
      <c r="W36">
        <f>HYPERLINK("https://klasma.github.io/Logging_0883/klagomålsmail/A 34642-2025 FSC-klagomål mail.docx", "A 34642-2025")</f>
        <v/>
      </c>
      <c r="X36">
        <f>HYPERLINK("https://klasma.github.io/Logging_0883/tillsyn/A 34642-2025 tillsynsbegäran.docx", "A 34642-2025")</f>
        <v/>
      </c>
      <c r="Y36">
        <f>HYPERLINK("https://klasma.github.io/Logging_0883/tillsynsmail/A 34642-2025 tillsynsbegäran mail.docx", "A 34642-2025")</f>
        <v/>
      </c>
      <c r="Z36">
        <f>HYPERLINK("https://klasma.github.io/Logging_0883/fåglar/A 34642-2025 prioriterade fågelarter.docx", "A 34642-2025")</f>
        <v/>
      </c>
    </row>
    <row r="37" ht="15" customHeight="1">
      <c r="A37" t="inlineStr">
        <is>
          <t>A 974-2023</t>
        </is>
      </c>
      <c r="B37" s="1" t="n">
        <v>44935</v>
      </c>
      <c r="C37" s="1" t="n">
        <v>45925</v>
      </c>
      <c r="D37" t="inlineStr">
        <is>
          <t>KALMAR LÄN</t>
        </is>
      </c>
      <c r="E37" t="inlineStr">
        <is>
          <t>VÄSTERVIK</t>
        </is>
      </c>
      <c r="G37" t="n">
        <v>7.2</v>
      </c>
      <c r="H37" t="n">
        <v>1</v>
      </c>
      <c r="I37" t="n">
        <v>5</v>
      </c>
      <c r="J37" t="n">
        <v>0</v>
      </c>
      <c r="K37" t="n">
        <v>1</v>
      </c>
      <c r="L37" t="n">
        <v>0</v>
      </c>
      <c r="M37" t="n">
        <v>0</v>
      </c>
      <c r="N37" t="n">
        <v>0</v>
      </c>
      <c r="O37" t="n">
        <v>1</v>
      </c>
      <c r="P37" t="n">
        <v>1</v>
      </c>
      <c r="Q37" t="n">
        <v>6</v>
      </c>
      <c r="R37" s="2" t="inlineStr">
        <is>
          <t>Läderbagge
Blanksvart trämyra
Fällmossa
Guldlockmossa
Gulpudrad spiklav
Myskmadra</t>
        </is>
      </c>
      <c r="S37">
        <f>HYPERLINK("https://klasma.github.io/Logging_0883/artfynd/A 974-2023 artfynd.xlsx", "A 974-2023")</f>
        <v/>
      </c>
      <c r="T37">
        <f>HYPERLINK("https://klasma.github.io/Logging_0883/kartor/A 974-2023 karta.png", "A 974-2023")</f>
        <v/>
      </c>
      <c r="V37">
        <f>HYPERLINK("https://klasma.github.io/Logging_0883/klagomål/A 974-2023 FSC-klagomål.docx", "A 974-2023")</f>
        <v/>
      </c>
      <c r="W37">
        <f>HYPERLINK("https://klasma.github.io/Logging_0883/klagomålsmail/A 974-2023 FSC-klagomål mail.docx", "A 974-2023")</f>
        <v/>
      </c>
      <c r="X37">
        <f>HYPERLINK("https://klasma.github.io/Logging_0883/tillsyn/A 974-2023 tillsynsbegäran.docx", "A 974-2023")</f>
        <v/>
      </c>
      <c r="Y37">
        <f>HYPERLINK("https://klasma.github.io/Logging_0883/tillsynsmail/A 974-2023 tillsynsbegäran mail.docx", "A 974-2023")</f>
        <v/>
      </c>
    </row>
    <row r="38" ht="15" customHeight="1">
      <c r="A38" t="inlineStr">
        <is>
          <t>A 47936-2023</t>
        </is>
      </c>
      <c r="B38" s="1" t="n">
        <v>45204</v>
      </c>
      <c r="C38" s="1" t="n">
        <v>45925</v>
      </c>
      <c r="D38" t="inlineStr">
        <is>
          <t>KALMAR LÄN</t>
        </is>
      </c>
      <c r="E38" t="inlineStr">
        <is>
          <t>VÄSTERVIK</t>
        </is>
      </c>
      <c r="G38" t="n">
        <v>6.3</v>
      </c>
      <c r="H38" t="n">
        <v>2</v>
      </c>
      <c r="I38" t="n">
        <v>4</v>
      </c>
      <c r="J38" t="n">
        <v>1</v>
      </c>
      <c r="K38" t="n">
        <v>1</v>
      </c>
      <c r="L38" t="n">
        <v>0</v>
      </c>
      <c r="M38" t="n">
        <v>0</v>
      </c>
      <c r="N38" t="n">
        <v>0</v>
      </c>
      <c r="O38" t="n">
        <v>2</v>
      </c>
      <c r="P38" t="n">
        <v>1</v>
      </c>
      <c r="Q38" t="n">
        <v>6</v>
      </c>
      <c r="R38" s="2" t="inlineStr">
        <is>
          <t>Knärot
Talltita
Blomkålssvamp
Blåmossa
Grovticka
Grönpyrola</t>
        </is>
      </c>
      <c r="S38">
        <f>HYPERLINK("https://klasma.github.io/Logging_0883/artfynd/A 47936-2023 artfynd.xlsx", "A 47936-2023")</f>
        <v/>
      </c>
      <c r="T38">
        <f>HYPERLINK("https://klasma.github.io/Logging_0883/kartor/A 47936-2023 karta.png", "A 47936-2023")</f>
        <v/>
      </c>
      <c r="U38">
        <f>HYPERLINK("https://klasma.github.io/Logging_0883/knärot/A 47936-2023 karta knärot.png", "A 47936-2023")</f>
        <v/>
      </c>
      <c r="V38">
        <f>HYPERLINK("https://klasma.github.io/Logging_0883/klagomål/A 47936-2023 FSC-klagomål.docx", "A 47936-2023")</f>
        <v/>
      </c>
      <c r="W38">
        <f>HYPERLINK("https://klasma.github.io/Logging_0883/klagomålsmail/A 47936-2023 FSC-klagomål mail.docx", "A 47936-2023")</f>
        <v/>
      </c>
      <c r="X38">
        <f>HYPERLINK("https://klasma.github.io/Logging_0883/tillsyn/A 47936-2023 tillsynsbegäran.docx", "A 47936-2023")</f>
        <v/>
      </c>
      <c r="Y38">
        <f>HYPERLINK("https://klasma.github.io/Logging_0883/tillsynsmail/A 47936-2023 tillsynsbegäran mail.docx", "A 47936-2023")</f>
        <v/>
      </c>
      <c r="Z38">
        <f>HYPERLINK("https://klasma.github.io/Logging_0883/fåglar/A 47936-2023 prioriterade fågelarter.docx", "A 47936-2023")</f>
        <v/>
      </c>
    </row>
    <row r="39" ht="15" customHeight="1">
      <c r="A39" t="inlineStr">
        <is>
          <t>A 52046-2024</t>
        </is>
      </c>
      <c r="B39" s="1" t="n">
        <v>45608</v>
      </c>
      <c r="C39" s="1" t="n">
        <v>45925</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52916-2020</t>
        </is>
      </c>
      <c r="B40" s="1" t="n">
        <v>44120</v>
      </c>
      <c r="C40" s="1" t="n">
        <v>45925</v>
      </c>
      <c r="D40" t="inlineStr">
        <is>
          <t>KALMAR LÄN</t>
        </is>
      </c>
      <c r="E40" t="inlineStr">
        <is>
          <t>VÄSTERVIK</t>
        </is>
      </c>
      <c r="G40" t="n">
        <v>1.2</v>
      </c>
      <c r="H40" t="n">
        <v>2</v>
      </c>
      <c r="I40" t="n">
        <v>2</v>
      </c>
      <c r="J40" t="n">
        <v>3</v>
      </c>
      <c r="K40" t="n">
        <v>1</v>
      </c>
      <c r="L40" t="n">
        <v>0</v>
      </c>
      <c r="M40" t="n">
        <v>0</v>
      </c>
      <c r="N40" t="n">
        <v>0</v>
      </c>
      <c r="O40" t="n">
        <v>4</v>
      </c>
      <c r="P40" t="n">
        <v>1</v>
      </c>
      <c r="Q40" t="n">
        <v>6</v>
      </c>
      <c r="R40" s="2" t="inlineStr">
        <is>
          <t>Knärot
Orange taggsvamp
Svart taggsvamp
Talltita
Blomkålssvamp
Dropptaggsvamp</t>
        </is>
      </c>
      <c r="S40">
        <f>HYPERLINK("https://klasma.github.io/Logging_0883/artfynd/A 52916-2020 artfynd.xlsx", "A 52916-2020")</f>
        <v/>
      </c>
      <c r="T40">
        <f>HYPERLINK("https://klasma.github.io/Logging_0883/kartor/A 52916-2020 karta.png", "A 52916-2020")</f>
        <v/>
      </c>
      <c r="U40">
        <f>HYPERLINK("https://klasma.github.io/Logging_0883/knärot/A 52916-2020 karta knärot.png", "A 52916-2020")</f>
        <v/>
      </c>
      <c r="V40">
        <f>HYPERLINK("https://klasma.github.io/Logging_0883/klagomål/A 52916-2020 FSC-klagomål.docx", "A 52916-2020")</f>
        <v/>
      </c>
      <c r="W40">
        <f>HYPERLINK("https://klasma.github.io/Logging_0883/klagomålsmail/A 52916-2020 FSC-klagomål mail.docx", "A 52916-2020")</f>
        <v/>
      </c>
      <c r="X40">
        <f>HYPERLINK("https://klasma.github.io/Logging_0883/tillsyn/A 52916-2020 tillsynsbegäran.docx", "A 52916-2020")</f>
        <v/>
      </c>
      <c r="Y40">
        <f>HYPERLINK("https://klasma.github.io/Logging_0883/tillsynsmail/A 52916-2020 tillsynsbegäran mail.docx", "A 52916-2020")</f>
        <v/>
      </c>
      <c r="Z40">
        <f>HYPERLINK("https://klasma.github.io/Logging_0883/fåglar/A 52916-2020 prioriterade fågelarter.docx", "A 52916-2020")</f>
        <v/>
      </c>
    </row>
    <row r="41" ht="15" customHeight="1">
      <c r="A41" t="inlineStr">
        <is>
          <t>A 27379-2024</t>
        </is>
      </c>
      <c r="B41" s="1" t="n">
        <v>45473</v>
      </c>
      <c r="C41" s="1" t="n">
        <v>45925</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5067-2025</t>
        </is>
      </c>
      <c r="B42" s="1" t="n">
        <v>45691</v>
      </c>
      <c r="C42" s="1" t="n">
        <v>45925</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11740-2023</t>
        </is>
      </c>
      <c r="B43" s="1" t="n">
        <v>44994</v>
      </c>
      <c r="C43" s="1" t="n">
        <v>45925</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42888-2025</t>
        </is>
      </c>
      <c r="B44" s="1" t="n">
        <v>45908.65443287037</v>
      </c>
      <c r="C44" s="1" t="n">
        <v>45925</v>
      </c>
      <c r="D44" t="inlineStr">
        <is>
          <t>KALMAR LÄN</t>
        </is>
      </c>
      <c r="E44" t="inlineStr">
        <is>
          <t>VÄSTERVIK</t>
        </is>
      </c>
      <c r="F44" t="inlineStr">
        <is>
          <t>Holmen skog AB</t>
        </is>
      </c>
      <c r="G44" t="n">
        <v>4.2</v>
      </c>
      <c r="H44" t="n">
        <v>3</v>
      </c>
      <c r="I44" t="n">
        <v>1</v>
      </c>
      <c r="J44" t="n">
        <v>3</v>
      </c>
      <c r="K44" t="n">
        <v>1</v>
      </c>
      <c r="L44" t="n">
        <v>0</v>
      </c>
      <c r="M44" t="n">
        <v>0</v>
      </c>
      <c r="N44" t="n">
        <v>0</v>
      </c>
      <c r="O44" t="n">
        <v>4</v>
      </c>
      <c r="P44" t="n">
        <v>1</v>
      </c>
      <c r="Q44" t="n">
        <v>6</v>
      </c>
      <c r="R44" s="2" t="inlineStr">
        <is>
          <t>Knärot
Ekticka
Tallticka
Ullticka
Grön sköldmossa
Blåsippa</t>
        </is>
      </c>
      <c r="S44">
        <f>HYPERLINK("https://klasma.github.io/Logging_0883/artfynd/A 42888-2025 artfynd.xlsx", "A 42888-2025")</f>
        <v/>
      </c>
      <c r="T44">
        <f>HYPERLINK("https://klasma.github.io/Logging_0883/kartor/A 42888-2025 karta.png", "A 42888-2025")</f>
        <v/>
      </c>
      <c r="U44">
        <f>HYPERLINK("https://klasma.github.io/Logging_0883/knärot/A 42888-2025 karta knärot.png", "A 42888-2025")</f>
        <v/>
      </c>
      <c r="V44">
        <f>HYPERLINK("https://klasma.github.io/Logging_0883/klagomål/A 42888-2025 FSC-klagomål.docx", "A 42888-2025")</f>
        <v/>
      </c>
      <c r="W44">
        <f>HYPERLINK("https://klasma.github.io/Logging_0883/klagomålsmail/A 42888-2025 FSC-klagomål mail.docx", "A 42888-2025")</f>
        <v/>
      </c>
      <c r="X44">
        <f>HYPERLINK("https://klasma.github.io/Logging_0883/tillsyn/A 42888-2025 tillsynsbegäran.docx", "A 42888-2025")</f>
        <v/>
      </c>
      <c r="Y44">
        <f>HYPERLINK("https://klasma.github.io/Logging_0883/tillsynsmail/A 42888-2025 tillsynsbegäran mail.docx", "A 42888-2025")</f>
        <v/>
      </c>
    </row>
    <row r="45" ht="15" customHeight="1">
      <c r="A45" t="inlineStr">
        <is>
          <t>A 5922-2024</t>
        </is>
      </c>
      <c r="B45" s="1" t="n">
        <v>45335</v>
      </c>
      <c r="C45" s="1" t="n">
        <v>45925</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4456-2025</t>
        </is>
      </c>
      <c r="B46" s="1" t="n">
        <v>45686</v>
      </c>
      <c r="C46" s="1" t="n">
        <v>45925</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39295-2024</t>
        </is>
      </c>
      <c r="B47" s="1" t="n">
        <v>45551</v>
      </c>
      <c r="C47" s="1" t="n">
        <v>45925</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55286-2023</t>
        </is>
      </c>
      <c r="B48" s="1" t="n">
        <v>45237</v>
      </c>
      <c r="C48" s="1" t="n">
        <v>45925</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2806-2025</t>
        </is>
      </c>
      <c r="B49" s="1" t="n">
        <v>45677</v>
      </c>
      <c r="C49" s="1" t="n">
        <v>45925</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54334-2024</t>
        </is>
      </c>
      <c r="B50" s="1" t="n">
        <v>45617.38247685185</v>
      </c>
      <c r="C50" s="1" t="n">
        <v>45925</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27737-2024</t>
        </is>
      </c>
      <c r="B51" s="1" t="n">
        <v>45475</v>
      </c>
      <c r="C51" s="1" t="n">
        <v>45925</v>
      </c>
      <c r="D51" t="inlineStr">
        <is>
          <t>KALMAR LÄN</t>
        </is>
      </c>
      <c r="E51" t="inlineStr">
        <is>
          <t>VÄSTERVIK</t>
        </is>
      </c>
      <c r="F51" t="inlineStr">
        <is>
          <t>Holmen skog AB</t>
        </is>
      </c>
      <c r="G51" t="n">
        <v>2.7</v>
      </c>
      <c r="H51" t="n">
        <v>2</v>
      </c>
      <c r="I51" t="n">
        <v>0</v>
      </c>
      <c r="J51" t="n">
        <v>4</v>
      </c>
      <c r="K51" t="n">
        <v>0</v>
      </c>
      <c r="L51" t="n">
        <v>0</v>
      </c>
      <c r="M51" t="n">
        <v>0</v>
      </c>
      <c r="N51" t="n">
        <v>0</v>
      </c>
      <c r="O51" t="n">
        <v>4</v>
      </c>
      <c r="P51" t="n">
        <v>0</v>
      </c>
      <c r="Q51" t="n">
        <v>5</v>
      </c>
      <c r="R51" s="2" t="inlineStr">
        <is>
          <t>Ekticka
Oxtungssvamp
Spillkråka
Ullticka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781-2023</t>
        </is>
      </c>
      <c r="B52" s="1" t="n">
        <v>44931</v>
      </c>
      <c r="C52" s="1" t="n">
        <v>45925</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58727-2024</t>
        </is>
      </c>
      <c r="B53" s="1" t="n">
        <v>45635</v>
      </c>
      <c r="C53" s="1" t="n">
        <v>45925</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45925</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51923-2022</t>
        </is>
      </c>
      <c r="B55" s="1" t="n">
        <v>44868</v>
      </c>
      <c r="C55" s="1" t="n">
        <v>45925</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12335-2025</t>
        </is>
      </c>
      <c r="B56" s="1" t="n">
        <v>45730</v>
      </c>
      <c r="C56" s="1" t="n">
        <v>45925</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27380-2024</t>
        </is>
      </c>
      <c r="B57" s="1" t="n">
        <v>45473</v>
      </c>
      <c r="C57" s="1" t="n">
        <v>45925</v>
      </c>
      <c r="D57" t="inlineStr">
        <is>
          <t>KALMAR LÄN</t>
        </is>
      </c>
      <c r="E57" t="inlineStr">
        <is>
          <t>VÄSTERVIK</t>
        </is>
      </c>
      <c r="G57" t="n">
        <v>1.4</v>
      </c>
      <c r="H57" t="n">
        <v>2</v>
      </c>
      <c r="I57" t="n">
        <v>2</v>
      </c>
      <c r="J57" t="n">
        <v>2</v>
      </c>
      <c r="K57" t="n">
        <v>1</v>
      </c>
      <c r="L57" t="n">
        <v>0</v>
      </c>
      <c r="M57" t="n">
        <v>0</v>
      </c>
      <c r="N57" t="n">
        <v>0</v>
      </c>
      <c r="O57" t="n">
        <v>3</v>
      </c>
      <c r="P57" t="n">
        <v>1</v>
      </c>
      <c r="Q57" t="n">
        <v>5</v>
      </c>
      <c r="R57" s="2" t="inlineStr">
        <is>
          <t>Knärot
Tallticka
Talltita
Dropptaggsvamp
Zontaggsvamp</t>
        </is>
      </c>
      <c r="S57">
        <f>HYPERLINK("https://klasma.github.io/Logging_0883/artfynd/A 27380-2024 artfynd.xlsx", "A 27380-2024")</f>
        <v/>
      </c>
      <c r="T57">
        <f>HYPERLINK("https://klasma.github.io/Logging_0883/kartor/A 27380-2024 karta.png", "A 27380-2024")</f>
        <v/>
      </c>
      <c r="U57">
        <f>HYPERLINK("https://klasma.github.io/Logging_0883/knärot/A 27380-2024 karta knärot.png", "A 27380-2024")</f>
        <v/>
      </c>
      <c r="V57">
        <f>HYPERLINK("https://klasma.github.io/Logging_0883/klagomål/A 27380-2024 FSC-klagomål.docx", "A 27380-2024")</f>
        <v/>
      </c>
      <c r="W57">
        <f>HYPERLINK("https://klasma.github.io/Logging_0883/klagomålsmail/A 27380-2024 FSC-klagomål mail.docx", "A 27380-2024")</f>
        <v/>
      </c>
      <c r="X57">
        <f>HYPERLINK("https://klasma.github.io/Logging_0883/tillsyn/A 27380-2024 tillsynsbegäran.docx", "A 27380-2024")</f>
        <v/>
      </c>
      <c r="Y57">
        <f>HYPERLINK("https://klasma.github.io/Logging_0883/tillsynsmail/A 27380-2024 tillsynsbegäran mail.docx", "A 27380-2024")</f>
        <v/>
      </c>
      <c r="Z57">
        <f>HYPERLINK("https://klasma.github.io/Logging_0883/fåglar/A 27380-2024 prioriterade fågelarter.docx", "A 27380-2024")</f>
        <v/>
      </c>
    </row>
    <row r="58" ht="15" customHeight="1">
      <c r="A58" t="inlineStr">
        <is>
          <t>A 31431-2024</t>
        </is>
      </c>
      <c r="B58" s="1" t="n">
        <v>45505</v>
      </c>
      <c r="C58" s="1" t="n">
        <v>45925</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1779-2025</t>
        </is>
      </c>
      <c r="B59" s="1" t="n">
        <v>45671</v>
      </c>
      <c r="C59" s="1" t="n">
        <v>45925</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48724-2024</t>
        </is>
      </c>
      <c r="B60" s="1" t="n">
        <v>45593.55731481482</v>
      </c>
      <c r="C60" s="1" t="n">
        <v>45925</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31060-2024</t>
        </is>
      </c>
      <c r="B61" s="1" t="n">
        <v>45502</v>
      </c>
      <c r="C61" s="1" t="n">
        <v>45925</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18397-2024</t>
        </is>
      </c>
      <c r="B62" s="1" t="n">
        <v>45425</v>
      </c>
      <c r="C62" s="1" t="n">
        <v>45925</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34644-2025</t>
        </is>
      </c>
      <c r="B63" s="1" t="n">
        <v>45848.33202546297</v>
      </c>
      <c r="C63" s="1" t="n">
        <v>45925</v>
      </c>
      <c r="D63" t="inlineStr">
        <is>
          <t>KALMAR LÄN</t>
        </is>
      </c>
      <c r="E63" t="inlineStr">
        <is>
          <t>VÄSTERVIK</t>
        </is>
      </c>
      <c r="G63" t="n">
        <v>0.5</v>
      </c>
      <c r="H63" t="n">
        <v>2</v>
      </c>
      <c r="I63" t="n">
        <v>1</v>
      </c>
      <c r="J63" t="n">
        <v>2</v>
      </c>
      <c r="K63" t="n">
        <v>1</v>
      </c>
      <c r="L63" t="n">
        <v>0</v>
      </c>
      <c r="M63" t="n">
        <v>0</v>
      </c>
      <c r="N63" t="n">
        <v>0</v>
      </c>
      <c r="O63" t="n">
        <v>3</v>
      </c>
      <c r="P63" t="n">
        <v>1</v>
      </c>
      <c r="Q63" t="n">
        <v>4</v>
      </c>
      <c r="R63" s="2" t="inlineStr">
        <is>
          <t>Knärot
Fyrflikig jordstjärna
Talltita
Blåmossa</t>
        </is>
      </c>
      <c r="S63">
        <f>HYPERLINK("https://klasma.github.io/Logging_0883/artfynd/A 34644-2025 artfynd.xlsx", "A 34644-2025")</f>
        <v/>
      </c>
      <c r="T63">
        <f>HYPERLINK("https://klasma.github.io/Logging_0883/kartor/A 34644-2025 karta.png", "A 34644-2025")</f>
        <v/>
      </c>
      <c r="U63">
        <f>HYPERLINK("https://klasma.github.io/Logging_0883/knärot/A 34644-2025 karta knärot.png", "A 34644-2025")</f>
        <v/>
      </c>
      <c r="V63">
        <f>HYPERLINK("https://klasma.github.io/Logging_0883/klagomål/A 34644-2025 FSC-klagomål.docx", "A 34644-2025")</f>
        <v/>
      </c>
      <c r="W63">
        <f>HYPERLINK("https://klasma.github.io/Logging_0883/klagomålsmail/A 34644-2025 FSC-klagomål mail.docx", "A 34644-2025")</f>
        <v/>
      </c>
      <c r="X63">
        <f>HYPERLINK("https://klasma.github.io/Logging_0883/tillsyn/A 34644-2025 tillsynsbegäran.docx", "A 34644-2025")</f>
        <v/>
      </c>
      <c r="Y63">
        <f>HYPERLINK("https://klasma.github.io/Logging_0883/tillsynsmail/A 34644-2025 tillsynsbegäran mail.docx", "A 34644-2025")</f>
        <v/>
      </c>
      <c r="Z63">
        <f>HYPERLINK("https://klasma.github.io/Logging_0883/fåglar/A 34644-2025 prioriterade fågelarter.docx", "A 34644-2025")</f>
        <v/>
      </c>
    </row>
    <row r="64" ht="15" customHeight="1">
      <c r="A64" t="inlineStr">
        <is>
          <t>A 25534-2024</t>
        </is>
      </c>
      <c r="B64" s="1" t="n">
        <v>45463</v>
      </c>
      <c r="C64" s="1" t="n">
        <v>45925</v>
      </c>
      <c r="D64" t="inlineStr">
        <is>
          <t>KALMAR LÄN</t>
        </is>
      </c>
      <c r="E64" t="inlineStr">
        <is>
          <t>VÄSTERVIK</t>
        </is>
      </c>
      <c r="F64" t="inlineStr">
        <is>
          <t>Holmen skog AB</t>
        </is>
      </c>
      <c r="G64" t="n">
        <v>9.5</v>
      </c>
      <c r="H64" t="n">
        <v>1</v>
      </c>
      <c r="I64" t="n">
        <v>2</v>
      </c>
      <c r="J64" t="n">
        <v>1</v>
      </c>
      <c r="K64" t="n">
        <v>1</v>
      </c>
      <c r="L64" t="n">
        <v>0</v>
      </c>
      <c r="M64" t="n">
        <v>0</v>
      </c>
      <c r="N64" t="n">
        <v>0</v>
      </c>
      <c r="O64" t="n">
        <v>2</v>
      </c>
      <c r="P64" t="n">
        <v>1</v>
      </c>
      <c r="Q64" t="n">
        <v>4</v>
      </c>
      <c r="R64" s="2" t="inlineStr">
        <is>
          <t>Knärot
Tallticka
Brandticka
Bronshjon</t>
        </is>
      </c>
      <c r="S64">
        <f>HYPERLINK("https://klasma.github.io/Logging_0883/artfynd/A 25534-2024 artfynd.xlsx", "A 25534-2024")</f>
        <v/>
      </c>
      <c r="T64">
        <f>HYPERLINK("https://klasma.github.io/Logging_0883/kartor/A 25534-2024 karta.png", "A 25534-2024")</f>
        <v/>
      </c>
      <c r="U64">
        <f>HYPERLINK("https://klasma.github.io/Logging_0883/knärot/A 25534-2024 karta knärot.png", "A 25534-2024")</f>
        <v/>
      </c>
      <c r="V64">
        <f>HYPERLINK("https://klasma.github.io/Logging_0883/klagomål/A 25534-2024 FSC-klagomål.docx", "A 25534-2024")</f>
        <v/>
      </c>
      <c r="W64">
        <f>HYPERLINK("https://klasma.github.io/Logging_0883/klagomålsmail/A 25534-2024 FSC-klagomål mail.docx", "A 25534-2024")</f>
        <v/>
      </c>
      <c r="X64">
        <f>HYPERLINK("https://klasma.github.io/Logging_0883/tillsyn/A 25534-2024 tillsynsbegäran.docx", "A 25534-2024")</f>
        <v/>
      </c>
      <c r="Y64">
        <f>HYPERLINK("https://klasma.github.io/Logging_0883/tillsynsmail/A 25534-2024 tillsynsbegäran mail.docx", "A 25534-2024")</f>
        <v/>
      </c>
    </row>
    <row r="65" ht="15" customHeight="1">
      <c r="A65" t="inlineStr">
        <is>
          <t>A 6472-2025</t>
        </is>
      </c>
      <c r="B65" s="1" t="n">
        <v>45699</v>
      </c>
      <c r="C65" s="1" t="n">
        <v>45925</v>
      </c>
      <c r="D65" t="inlineStr">
        <is>
          <t>KALMAR LÄN</t>
        </is>
      </c>
      <c r="E65" t="inlineStr">
        <is>
          <t>VÄSTERVIK</t>
        </is>
      </c>
      <c r="F65" t="inlineStr">
        <is>
          <t>Holmen skog AB</t>
        </is>
      </c>
      <c r="G65" t="n">
        <v>4.3</v>
      </c>
      <c r="H65" t="n">
        <v>4</v>
      </c>
      <c r="I65" t="n">
        <v>0</v>
      </c>
      <c r="J65" t="n">
        <v>2</v>
      </c>
      <c r="K65" t="n">
        <v>0</v>
      </c>
      <c r="L65" t="n">
        <v>0</v>
      </c>
      <c r="M65" t="n">
        <v>0</v>
      </c>
      <c r="N65" t="n">
        <v>0</v>
      </c>
      <c r="O65" t="n">
        <v>2</v>
      </c>
      <c r="P65" t="n">
        <v>0</v>
      </c>
      <c r="Q65" t="n">
        <v>4</v>
      </c>
      <c r="R65" s="2" t="inlineStr">
        <is>
          <t>Spillkråka
Talltita
Kungsfågel
Revlummer</t>
        </is>
      </c>
      <c r="S65">
        <f>HYPERLINK("https://klasma.github.io/Logging_0883/artfynd/A 6472-2025 artfynd.xlsx", "A 6472-2025")</f>
        <v/>
      </c>
      <c r="T65">
        <f>HYPERLINK("https://klasma.github.io/Logging_0883/kartor/A 6472-2025 karta.png", "A 6472-2025")</f>
        <v/>
      </c>
      <c r="V65">
        <f>HYPERLINK("https://klasma.github.io/Logging_0883/klagomål/A 6472-2025 FSC-klagomål.docx", "A 6472-2025")</f>
        <v/>
      </c>
      <c r="W65">
        <f>HYPERLINK("https://klasma.github.io/Logging_0883/klagomålsmail/A 6472-2025 FSC-klagomål mail.docx", "A 6472-2025")</f>
        <v/>
      </c>
      <c r="X65">
        <f>HYPERLINK("https://klasma.github.io/Logging_0883/tillsyn/A 6472-2025 tillsynsbegäran.docx", "A 6472-2025")</f>
        <v/>
      </c>
      <c r="Y65">
        <f>HYPERLINK("https://klasma.github.io/Logging_0883/tillsynsmail/A 6472-2025 tillsynsbegäran mail.docx", "A 6472-2025")</f>
        <v/>
      </c>
      <c r="Z65">
        <f>HYPERLINK("https://klasma.github.io/Logging_0883/fåglar/A 6472-2025 prioriterade fågelarter.docx", "A 6472-2025")</f>
        <v/>
      </c>
    </row>
    <row r="66" ht="15" customHeight="1">
      <c r="A66" t="inlineStr">
        <is>
          <t>A 35939-2024</t>
        </is>
      </c>
      <c r="B66" s="1" t="n">
        <v>45533.45459490741</v>
      </c>
      <c r="C66" s="1" t="n">
        <v>45925</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59319-2023</t>
        </is>
      </c>
      <c r="B67" s="1" t="n">
        <v>45253</v>
      </c>
      <c r="C67" s="1" t="n">
        <v>45925</v>
      </c>
      <c r="D67" t="inlineStr">
        <is>
          <t>KALMAR LÄN</t>
        </is>
      </c>
      <c r="E67" t="inlineStr">
        <is>
          <t>VÄSTERVIK</t>
        </is>
      </c>
      <c r="G67" t="n">
        <v>1</v>
      </c>
      <c r="H67" t="n">
        <v>1</v>
      </c>
      <c r="I67" t="n">
        <v>2</v>
      </c>
      <c r="J67" t="n">
        <v>0</v>
      </c>
      <c r="K67" t="n">
        <v>1</v>
      </c>
      <c r="L67" t="n">
        <v>1</v>
      </c>
      <c r="M67" t="n">
        <v>0</v>
      </c>
      <c r="N67" t="n">
        <v>0</v>
      </c>
      <c r="O67" t="n">
        <v>2</v>
      </c>
      <c r="P67" t="n">
        <v>2</v>
      </c>
      <c r="Q67" t="n">
        <v>4</v>
      </c>
      <c r="R67" s="2" t="inlineStr">
        <is>
          <t>Tallharticka
Knärot
Blomkålssvamp
Grönpyrola</t>
        </is>
      </c>
      <c r="S67">
        <f>HYPERLINK("https://klasma.github.io/Logging_0883/artfynd/A 59319-2023 artfynd.xlsx", "A 59319-2023")</f>
        <v/>
      </c>
      <c r="T67">
        <f>HYPERLINK("https://klasma.github.io/Logging_0883/kartor/A 59319-2023 karta.png", "A 59319-2023")</f>
        <v/>
      </c>
      <c r="U67">
        <f>HYPERLINK("https://klasma.github.io/Logging_0883/knärot/A 59319-2023 karta knärot.png", "A 59319-2023")</f>
        <v/>
      </c>
      <c r="V67">
        <f>HYPERLINK("https://klasma.github.io/Logging_0883/klagomål/A 59319-2023 FSC-klagomål.docx", "A 59319-2023")</f>
        <v/>
      </c>
      <c r="W67">
        <f>HYPERLINK("https://klasma.github.io/Logging_0883/klagomålsmail/A 59319-2023 FSC-klagomål mail.docx", "A 59319-2023")</f>
        <v/>
      </c>
      <c r="X67">
        <f>HYPERLINK("https://klasma.github.io/Logging_0883/tillsyn/A 59319-2023 tillsynsbegäran.docx", "A 59319-2023")</f>
        <v/>
      </c>
      <c r="Y67">
        <f>HYPERLINK("https://klasma.github.io/Logging_0883/tillsynsmail/A 59319-2023 tillsynsbegäran mail.docx", "A 59319-2023")</f>
        <v/>
      </c>
    </row>
    <row r="68" ht="15" customHeight="1">
      <c r="A68" t="inlineStr">
        <is>
          <t>A 938-2024</t>
        </is>
      </c>
      <c r="B68" s="1" t="n">
        <v>45301</v>
      </c>
      <c r="C68" s="1" t="n">
        <v>45925</v>
      </c>
      <c r="D68" t="inlineStr">
        <is>
          <t>KALMAR LÄN</t>
        </is>
      </c>
      <c r="E68" t="inlineStr">
        <is>
          <t>VÄSTERVIK</t>
        </is>
      </c>
      <c r="G68" t="n">
        <v>10</v>
      </c>
      <c r="H68" t="n">
        <v>1</v>
      </c>
      <c r="I68" t="n">
        <v>0</v>
      </c>
      <c r="J68" t="n">
        <v>3</v>
      </c>
      <c r="K68" t="n">
        <v>0</v>
      </c>
      <c r="L68" t="n">
        <v>0</v>
      </c>
      <c r="M68" t="n">
        <v>0</v>
      </c>
      <c r="N68" t="n">
        <v>0</v>
      </c>
      <c r="O68" t="n">
        <v>3</v>
      </c>
      <c r="P68" t="n">
        <v>0</v>
      </c>
      <c r="Q68" t="n">
        <v>4</v>
      </c>
      <c r="R68" s="2" t="inlineStr">
        <is>
          <t>Reliktbock
Tallticka
Vintertagging
Tjäder</t>
        </is>
      </c>
      <c r="S68">
        <f>HYPERLINK("https://klasma.github.io/Logging_0883/artfynd/A 938-2024 artfynd.xlsx", "A 938-2024")</f>
        <v/>
      </c>
      <c r="T68">
        <f>HYPERLINK("https://klasma.github.io/Logging_0883/kartor/A 938-2024 karta.png", "A 938-2024")</f>
        <v/>
      </c>
      <c r="V68">
        <f>HYPERLINK("https://klasma.github.io/Logging_0883/klagomål/A 938-2024 FSC-klagomål.docx", "A 938-2024")</f>
        <v/>
      </c>
      <c r="W68">
        <f>HYPERLINK("https://klasma.github.io/Logging_0883/klagomålsmail/A 938-2024 FSC-klagomål mail.docx", "A 938-2024")</f>
        <v/>
      </c>
      <c r="X68">
        <f>HYPERLINK("https://klasma.github.io/Logging_0883/tillsyn/A 938-2024 tillsynsbegäran.docx", "A 938-2024")</f>
        <v/>
      </c>
      <c r="Y68">
        <f>HYPERLINK("https://klasma.github.io/Logging_0883/tillsynsmail/A 938-2024 tillsynsbegäran mail.docx", "A 938-2024")</f>
        <v/>
      </c>
      <c r="Z68">
        <f>HYPERLINK("https://klasma.github.io/Logging_0883/fåglar/A 938-2024 prioriterade fågelarter.docx", "A 938-2024")</f>
        <v/>
      </c>
    </row>
    <row r="69" ht="15" customHeight="1">
      <c r="A69" t="inlineStr">
        <is>
          <t>A 25280-2021</t>
        </is>
      </c>
      <c r="B69" s="1" t="n">
        <v>44342</v>
      </c>
      <c r="C69" s="1" t="n">
        <v>45925</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3781-2025</t>
        </is>
      </c>
      <c r="B70" s="1" t="n">
        <v>45681.62086805556</v>
      </c>
      <c r="C70" s="1" t="n">
        <v>45925</v>
      </c>
      <c r="D70" t="inlineStr">
        <is>
          <t>KALMAR LÄN</t>
        </is>
      </c>
      <c r="E70" t="inlineStr">
        <is>
          <t>VÄSTERVIK</t>
        </is>
      </c>
      <c r="G70" t="n">
        <v>1.4</v>
      </c>
      <c r="H70" t="n">
        <v>4</v>
      </c>
      <c r="I70" t="n">
        <v>0</v>
      </c>
      <c r="J70" t="n">
        <v>2</v>
      </c>
      <c r="K70" t="n">
        <v>0</v>
      </c>
      <c r="L70" t="n">
        <v>0</v>
      </c>
      <c r="M70" t="n">
        <v>0</v>
      </c>
      <c r="N70" t="n">
        <v>0</v>
      </c>
      <c r="O70" t="n">
        <v>2</v>
      </c>
      <c r="P70" t="n">
        <v>0</v>
      </c>
      <c r="Q70" t="n">
        <v>4</v>
      </c>
      <c r="R70" s="2" t="inlineStr">
        <is>
          <t>Spillkråka
Talltita
Kungsfågel
Revlummer</t>
        </is>
      </c>
      <c r="S70">
        <f>HYPERLINK("https://klasma.github.io/Logging_0883/artfynd/A 3781-2025 artfynd.xlsx", "A 3781-2025")</f>
        <v/>
      </c>
      <c r="T70">
        <f>HYPERLINK("https://klasma.github.io/Logging_0883/kartor/A 3781-2025 karta.png", "A 3781-2025")</f>
        <v/>
      </c>
      <c r="V70">
        <f>HYPERLINK("https://klasma.github.io/Logging_0883/klagomål/A 3781-2025 FSC-klagomål.docx", "A 3781-2025")</f>
        <v/>
      </c>
      <c r="W70">
        <f>HYPERLINK("https://klasma.github.io/Logging_0883/klagomålsmail/A 3781-2025 FSC-klagomål mail.docx", "A 3781-2025")</f>
        <v/>
      </c>
      <c r="X70">
        <f>HYPERLINK("https://klasma.github.io/Logging_0883/tillsyn/A 3781-2025 tillsynsbegäran.docx", "A 3781-2025")</f>
        <v/>
      </c>
      <c r="Y70">
        <f>HYPERLINK("https://klasma.github.io/Logging_0883/tillsynsmail/A 3781-2025 tillsynsbegäran mail.docx", "A 3781-2025")</f>
        <v/>
      </c>
      <c r="Z70">
        <f>HYPERLINK("https://klasma.github.io/Logging_0883/fåglar/A 3781-2025 prioriterade fågelarter.docx", "A 3781-2025")</f>
        <v/>
      </c>
    </row>
    <row r="71" ht="15" customHeight="1">
      <c r="A71" t="inlineStr">
        <is>
          <t>A 37438-2021</t>
        </is>
      </c>
      <c r="B71" s="1" t="n">
        <v>44398</v>
      </c>
      <c r="C71" s="1" t="n">
        <v>45925</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10781-2025</t>
        </is>
      </c>
      <c r="B72" s="1" t="n">
        <v>45722</v>
      </c>
      <c r="C72" s="1" t="n">
        <v>45925</v>
      </c>
      <c r="D72" t="inlineStr">
        <is>
          <t>KALMAR LÄN</t>
        </is>
      </c>
      <c r="E72" t="inlineStr">
        <is>
          <t>VÄSTERVIK</t>
        </is>
      </c>
      <c r="G72" t="n">
        <v>2.8</v>
      </c>
      <c r="H72" t="n">
        <v>3</v>
      </c>
      <c r="I72" t="n">
        <v>1</v>
      </c>
      <c r="J72" t="n">
        <v>2</v>
      </c>
      <c r="K72" t="n">
        <v>0</v>
      </c>
      <c r="L72" t="n">
        <v>0</v>
      </c>
      <c r="M72" t="n">
        <v>0</v>
      </c>
      <c r="N72" t="n">
        <v>0</v>
      </c>
      <c r="O72" t="n">
        <v>2</v>
      </c>
      <c r="P72" t="n">
        <v>0</v>
      </c>
      <c r="Q72" t="n">
        <v>4</v>
      </c>
      <c r="R72" s="2" t="inlineStr">
        <is>
          <t>Spillkråka
Talltita
Grovticka
Kungsfågel</t>
        </is>
      </c>
      <c r="S72">
        <f>HYPERLINK("https://klasma.github.io/Logging_0883/artfynd/A 10781-2025 artfynd.xlsx", "A 10781-2025")</f>
        <v/>
      </c>
      <c r="T72">
        <f>HYPERLINK("https://klasma.github.io/Logging_0883/kartor/A 10781-2025 karta.png", "A 10781-2025")</f>
        <v/>
      </c>
      <c r="V72">
        <f>HYPERLINK("https://klasma.github.io/Logging_0883/klagomål/A 10781-2025 FSC-klagomål.docx", "A 10781-2025")</f>
        <v/>
      </c>
      <c r="W72">
        <f>HYPERLINK("https://klasma.github.io/Logging_0883/klagomålsmail/A 10781-2025 FSC-klagomål mail.docx", "A 10781-2025")</f>
        <v/>
      </c>
      <c r="X72">
        <f>HYPERLINK("https://klasma.github.io/Logging_0883/tillsyn/A 10781-2025 tillsynsbegäran.docx", "A 10781-2025")</f>
        <v/>
      </c>
      <c r="Y72">
        <f>HYPERLINK("https://klasma.github.io/Logging_0883/tillsynsmail/A 10781-2025 tillsynsbegäran mail.docx", "A 10781-2025")</f>
        <v/>
      </c>
      <c r="Z72">
        <f>HYPERLINK("https://klasma.github.io/Logging_0883/fåglar/A 10781-2025 prioriterade fågelarter.docx", "A 10781-2025")</f>
        <v/>
      </c>
    </row>
    <row r="73" ht="15" customHeight="1">
      <c r="A73" t="inlineStr">
        <is>
          <t>A 37524-2025</t>
        </is>
      </c>
      <c r="B73" s="1" t="n">
        <v>45877</v>
      </c>
      <c r="C73" s="1" t="n">
        <v>45925</v>
      </c>
      <c r="D73" t="inlineStr">
        <is>
          <t>KALMAR LÄN</t>
        </is>
      </c>
      <c r="E73" t="inlineStr">
        <is>
          <t>VÄSTERVIK</t>
        </is>
      </c>
      <c r="G73" t="n">
        <v>3.3</v>
      </c>
      <c r="H73" t="n">
        <v>2</v>
      </c>
      <c r="I73" t="n">
        <v>1</v>
      </c>
      <c r="J73" t="n">
        <v>2</v>
      </c>
      <c r="K73" t="n">
        <v>1</v>
      </c>
      <c r="L73" t="n">
        <v>0</v>
      </c>
      <c r="M73" t="n">
        <v>0</v>
      </c>
      <c r="N73" t="n">
        <v>0</v>
      </c>
      <c r="O73" t="n">
        <v>3</v>
      </c>
      <c r="P73" t="n">
        <v>1</v>
      </c>
      <c r="Q73" t="n">
        <v>4</v>
      </c>
      <c r="R73" s="2" t="inlineStr">
        <is>
          <t>Knärot
Svart taggsvamp
Talltita
Blomkålssvamp</t>
        </is>
      </c>
      <c r="S73">
        <f>HYPERLINK("https://klasma.github.io/Logging_0883/artfynd/A 37524-2025 artfynd.xlsx", "A 37524-2025")</f>
        <v/>
      </c>
      <c r="T73">
        <f>HYPERLINK("https://klasma.github.io/Logging_0883/kartor/A 37524-2025 karta.png", "A 37524-2025")</f>
        <v/>
      </c>
      <c r="U73">
        <f>HYPERLINK("https://klasma.github.io/Logging_0883/knärot/A 37524-2025 karta knärot.png", "A 37524-2025")</f>
        <v/>
      </c>
      <c r="V73">
        <f>HYPERLINK("https://klasma.github.io/Logging_0883/klagomål/A 37524-2025 FSC-klagomål.docx", "A 37524-2025")</f>
        <v/>
      </c>
      <c r="W73">
        <f>HYPERLINK("https://klasma.github.io/Logging_0883/klagomålsmail/A 37524-2025 FSC-klagomål mail.docx", "A 37524-2025")</f>
        <v/>
      </c>
      <c r="X73">
        <f>HYPERLINK("https://klasma.github.io/Logging_0883/tillsyn/A 37524-2025 tillsynsbegäran.docx", "A 37524-2025")</f>
        <v/>
      </c>
      <c r="Y73">
        <f>HYPERLINK("https://klasma.github.io/Logging_0883/tillsynsmail/A 37524-2025 tillsynsbegäran mail.docx", "A 37524-2025")</f>
        <v/>
      </c>
      <c r="Z73">
        <f>HYPERLINK("https://klasma.github.io/Logging_0883/fåglar/A 37524-2025 prioriterade fågelarter.docx", "A 37524-2025")</f>
        <v/>
      </c>
    </row>
    <row r="74" ht="15" customHeight="1">
      <c r="A74" t="inlineStr">
        <is>
          <t>A 31914-2025</t>
        </is>
      </c>
      <c r="B74" s="1" t="n">
        <v>45834</v>
      </c>
      <c r="C74" s="1" t="n">
        <v>45925</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41571-2024</t>
        </is>
      </c>
      <c r="B75" s="1" t="n">
        <v>45560.54571759259</v>
      </c>
      <c r="C75" s="1" t="n">
        <v>45925</v>
      </c>
      <c r="D75" t="inlineStr">
        <is>
          <t>KALMAR LÄN</t>
        </is>
      </c>
      <c r="E75" t="inlineStr">
        <is>
          <t>VÄSTERVIK</t>
        </is>
      </c>
      <c r="G75" t="n">
        <v>5.2</v>
      </c>
      <c r="H75" t="n">
        <v>1</v>
      </c>
      <c r="I75" t="n">
        <v>2</v>
      </c>
      <c r="J75" t="n">
        <v>2</v>
      </c>
      <c r="K75" t="n">
        <v>0</v>
      </c>
      <c r="L75" t="n">
        <v>0</v>
      </c>
      <c r="M75" t="n">
        <v>0</v>
      </c>
      <c r="N75" t="n">
        <v>0</v>
      </c>
      <c r="O75" t="n">
        <v>2</v>
      </c>
      <c r="P75" t="n">
        <v>0</v>
      </c>
      <c r="Q75" t="n">
        <v>4</v>
      </c>
      <c r="R75" s="2" t="inlineStr">
        <is>
          <t>Tallticka
Talltita
Blåmossa
Dropptaggsvamp</t>
        </is>
      </c>
      <c r="S75">
        <f>HYPERLINK("https://klasma.github.io/Logging_0883/artfynd/A 41571-2024 artfynd.xlsx", "A 41571-2024")</f>
        <v/>
      </c>
      <c r="T75">
        <f>HYPERLINK("https://klasma.github.io/Logging_0883/kartor/A 41571-2024 karta.png", "A 41571-2024")</f>
        <v/>
      </c>
      <c r="U75">
        <f>HYPERLINK("https://klasma.github.io/Logging_0883/knärot/A 41571-2024 karta knärot.png", "A 41571-2024")</f>
        <v/>
      </c>
      <c r="V75">
        <f>HYPERLINK("https://klasma.github.io/Logging_0883/klagomål/A 41571-2024 FSC-klagomål.docx", "A 41571-2024")</f>
        <v/>
      </c>
      <c r="W75">
        <f>HYPERLINK("https://klasma.github.io/Logging_0883/klagomålsmail/A 41571-2024 FSC-klagomål mail.docx", "A 41571-2024")</f>
        <v/>
      </c>
      <c r="X75">
        <f>HYPERLINK("https://klasma.github.io/Logging_0883/tillsyn/A 41571-2024 tillsynsbegäran.docx", "A 41571-2024")</f>
        <v/>
      </c>
      <c r="Y75">
        <f>HYPERLINK("https://klasma.github.io/Logging_0883/tillsynsmail/A 41571-2024 tillsynsbegäran mail.docx", "A 41571-2024")</f>
        <v/>
      </c>
      <c r="Z75">
        <f>HYPERLINK("https://klasma.github.io/Logging_0883/fåglar/A 41571-2024 prioriterade fågelarter.docx", "A 41571-2024")</f>
        <v/>
      </c>
    </row>
    <row r="76" ht="15" customHeight="1">
      <c r="A76" t="inlineStr">
        <is>
          <t>A 9975-2024</t>
        </is>
      </c>
      <c r="B76" s="1" t="n">
        <v>45363</v>
      </c>
      <c r="C76" s="1" t="n">
        <v>45925</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24839-2025</t>
        </is>
      </c>
      <c r="B77" s="1" t="n">
        <v>45799.4640625</v>
      </c>
      <c r="C77" s="1" t="n">
        <v>45925</v>
      </c>
      <c r="D77" t="inlineStr">
        <is>
          <t>KALMAR LÄN</t>
        </is>
      </c>
      <c r="E77" t="inlineStr">
        <is>
          <t>VÄSTERVIK</t>
        </is>
      </c>
      <c r="F77" t="inlineStr">
        <is>
          <t>Holmen skog AB</t>
        </is>
      </c>
      <c r="G77" t="n">
        <v>8.300000000000001</v>
      </c>
      <c r="H77" t="n">
        <v>2</v>
      </c>
      <c r="I77" t="n">
        <v>1</v>
      </c>
      <c r="J77" t="n">
        <v>2</v>
      </c>
      <c r="K77" t="n">
        <v>0</v>
      </c>
      <c r="L77" t="n">
        <v>0</v>
      </c>
      <c r="M77" t="n">
        <v>0</v>
      </c>
      <c r="N77" t="n">
        <v>0</v>
      </c>
      <c r="O77" t="n">
        <v>2</v>
      </c>
      <c r="P77" t="n">
        <v>0</v>
      </c>
      <c r="Q77" t="n">
        <v>4</v>
      </c>
      <c r="R77" s="2" t="inlineStr">
        <is>
          <t>Grönsångare
Tallticka
Murgröna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20366-2024</t>
        </is>
      </c>
      <c r="B78" s="1" t="n">
        <v>45435</v>
      </c>
      <c r="C78" s="1" t="n">
        <v>45925</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26985-2025</t>
        </is>
      </c>
      <c r="B79" s="1" t="n">
        <v>45811</v>
      </c>
      <c r="C79" s="1" t="n">
        <v>45925</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54233-2023</t>
        </is>
      </c>
      <c r="B80" s="1" t="n">
        <v>45232</v>
      </c>
      <c r="C80" s="1" t="n">
        <v>45925</v>
      </c>
      <c r="D80" t="inlineStr">
        <is>
          <t>KALMAR LÄN</t>
        </is>
      </c>
      <c r="E80" t="inlineStr">
        <is>
          <t>VÄSTERVIK</t>
        </is>
      </c>
      <c r="G80" t="n">
        <v>1.9</v>
      </c>
      <c r="H80" t="n">
        <v>2</v>
      </c>
      <c r="I80" t="n">
        <v>1</v>
      </c>
      <c r="J80" t="n">
        <v>2</v>
      </c>
      <c r="K80" t="n">
        <v>1</v>
      </c>
      <c r="L80" t="n">
        <v>0</v>
      </c>
      <c r="M80" t="n">
        <v>0</v>
      </c>
      <c r="N80" t="n">
        <v>0</v>
      </c>
      <c r="O80" t="n">
        <v>3</v>
      </c>
      <c r="P80" t="n">
        <v>1</v>
      </c>
      <c r="Q80" t="n">
        <v>4</v>
      </c>
      <c r="R80" s="2" t="inlineStr">
        <is>
          <t>Knärot
Tallticka
Talltita
Blåmossa</t>
        </is>
      </c>
      <c r="S80">
        <f>HYPERLINK("https://klasma.github.io/Logging_0883/artfynd/A 54233-2023 artfynd.xlsx", "A 54233-2023")</f>
        <v/>
      </c>
      <c r="T80">
        <f>HYPERLINK("https://klasma.github.io/Logging_0883/kartor/A 54233-2023 karta.png", "A 54233-2023")</f>
        <v/>
      </c>
      <c r="U80">
        <f>HYPERLINK("https://klasma.github.io/Logging_0883/knärot/A 54233-2023 karta knärot.png", "A 54233-2023")</f>
        <v/>
      </c>
      <c r="V80">
        <f>HYPERLINK("https://klasma.github.io/Logging_0883/klagomål/A 54233-2023 FSC-klagomål.docx", "A 54233-2023")</f>
        <v/>
      </c>
      <c r="W80">
        <f>HYPERLINK("https://klasma.github.io/Logging_0883/klagomålsmail/A 54233-2023 FSC-klagomål mail.docx", "A 54233-2023")</f>
        <v/>
      </c>
      <c r="X80">
        <f>HYPERLINK("https://klasma.github.io/Logging_0883/tillsyn/A 54233-2023 tillsynsbegäran.docx", "A 54233-2023")</f>
        <v/>
      </c>
      <c r="Y80">
        <f>HYPERLINK("https://klasma.github.io/Logging_0883/tillsynsmail/A 54233-2023 tillsynsbegäran mail.docx", "A 54233-2023")</f>
        <v/>
      </c>
      <c r="Z80">
        <f>HYPERLINK("https://klasma.github.io/Logging_0883/fåglar/A 54233-2023 prioriterade fågelarter.docx", "A 54233-2023")</f>
        <v/>
      </c>
    </row>
    <row r="81" ht="15" customHeight="1">
      <c r="A81" t="inlineStr">
        <is>
          <t>A 58955-2022</t>
        </is>
      </c>
      <c r="B81" s="1" t="n">
        <v>44896</v>
      </c>
      <c r="C81" s="1" t="n">
        <v>45925</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63366-2023</t>
        </is>
      </c>
      <c r="B82" s="1" t="n">
        <v>45274</v>
      </c>
      <c r="C82" s="1" t="n">
        <v>45925</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9097-2021</t>
        </is>
      </c>
      <c r="B83" s="1" t="n">
        <v>44249</v>
      </c>
      <c r="C83" s="1" t="n">
        <v>45925</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51590-2024</t>
        </is>
      </c>
      <c r="B84" s="1" t="n">
        <v>45604</v>
      </c>
      <c r="C84" s="1" t="n">
        <v>45925</v>
      </c>
      <c r="D84" t="inlineStr">
        <is>
          <t>KALMAR LÄN</t>
        </is>
      </c>
      <c r="E84" t="inlineStr">
        <is>
          <t>VÄSTERVIK</t>
        </is>
      </c>
      <c r="F84" t="inlineStr">
        <is>
          <t>Övriga Aktiebolag</t>
        </is>
      </c>
      <c r="G84" t="n">
        <v>2.3</v>
      </c>
      <c r="H84" t="n">
        <v>3</v>
      </c>
      <c r="I84" t="n">
        <v>0</v>
      </c>
      <c r="J84" t="n">
        <v>2</v>
      </c>
      <c r="K84" t="n">
        <v>1</v>
      </c>
      <c r="L84" t="n">
        <v>0</v>
      </c>
      <c r="M84" t="n">
        <v>0</v>
      </c>
      <c r="N84" t="n">
        <v>0</v>
      </c>
      <c r="O84" t="n">
        <v>3</v>
      </c>
      <c r="P84" t="n">
        <v>1</v>
      </c>
      <c r="Q84" t="n">
        <v>3</v>
      </c>
      <c r="R84" s="2" t="inlineStr">
        <is>
          <t>Knärot
Spillkråka
Talltita</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16948-2024</t>
        </is>
      </c>
      <c r="B85" s="1" t="n">
        <v>45411</v>
      </c>
      <c r="C85" s="1" t="n">
        <v>45925</v>
      </c>
      <c r="D85" t="inlineStr">
        <is>
          <t>KALMAR LÄN</t>
        </is>
      </c>
      <c r="E85" t="inlineStr">
        <is>
          <t>VÄSTERVIK</t>
        </is>
      </c>
      <c r="G85" t="n">
        <v>13.3</v>
      </c>
      <c r="H85" t="n">
        <v>2</v>
      </c>
      <c r="I85" t="n">
        <v>0</v>
      </c>
      <c r="J85" t="n">
        <v>2</v>
      </c>
      <c r="K85" t="n">
        <v>1</v>
      </c>
      <c r="L85" t="n">
        <v>0</v>
      </c>
      <c r="M85" t="n">
        <v>0</v>
      </c>
      <c r="N85" t="n">
        <v>0</v>
      </c>
      <c r="O85" t="n">
        <v>3</v>
      </c>
      <c r="P85" t="n">
        <v>1</v>
      </c>
      <c r="Q85" t="n">
        <v>3</v>
      </c>
      <c r="R85" s="2" t="inlineStr">
        <is>
          <t>Knärot
Spillkråka
Tallticka</t>
        </is>
      </c>
      <c r="S85">
        <f>HYPERLINK("https://klasma.github.io/Logging_0883/artfynd/A 16948-2024 artfynd.xlsx", "A 16948-2024")</f>
        <v/>
      </c>
      <c r="T85">
        <f>HYPERLINK("https://klasma.github.io/Logging_0883/kartor/A 16948-2024 karta.png", "A 16948-2024")</f>
        <v/>
      </c>
      <c r="U85">
        <f>HYPERLINK("https://klasma.github.io/Logging_0883/knärot/A 16948-2024 karta knärot.png", "A 16948-2024")</f>
        <v/>
      </c>
      <c r="V85">
        <f>HYPERLINK("https://klasma.github.io/Logging_0883/klagomål/A 16948-2024 FSC-klagomål.docx", "A 16948-2024")</f>
        <v/>
      </c>
      <c r="W85">
        <f>HYPERLINK("https://klasma.github.io/Logging_0883/klagomålsmail/A 16948-2024 FSC-klagomål mail.docx", "A 16948-2024")</f>
        <v/>
      </c>
      <c r="X85">
        <f>HYPERLINK("https://klasma.github.io/Logging_0883/tillsyn/A 16948-2024 tillsynsbegäran.docx", "A 16948-2024")</f>
        <v/>
      </c>
      <c r="Y85">
        <f>HYPERLINK("https://klasma.github.io/Logging_0883/tillsynsmail/A 16948-2024 tillsynsbegäran mail.docx", "A 16948-2024")</f>
        <v/>
      </c>
      <c r="Z85">
        <f>HYPERLINK("https://klasma.github.io/Logging_0883/fåglar/A 16948-2024 prioriterade fågelarter.docx", "A 16948-2024")</f>
        <v/>
      </c>
    </row>
    <row r="86" ht="15" customHeight="1">
      <c r="A86" t="inlineStr">
        <is>
          <t>A 35705-2025</t>
        </is>
      </c>
      <c r="B86" s="1" t="n">
        <v>45860.36769675926</v>
      </c>
      <c r="C86" s="1" t="n">
        <v>45925</v>
      </c>
      <c r="D86" t="inlineStr">
        <is>
          <t>KALMAR LÄN</t>
        </is>
      </c>
      <c r="E86" t="inlineStr">
        <is>
          <t>VÄSTERVIK</t>
        </is>
      </c>
      <c r="G86" t="n">
        <v>2.5</v>
      </c>
      <c r="H86" t="n">
        <v>2</v>
      </c>
      <c r="I86" t="n">
        <v>1</v>
      </c>
      <c r="J86" t="n">
        <v>1</v>
      </c>
      <c r="K86" t="n">
        <v>0</v>
      </c>
      <c r="L86" t="n">
        <v>0</v>
      </c>
      <c r="M86" t="n">
        <v>0</v>
      </c>
      <c r="N86" t="n">
        <v>0</v>
      </c>
      <c r="O86" t="n">
        <v>1</v>
      </c>
      <c r="P86" t="n">
        <v>0</v>
      </c>
      <c r="Q86" t="n">
        <v>3</v>
      </c>
      <c r="R86" s="2" t="inlineStr">
        <is>
          <t>Talltita
Grovticka
Kungsfågel</t>
        </is>
      </c>
      <c r="S86">
        <f>HYPERLINK("https://klasma.github.io/Logging_0883/artfynd/A 35705-2025 artfynd.xlsx", "A 35705-2025")</f>
        <v/>
      </c>
      <c r="T86">
        <f>HYPERLINK("https://klasma.github.io/Logging_0883/kartor/A 35705-2025 karta.png", "A 35705-2025")</f>
        <v/>
      </c>
      <c r="U86">
        <f>HYPERLINK("https://klasma.github.io/Logging_0883/knärot/A 35705-2025 karta knärot.png", "A 35705-2025")</f>
        <v/>
      </c>
      <c r="V86">
        <f>HYPERLINK("https://klasma.github.io/Logging_0883/klagomål/A 35705-2025 FSC-klagomål.docx", "A 35705-2025")</f>
        <v/>
      </c>
      <c r="W86">
        <f>HYPERLINK("https://klasma.github.io/Logging_0883/klagomålsmail/A 35705-2025 FSC-klagomål mail.docx", "A 35705-2025")</f>
        <v/>
      </c>
      <c r="X86">
        <f>HYPERLINK("https://klasma.github.io/Logging_0883/tillsyn/A 35705-2025 tillsynsbegäran.docx", "A 35705-2025")</f>
        <v/>
      </c>
      <c r="Y86">
        <f>HYPERLINK("https://klasma.github.io/Logging_0883/tillsynsmail/A 35705-2025 tillsynsbegäran mail.docx", "A 35705-2025")</f>
        <v/>
      </c>
      <c r="Z86">
        <f>HYPERLINK("https://klasma.github.io/Logging_0883/fåglar/A 35705-2025 prioriterade fågelarter.docx", "A 35705-2025")</f>
        <v/>
      </c>
    </row>
    <row r="87" ht="15" customHeight="1">
      <c r="A87" t="inlineStr">
        <is>
          <t>A 13956-2025</t>
        </is>
      </c>
      <c r="B87" s="1" t="n">
        <v>45737</v>
      </c>
      <c r="C87" s="1" t="n">
        <v>45925</v>
      </c>
      <c r="D87" t="inlineStr">
        <is>
          <t>KALMAR LÄN</t>
        </is>
      </c>
      <c r="E87" t="inlineStr">
        <is>
          <t>VÄSTERVIK</t>
        </is>
      </c>
      <c r="G87" t="n">
        <v>2.5</v>
      </c>
      <c r="H87" t="n">
        <v>2</v>
      </c>
      <c r="I87" t="n">
        <v>1</v>
      </c>
      <c r="J87" t="n">
        <v>1</v>
      </c>
      <c r="K87" t="n">
        <v>1</v>
      </c>
      <c r="L87" t="n">
        <v>0</v>
      </c>
      <c r="M87" t="n">
        <v>0</v>
      </c>
      <c r="N87" t="n">
        <v>0</v>
      </c>
      <c r="O87" t="n">
        <v>2</v>
      </c>
      <c r="P87" t="n">
        <v>1</v>
      </c>
      <c r="Q87" t="n">
        <v>3</v>
      </c>
      <c r="R87" s="2" t="inlineStr">
        <is>
          <t>Knärot
Mindre hackspett
Grönpyrola</t>
        </is>
      </c>
      <c r="S87">
        <f>HYPERLINK("https://klasma.github.io/Logging_0883/artfynd/A 13956-2025 artfynd.xlsx", "A 13956-2025")</f>
        <v/>
      </c>
      <c r="T87">
        <f>HYPERLINK("https://klasma.github.io/Logging_0883/kartor/A 13956-2025 karta.png", "A 13956-2025")</f>
        <v/>
      </c>
      <c r="U87">
        <f>HYPERLINK("https://klasma.github.io/Logging_0883/knärot/A 13956-2025 karta knärot.png", "A 13956-2025")</f>
        <v/>
      </c>
      <c r="V87">
        <f>HYPERLINK("https://klasma.github.io/Logging_0883/klagomål/A 13956-2025 FSC-klagomål.docx", "A 13956-2025")</f>
        <v/>
      </c>
      <c r="W87">
        <f>HYPERLINK("https://klasma.github.io/Logging_0883/klagomålsmail/A 13956-2025 FSC-klagomål mail.docx", "A 13956-2025")</f>
        <v/>
      </c>
      <c r="X87">
        <f>HYPERLINK("https://klasma.github.io/Logging_0883/tillsyn/A 13956-2025 tillsynsbegäran.docx", "A 13956-2025")</f>
        <v/>
      </c>
      <c r="Y87">
        <f>HYPERLINK("https://klasma.github.io/Logging_0883/tillsynsmail/A 13956-2025 tillsynsbegäran mail.docx", "A 13956-2025")</f>
        <v/>
      </c>
      <c r="Z87">
        <f>HYPERLINK("https://klasma.github.io/Logging_0883/fåglar/A 13956-2025 prioriterade fågelarter.docx", "A 13956-2025")</f>
        <v/>
      </c>
    </row>
    <row r="88" ht="15" customHeight="1">
      <c r="A88" t="inlineStr">
        <is>
          <t>A 8620-2024</t>
        </is>
      </c>
      <c r="B88" s="1" t="n">
        <v>45355.74270833333</v>
      </c>
      <c r="C88" s="1" t="n">
        <v>45925</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12708-2023</t>
        </is>
      </c>
      <c r="B89" s="1" t="n">
        <v>45000</v>
      </c>
      <c r="C89" s="1" t="n">
        <v>45925</v>
      </c>
      <c r="D89" t="inlineStr">
        <is>
          <t>KALMAR LÄN</t>
        </is>
      </c>
      <c r="E89" t="inlineStr">
        <is>
          <t>VÄSTERVIK</t>
        </is>
      </c>
      <c r="G89" t="n">
        <v>8.6</v>
      </c>
      <c r="H89" t="n">
        <v>2</v>
      </c>
      <c r="I89" t="n">
        <v>0</v>
      </c>
      <c r="J89" t="n">
        <v>2</v>
      </c>
      <c r="K89" t="n">
        <v>1</v>
      </c>
      <c r="L89" t="n">
        <v>0</v>
      </c>
      <c r="M89" t="n">
        <v>0</v>
      </c>
      <c r="N89" t="n">
        <v>0</v>
      </c>
      <c r="O89" t="n">
        <v>3</v>
      </c>
      <c r="P89" t="n">
        <v>1</v>
      </c>
      <c r="Q89" t="n">
        <v>3</v>
      </c>
      <c r="R89" s="2" t="inlineStr">
        <is>
          <t>Knärot
Tallticka
Talltita</t>
        </is>
      </c>
      <c r="S89">
        <f>HYPERLINK("https://klasma.github.io/Logging_0883/artfynd/A 12708-2023 artfynd.xlsx", "A 12708-2023")</f>
        <v/>
      </c>
      <c r="T89">
        <f>HYPERLINK("https://klasma.github.io/Logging_0883/kartor/A 12708-2023 karta.png", "A 12708-2023")</f>
        <v/>
      </c>
      <c r="U89">
        <f>HYPERLINK("https://klasma.github.io/Logging_0883/knärot/A 12708-2023 karta knärot.png", "A 12708-2023")</f>
        <v/>
      </c>
      <c r="V89">
        <f>HYPERLINK("https://klasma.github.io/Logging_0883/klagomål/A 12708-2023 FSC-klagomål.docx", "A 12708-2023")</f>
        <v/>
      </c>
      <c r="W89">
        <f>HYPERLINK("https://klasma.github.io/Logging_0883/klagomålsmail/A 12708-2023 FSC-klagomål mail.docx", "A 12708-2023")</f>
        <v/>
      </c>
      <c r="X89">
        <f>HYPERLINK("https://klasma.github.io/Logging_0883/tillsyn/A 12708-2023 tillsynsbegäran.docx", "A 12708-2023")</f>
        <v/>
      </c>
      <c r="Y89">
        <f>HYPERLINK("https://klasma.github.io/Logging_0883/tillsynsmail/A 12708-2023 tillsynsbegäran mail.docx", "A 12708-2023")</f>
        <v/>
      </c>
      <c r="Z89">
        <f>HYPERLINK("https://klasma.github.io/Logging_0883/fåglar/A 12708-2023 prioriterade fågelarter.docx", "A 12708-2023")</f>
        <v/>
      </c>
    </row>
    <row r="90" ht="15" customHeight="1">
      <c r="A90" t="inlineStr">
        <is>
          <t>A 36109-2025</t>
        </is>
      </c>
      <c r="B90" s="1" t="n">
        <v>45866.56780092593</v>
      </c>
      <c r="C90" s="1" t="n">
        <v>45925</v>
      </c>
      <c r="D90" t="inlineStr">
        <is>
          <t>KALMAR LÄN</t>
        </is>
      </c>
      <c r="E90" t="inlineStr">
        <is>
          <t>VÄSTERVIK</t>
        </is>
      </c>
      <c r="G90" t="n">
        <v>12.5</v>
      </c>
      <c r="H90" t="n">
        <v>1</v>
      </c>
      <c r="I90" t="n">
        <v>2</v>
      </c>
      <c r="J90" t="n">
        <v>0</v>
      </c>
      <c r="K90" t="n">
        <v>1</v>
      </c>
      <c r="L90" t="n">
        <v>0</v>
      </c>
      <c r="M90" t="n">
        <v>0</v>
      </c>
      <c r="N90" t="n">
        <v>0</v>
      </c>
      <c r="O90" t="n">
        <v>1</v>
      </c>
      <c r="P90" t="n">
        <v>1</v>
      </c>
      <c r="Q90" t="n">
        <v>3</v>
      </c>
      <c r="R90" s="2" t="inlineStr">
        <is>
          <t>Knärot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2340-2025</t>
        </is>
      </c>
      <c r="B91" s="1" t="n">
        <v>45673</v>
      </c>
      <c r="C91" s="1" t="n">
        <v>45925</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52992-2024</t>
        </is>
      </c>
      <c r="B92" s="1" t="n">
        <v>45611</v>
      </c>
      <c r="C92" s="1" t="n">
        <v>45925</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48318-2024</t>
        </is>
      </c>
      <c r="B93" s="1" t="n">
        <v>45590.49690972222</v>
      </c>
      <c r="C93" s="1" t="n">
        <v>45925</v>
      </c>
      <c r="D93" t="inlineStr">
        <is>
          <t>KALMAR LÄN</t>
        </is>
      </c>
      <c r="E93" t="inlineStr">
        <is>
          <t>VÄSTERVIK</t>
        </is>
      </c>
      <c r="F93" t="inlineStr">
        <is>
          <t>Holmen skog AB</t>
        </is>
      </c>
      <c r="G93" t="n">
        <v>4</v>
      </c>
      <c r="H93" t="n">
        <v>3</v>
      </c>
      <c r="I93" t="n">
        <v>0</v>
      </c>
      <c r="J93" t="n">
        <v>3</v>
      </c>
      <c r="K93" t="n">
        <v>0</v>
      </c>
      <c r="L93" t="n">
        <v>0</v>
      </c>
      <c r="M93" t="n">
        <v>0</v>
      </c>
      <c r="N93" t="n">
        <v>0</v>
      </c>
      <c r="O93" t="n">
        <v>3</v>
      </c>
      <c r="P93" t="n">
        <v>0</v>
      </c>
      <c r="Q93" t="n">
        <v>3</v>
      </c>
      <c r="R93" s="2" t="inlineStr">
        <is>
          <t>Entita
Spillkråka
Talltita</t>
        </is>
      </c>
      <c r="S93">
        <f>HYPERLINK("https://klasma.github.io/Logging_0883/artfynd/A 48318-2024 artfynd.xlsx", "A 48318-2024")</f>
        <v/>
      </c>
      <c r="T93">
        <f>HYPERLINK("https://klasma.github.io/Logging_0883/kartor/A 48318-2024 karta.png", "A 48318-2024")</f>
        <v/>
      </c>
      <c r="U93">
        <f>HYPERLINK("https://klasma.github.io/Logging_0883/knärot/A 48318-2024 karta knärot.png", "A 48318-2024")</f>
        <v/>
      </c>
      <c r="V93">
        <f>HYPERLINK("https://klasma.github.io/Logging_0883/klagomål/A 48318-2024 FSC-klagomål.docx", "A 48318-2024")</f>
        <v/>
      </c>
      <c r="W93">
        <f>HYPERLINK("https://klasma.github.io/Logging_0883/klagomålsmail/A 48318-2024 FSC-klagomål mail.docx", "A 48318-2024")</f>
        <v/>
      </c>
      <c r="X93">
        <f>HYPERLINK("https://klasma.github.io/Logging_0883/tillsyn/A 48318-2024 tillsynsbegäran.docx", "A 48318-2024")</f>
        <v/>
      </c>
      <c r="Y93">
        <f>HYPERLINK("https://klasma.github.io/Logging_0883/tillsynsmail/A 48318-2024 tillsynsbegäran mail.docx", "A 48318-2024")</f>
        <v/>
      </c>
      <c r="Z93">
        <f>HYPERLINK("https://klasma.github.io/Logging_0883/fåglar/A 48318-2024 prioriterade fågelarter.docx", "A 48318-2024")</f>
        <v/>
      </c>
    </row>
    <row r="94" ht="15" customHeight="1">
      <c r="A94" t="inlineStr">
        <is>
          <t>A 27700-2024</t>
        </is>
      </c>
      <c r="B94" s="1" t="n">
        <v>45475.35597222222</v>
      </c>
      <c r="C94" s="1" t="n">
        <v>45925</v>
      </c>
      <c r="D94" t="inlineStr">
        <is>
          <t>KALMAR LÄN</t>
        </is>
      </c>
      <c r="E94" t="inlineStr">
        <is>
          <t>VÄSTERVIK</t>
        </is>
      </c>
      <c r="F94" t="inlineStr">
        <is>
          <t>Holmen skog AB</t>
        </is>
      </c>
      <c r="G94" t="n">
        <v>1.1</v>
      </c>
      <c r="H94" t="n">
        <v>1</v>
      </c>
      <c r="I94" t="n">
        <v>2</v>
      </c>
      <c r="J94" t="n">
        <v>1</v>
      </c>
      <c r="K94" t="n">
        <v>0</v>
      </c>
      <c r="L94" t="n">
        <v>0</v>
      </c>
      <c r="M94" t="n">
        <v>0</v>
      </c>
      <c r="N94" t="n">
        <v>0</v>
      </c>
      <c r="O94" t="n">
        <v>1</v>
      </c>
      <c r="P94" t="n">
        <v>0</v>
      </c>
      <c r="Q94" t="n">
        <v>3</v>
      </c>
      <c r="R94" s="2" t="inlineStr">
        <is>
          <t>Spillkråka
Blåmossa
Zontaggsvamp</t>
        </is>
      </c>
      <c r="S94">
        <f>HYPERLINK("https://klasma.github.io/Logging_0883/artfynd/A 27700-2024 artfynd.xlsx", "A 27700-2024")</f>
        <v/>
      </c>
      <c r="T94">
        <f>HYPERLINK("https://klasma.github.io/Logging_0883/kartor/A 27700-2024 karta.png", "A 27700-2024")</f>
        <v/>
      </c>
      <c r="V94">
        <f>HYPERLINK("https://klasma.github.io/Logging_0883/klagomål/A 27700-2024 FSC-klagomål.docx", "A 27700-2024")</f>
        <v/>
      </c>
      <c r="W94">
        <f>HYPERLINK("https://klasma.github.io/Logging_0883/klagomålsmail/A 27700-2024 FSC-klagomål mail.docx", "A 27700-2024")</f>
        <v/>
      </c>
      <c r="X94">
        <f>HYPERLINK("https://klasma.github.io/Logging_0883/tillsyn/A 27700-2024 tillsynsbegäran.docx", "A 27700-2024")</f>
        <v/>
      </c>
      <c r="Y94">
        <f>HYPERLINK("https://klasma.github.io/Logging_0883/tillsynsmail/A 27700-2024 tillsynsbegäran mail.docx", "A 27700-2024")</f>
        <v/>
      </c>
      <c r="Z94">
        <f>HYPERLINK("https://klasma.github.io/Logging_0883/fåglar/A 27700-2024 prioriterade fågelarter.docx", "A 27700-2024")</f>
        <v/>
      </c>
    </row>
    <row r="95" ht="15" customHeight="1">
      <c r="A95" t="inlineStr">
        <is>
          <t>A 39190-2024</t>
        </is>
      </c>
      <c r="B95" s="1" t="n">
        <v>45548</v>
      </c>
      <c r="C95" s="1" t="n">
        <v>45925</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31854-2025</t>
        </is>
      </c>
      <c r="B96" s="1" t="n">
        <v>45834</v>
      </c>
      <c r="C96" s="1" t="n">
        <v>45925</v>
      </c>
      <c r="D96" t="inlineStr">
        <is>
          <t>KALMAR LÄN</t>
        </is>
      </c>
      <c r="E96" t="inlineStr">
        <is>
          <t>VÄSTERVIK</t>
        </is>
      </c>
      <c r="F96" t="inlineStr">
        <is>
          <t>Holmen skog AB</t>
        </is>
      </c>
      <c r="G96" t="n">
        <v>4.3</v>
      </c>
      <c r="H96" t="n">
        <v>2</v>
      </c>
      <c r="I96" t="n">
        <v>1</v>
      </c>
      <c r="J96" t="n">
        <v>1</v>
      </c>
      <c r="K96" t="n">
        <v>1</v>
      </c>
      <c r="L96" t="n">
        <v>0</v>
      </c>
      <c r="M96" t="n">
        <v>0</v>
      </c>
      <c r="N96" t="n">
        <v>0</v>
      </c>
      <c r="O96" t="n">
        <v>2</v>
      </c>
      <c r="P96" t="n">
        <v>1</v>
      </c>
      <c r="Q96" t="n">
        <v>3</v>
      </c>
      <c r="R96" s="2" t="inlineStr">
        <is>
          <t>Knärot
Talltita
Grönpyrola</t>
        </is>
      </c>
      <c r="S96">
        <f>HYPERLINK("https://klasma.github.io/Logging_0883/artfynd/A 31854-2025 artfynd.xlsx", "A 31854-2025")</f>
        <v/>
      </c>
      <c r="T96">
        <f>HYPERLINK("https://klasma.github.io/Logging_0883/kartor/A 31854-2025 karta.png", "A 31854-2025")</f>
        <v/>
      </c>
      <c r="U96">
        <f>HYPERLINK("https://klasma.github.io/Logging_0883/knärot/A 31854-2025 karta knärot.png", "A 31854-2025")</f>
        <v/>
      </c>
      <c r="V96">
        <f>HYPERLINK("https://klasma.github.io/Logging_0883/klagomål/A 31854-2025 FSC-klagomål.docx", "A 31854-2025")</f>
        <v/>
      </c>
      <c r="W96">
        <f>HYPERLINK("https://klasma.github.io/Logging_0883/klagomålsmail/A 31854-2025 FSC-klagomål mail.docx", "A 31854-2025")</f>
        <v/>
      </c>
      <c r="X96">
        <f>HYPERLINK("https://klasma.github.io/Logging_0883/tillsyn/A 31854-2025 tillsynsbegäran.docx", "A 31854-2025")</f>
        <v/>
      </c>
      <c r="Y96">
        <f>HYPERLINK("https://klasma.github.io/Logging_0883/tillsynsmail/A 31854-2025 tillsynsbegäran mail.docx", "A 31854-2025")</f>
        <v/>
      </c>
      <c r="Z96">
        <f>HYPERLINK("https://klasma.github.io/Logging_0883/fåglar/A 31854-2025 prioriterade fågelarter.docx", "A 31854-2025")</f>
        <v/>
      </c>
    </row>
    <row r="97" ht="15" customHeight="1">
      <c r="A97" t="inlineStr">
        <is>
          <t>A 4454-2025</t>
        </is>
      </c>
      <c r="B97" s="1" t="n">
        <v>45686</v>
      </c>
      <c r="C97" s="1" t="n">
        <v>45925</v>
      </c>
      <c r="D97" t="inlineStr">
        <is>
          <t>KALMAR LÄN</t>
        </is>
      </c>
      <c r="E97" t="inlineStr">
        <is>
          <t>VÄSTERVIK</t>
        </is>
      </c>
      <c r="G97" t="n">
        <v>1</v>
      </c>
      <c r="H97" t="n">
        <v>2</v>
      </c>
      <c r="I97" t="n">
        <v>1</v>
      </c>
      <c r="J97" t="n">
        <v>0</v>
      </c>
      <c r="K97" t="n">
        <v>1</v>
      </c>
      <c r="L97" t="n">
        <v>0</v>
      </c>
      <c r="M97" t="n">
        <v>0</v>
      </c>
      <c r="N97" t="n">
        <v>0</v>
      </c>
      <c r="O97" t="n">
        <v>1</v>
      </c>
      <c r="P97" t="n">
        <v>1</v>
      </c>
      <c r="Q97" t="n">
        <v>3</v>
      </c>
      <c r="R97" s="2" t="inlineStr">
        <is>
          <t>Knärot
Grönpyrola
Kungsfågel</t>
        </is>
      </c>
      <c r="S97">
        <f>HYPERLINK("https://klasma.github.io/Logging_0883/artfynd/A 4454-2025 artfynd.xlsx", "A 4454-2025")</f>
        <v/>
      </c>
      <c r="T97">
        <f>HYPERLINK("https://klasma.github.io/Logging_0883/kartor/A 4454-2025 karta.png", "A 4454-2025")</f>
        <v/>
      </c>
      <c r="U97">
        <f>HYPERLINK("https://klasma.github.io/Logging_0883/knärot/A 4454-2025 karta knärot.png", "A 4454-2025")</f>
        <v/>
      </c>
      <c r="V97">
        <f>HYPERLINK("https://klasma.github.io/Logging_0883/klagomål/A 4454-2025 FSC-klagomål.docx", "A 4454-2025")</f>
        <v/>
      </c>
      <c r="W97">
        <f>HYPERLINK("https://klasma.github.io/Logging_0883/klagomålsmail/A 4454-2025 FSC-klagomål mail.docx", "A 4454-2025")</f>
        <v/>
      </c>
      <c r="X97">
        <f>HYPERLINK("https://klasma.github.io/Logging_0883/tillsyn/A 4454-2025 tillsynsbegäran.docx", "A 4454-2025")</f>
        <v/>
      </c>
      <c r="Y97">
        <f>HYPERLINK("https://klasma.github.io/Logging_0883/tillsynsmail/A 4454-2025 tillsynsbegäran mail.docx", "A 4454-2025")</f>
        <v/>
      </c>
      <c r="Z97">
        <f>HYPERLINK("https://klasma.github.io/Logging_0883/fåglar/A 4454-2025 prioriterade fågelarter.docx", "A 4454-2025")</f>
        <v/>
      </c>
    </row>
    <row r="98" ht="15" customHeight="1">
      <c r="A98" t="inlineStr">
        <is>
          <t>A 804-2023</t>
        </is>
      </c>
      <c r="B98" s="1" t="n">
        <v>44931</v>
      </c>
      <c r="C98" s="1" t="n">
        <v>45925</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42353-2023</t>
        </is>
      </c>
      <c r="B99" s="1" t="n">
        <v>45180</v>
      </c>
      <c r="C99" s="1" t="n">
        <v>45925</v>
      </c>
      <c r="D99" t="inlineStr">
        <is>
          <t>KALMAR LÄN</t>
        </is>
      </c>
      <c r="E99" t="inlineStr">
        <is>
          <t>VÄSTERVIK</t>
        </is>
      </c>
      <c r="G99" t="n">
        <v>11.3</v>
      </c>
      <c r="H99" t="n">
        <v>1</v>
      </c>
      <c r="I99" t="n">
        <v>1</v>
      </c>
      <c r="J99" t="n">
        <v>1</v>
      </c>
      <c r="K99" t="n">
        <v>1</v>
      </c>
      <c r="L99" t="n">
        <v>0</v>
      </c>
      <c r="M99" t="n">
        <v>0</v>
      </c>
      <c r="N99" t="n">
        <v>0</v>
      </c>
      <c r="O99" t="n">
        <v>2</v>
      </c>
      <c r="P99" t="n">
        <v>1</v>
      </c>
      <c r="Q99" t="n">
        <v>3</v>
      </c>
      <c r="R99" s="2" t="inlineStr">
        <is>
          <t>Knärot
Tallticka
Blomkålssvamp</t>
        </is>
      </c>
      <c r="S99">
        <f>HYPERLINK("https://klasma.github.io/Logging_0883/artfynd/A 42353-2023 artfynd.xlsx", "A 42353-2023")</f>
        <v/>
      </c>
      <c r="T99">
        <f>HYPERLINK("https://klasma.github.io/Logging_0883/kartor/A 42353-2023 karta.png", "A 42353-2023")</f>
        <v/>
      </c>
      <c r="U99">
        <f>HYPERLINK("https://klasma.github.io/Logging_0883/knärot/A 42353-2023 karta knärot.png", "A 42353-2023")</f>
        <v/>
      </c>
      <c r="V99">
        <f>HYPERLINK("https://klasma.github.io/Logging_0883/klagomål/A 42353-2023 FSC-klagomål.docx", "A 42353-2023")</f>
        <v/>
      </c>
      <c r="W99">
        <f>HYPERLINK("https://klasma.github.io/Logging_0883/klagomålsmail/A 42353-2023 FSC-klagomål mail.docx", "A 42353-2023")</f>
        <v/>
      </c>
      <c r="X99">
        <f>HYPERLINK("https://klasma.github.io/Logging_0883/tillsyn/A 42353-2023 tillsynsbegäran.docx", "A 42353-2023")</f>
        <v/>
      </c>
      <c r="Y99">
        <f>HYPERLINK("https://klasma.github.io/Logging_0883/tillsynsmail/A 42353-2023 tillsynsbegäran mail.docx", "A 42353-2023")</f>
        <v/>
      </c>
    </row>
    <row r="100" ht="15" customHeight="1">
      <c r="A100" t="inlineStr">
        <is>
          <t>A 21084-2025</t>
        </is>
      </c>
      <c r="B100" s="1" t="n">
        <v>45777.6084837963</v>
      </c>
      <c r="C100" s="1" t="n">
        <v>45925</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Grönpyrola</t>
        </is>
      </c>
      <c r="S100">
        <f>HYPERLINK("https://klasma.github.io/Logging_0883/artfynd/A 21084-2025 artfynd.xlsx", "A 21084-2025")</f>
        <v/>
      </c>
      <c r="T100">
        <f>HYPERLINK("https://klasma.github.io/Logging_0883/kartor/A 21084-2025 karta.png", "A 21084-2025")</f>
        <v/>
      </c>
      <c r="V100">
        <f>HYPERLINK("https://klasma.github.io/Logging_0883/klagomål/A 21084-2025 FSC-klagomål.docx", "A 21084-2025")</f>
        <v/>
      </c>
      <c r="W100">
        <f>HYPERLINK("https://klasma.github.io/Logging_0883/klagomålsmail/A 21084-2025 FSC-klagomål mail.docx", "A 21084-2025")</f>
        <v/>
      </c>
      <c r="X100">
        <f>HYPERLINK("https://klasma.github.io/Logging_0883/tillsyn/A 21084-2025 tillsynsbegäran.docx", "A 21084-2025")</f>
        <v/>
      </c>
      <c r="Y100">
        <f>HYPERLINK("https://klasma.github.io/Logging_0883/tillsynsmail/A 21084-2025 tillsynsbegäran mail.docx", "A 21084-2025")</f>
        <v/>
      </c>
      <c r="Z100">
        <f>HYPERLINK("https://klasma.github.io/Logging_0883/fåglar/A 21084-2025 prioriterade fågelarter.docx", "A 21084-2025")</f>
        <v/>
      </c>
    </row>
    <row r="101" ht="15" customHeight="1">
      <c r="A101" t="inlineStr">
        <is>
          <t>A 55506-2022</t>
        </is>
      </c>
      <c r="B101" s="1" t="n">
        <v>44887</v>
      </c>
      <c r="C101" s="1" t="n">
        <v>45925</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58750-2024</t>
        </is>
      </c>
      <c r="B102" s="1" t="n">
        <v>45635.71747685185</v>
      </c>
      <c r="C102" s="1" t="n">
        <v>45925</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27067-2024</t>
        </is>
      </c>
      <c r="B103" s="1" t="n">
        <v>45471</v>
      </c>
      <c r="C103" s="1" t="n">
        <v>45925</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1763-2025</t>
        </is>
      </c>
      <c r="B104" s="1" t="n">
        <v>45671</v>
      </c>
      <c r="C104" s="1" t="n">
        <v>45925</v>
      </c>
      <c r="D104" t="inlineStr">
        <is>
          <t>KALMAR LÄN</t>
        </is>
      </c>
      <c r="E104" t="inlineStr">
        <is>
          <t>VÄSTERVIK</t>
        </is>
      </c>
      <c r="G104" t="n">
        <v>1.1</v>
      </c>
      <c r="H104" t="n">
        <v>2</v>
      </c>
      <c r="I104" t="n">
        <v>1</v>
      </c>
      <c r="J104" t="n">
        <v>2</v>
      </c>
      <c r="K104" t="n">
        <v>0</v>
      </c>
      <c r="L104" t="n">
        <v>0</v>
      </c>
      <c r="M104" t="n">
        <v>0</v>
      </c>
      <c r="N104" t="n">
        <v>0</v>
      </c>
      <c r="O104" t="n">
        <v>2</v>
      </c>
      <c r="P104" t="n">
        <v>0</v>
      </c>
      <c r="Q104" t="n">
        <v>3</v>
      </c>
      <c r="R104" s="2" t="inlineStr">
        <is>
          <t>Spillkråka
Talltita
Blåmossa</t>
        </is>
      </c>
      <c r="S104">
        <f>HYPERLINK("https://klasma.github.io/Logging_0883/artfynd/A 1763-2025 artfynd.xlsx", "A 1763-2025")</f>
        <v/>
      </c>
      <c r="T104">
        <f>HYPERLINK("https://klasma.github.io/Logging_0883/kartor/A 1763-2025 karta.png", "A 1763-2025")</f>
        <v/>
      </c>
      <c r="V104">
        <f>HYPERLINK("https://klasma.github.io/Logging_0883/klagomål/A 1763-2025 FSC-klagomål.docx", "A 1763-2025")</f>
        <v/>
      </c>
      <c r="W104">
        <f>HYPERLINK("https://klasma.github.io/Logging_0883/klagomålsmail/A 1763-2025 FSC-klagomål mail.docx", "A 1763-2025")</f>
        <v/>
      </c>
      <c r="X104">
        <f>HYPERLINK("https://klasma.github.io/Logging_0883/tillsyn/A 1763-2025 tillsynsbegäran.docx", "A 1763-2025")</f>
        <v/>
      </c>
      <c r="Y104">
        <f>HYPERLINK("https://klasma.github.io/Logging_0883/tillsynsmail/A 1763-2025 tillsynsbegäran mail.docx", "A 1763-2025")</f>
        <v/>
      </c>
      <c r="Z104">
        <f>HYPERLINK("https://klasma.github.io/Logging_0883/fåglar/A 1763-2025 prioriterade fågelarter.docx", "A 1763-2025")</f>
        <v/>
      </c>
    </row>
    <row r="105" ht="15" customHeight="1">
      <c r="A105" t="inlineStr">
        <is>
          <t>A 1764-2025</t>
        </is>
      </c>
      <c r="B105" s="1" t="n">
        <v>45671</v>
      </c>
      <c r="C105" s="1" t="n">
        <v>45925</v>
      </c>
      <c r="D105" t="inlineStr">
        <is>
          <t>KALMAR LÄN</t>
        </is>
      </c>
      <c r="E105" t="inlineStr">
        <is>
          <t>VÄSTERVIK</t>
        </is>
      </c>
      <c r="G105" t="n">
        <v>1.8</v>
      </c>
      <c r="H105" t="n">
        <v>1</v>
      </c>
      <c r="I105" t="n">
        <v>1</v>
      </c>
      <c r="J105" t="n">
        <v>1</v>
      </c>
      <c r="K105" t="n">
        <v>1</v>
      </c>
      <c r="L105" t="n">
        <v>0</v>
      </c>
      <c r="M105" t="n">
        <v>0</v>
      </c>
      <c r="N105" t="n">
        <v>0</v>
      </c>
      <c r="O105" t="n">
        <v>2</v>
      </c>
      <c r="P105" t="n">
        <v>1</v>
      </c>
      <c r="Q105" t="n">
        <v>3</v>
      </c>
      <c r="R105" s="2" t="inlineStr">
        <is>
          <t>Knärot
Ullticka
Grovticka</t>
        </is>
      </c>
      <c r="S105">
        <f>HYPERLINK("https://klasma.github.io/Logging_0883/artfynd/A 1764-2025 artfynd.xlsx", "A 1764-2025")</f>
        <v/>
      </c>
      <c r="T105">
        <f>HYPERLINK("https://klasma.github.io/Logging_0883/kartor/A 1764-2025 karta.png", "A 1764-2025")</f>
        <v/>
      </c>
      <c r="U105">
        <f>HYPERLINK("https://klasma.github.io/Logging_0883/knärot/A 1764-2025 karta knärot.png", "A 1764-2025")</f>
        <v/>
      </c>
      <c r="V105">
        <f>HYPERLINK("https://klasma.github.io/Logging_0883/klagomål/A 1764-2025 FSC-klagomål.docx", "A 1764-2025")</f>
        <v/>
      </c>
      <c r="W105">
        <f>HYPERLINK("https://klasma.github.io/Logging_0883/klagomålsmail/A 1764-2025 FSC-klagomål mail.docx", "A 1764-2025")</f>
        <v/>
      </c>
      <c r="X105">
        <f>HYPERLINK("https://klasma.github.io/Logging_0883/tillsyn/A 1764-2025 tillsynsbegäran.docx", "A 1764-2025")</f>
        <v/>
      </c>
      <c r="Y105">
        <f>HYPERLINK("https://klasma.github.io/Logging_0883/tillsynsmail/A 1764-2025 tillsynsbegäran mail.docx", "A 1764-2025")</f>
        <v/>
      </c>
    </row>
    <row r="106" ht="15" customHeight="1">
      <c r="A106" t="inlineStr">
        <is>
          <t>A 21658-2025</t>
        </is>
      </c>
      <c r="B106" s="1" t="n">
        <v>45783.45474537037</v>
      </c>
      <c r="C106" s="1" t="n">
        <v>45925</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2657-2024</t>
        </is>
      </c>
      <c r="B107" s="1" t="n">
        <v>45314</v>
      </c>
      <c r="C107" s="1" t="n">
        <v>45925</v>
      </c>
      <c r="D107" t="inlineStr">
        <is>
          <t>KALMAR LÄN</t>
        </is>
      </c>
      <c r="E107" t="inlineStr">
        <is>
          <t>VÄSTERVIK</t>
        </is>
      </c>
      <c r="G107" t="n">
        <v>5.9</v>
      </c>
      <c r="H107" t="n">
        <v>2</v>
      </c>
      <c r="I107" t="n">
        <v>1</v>
      </c>
      <c r="J107" t="n">
        <v>1</v>
      </c>
      <c r="K107" t="n">
        <v>1</v>
      </c>
      <c r="L107" t="n">
        <v>0</v>
      </c>
      <c r="M107" t="n">
        <v>0</v>
      </c>
      <c r="N107" t="n">
        <v>0</v>
      </c>
      <c r="O107" t="n">
        <v>2</v>
      </c>
      <c r="P107" t="n">
        <v>1</v>
      </c>
      <c r="Q107" t="n">
        <v>3</v>
      </c>
      <c r="R107" s="2" t="inlineStr">
        <is>
          <t>Knärot
Spillkråka
Grönpyrola</t>
        </is>
      </c>
      <c r="S107">
        <f>HYPERLINK("https://klasma.github.io/Logging_0883/artfynd/A 2657-2024 artfynd.xlsx", "A 2657-2024")</f>
        <v/>
      </c>
      <c r="T107">
        <f>HYPERLINK("https://klasma.github.io/Logging_0883/kartor/A 2657-2024 karta.png", "A 2657-2024")</f>
        <v/>
      </c>
      <c r="U107">
        <f>HYPERLINK("https://klasma.github.io/Logging_0883/knärot/A 2657-2024 karta knärot.png", "A 2657-2024")</f>
        <v/>
      </c>
      <c r="V107">
        <f>HYPERLINK("https://klasma.github.io/Logging_0883/klagomål/A 2657-2024 FSC-klagomål.docx", "A 2657-2024")</f>
        <v/>
      </c>
      <c r="W107">
        <f>HYPERLINK("https://klasma.github.io/Logging_0883/klagomålsmail/A 2657-2024 FSC-klagomål mail.docx", "A 2657-2024")</f>
        <v/>
      </c>
      <c r="X107">
        <f>HYPERLINK("https://klasma.github.io/Logging_0883/tillsyn/A 2657-2024 tillsynsbegäran.docx", "A 2657-2024")</f>
        <v/>
      </c>
      <c r="Y107">
        <f>HYPERLINK("https://klasma.github.io/Logging_0883/tillsynsmail/A 2657-2024 tillsynsbegäran mail.docx", "A 2657-2024")</f>
        <v/>
      </c>
      <c r="Z107">
        <f>HYPERLINK("https://klasma.github.io/Logging_0883/fåglar/A 2657-2024 prioriterade fågelarter.docx", "A 2657-2024")</f>
        <v/>
      </c>
    </row>
    <row r="108" ht="15" customHeight="1">
      <c r="A108" t="inlineStr">
        <is>
          <t>A 15595-2021</t>
        </is>
      </c>
      <c r="B108" s="1" t="n">
        <v>44285.66680555556</v>
      </c>
      <c r="C108" s="1" t="n">
        <v>45925</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3658-2024</t>
        </is>
      </c>
      <c r="B109" s="1" t="n">
        <v>45321</v>
      </c>
      <c r="C109" s="1" t="n">
        <v>45925</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11849-2024</t>
        </is>
      </c>
      <c r="B110" s="1" t="n">
        <v>45376.41797453703</v>
      </c>
      <c r="C110" s="1" t="n">
        <v>45925</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2515-2023</t>
        </is>
      </c>
      <c r="B111" s="1" t="n">
        <v>44943</v>
      </c>
      <c r="C111" s="1" t="n">
        <v>45925</v>
      </c>
      <c r="D111" t="inlineStr">
        <is>
          <t>KALMAR LÄN</t>
        </is>
      </c>
      <c r="E111" t="inlineStr">
        <is>
          <t>VÄSTERVIK</t>
        </is>
      </c>
      <c r="G111" t="n">
        <v>1.3</v>
      </c>
      <c r="H111" t="n">
        <v>1</v>
      </c>
      <c r="I111" t="n">
        <v>1</v>
      </c>
      <c r="J111" t="n">
        <v>0</v>
      </c>
      <c r="K111" t="n">
        <v>1</v>
      </c>
      <c r="L111" t="n">
        <v>0</v>
      </c>
      <c r="M111" t="n">
        <v>0</v>
      </c>
      <c r="N111" t="n">
        <v>0</v>
      </c>
      <c r="O111" t="n">
        <v>1</v>
      </c>
      <c r="P111" t="n">
        <v>1</v>
      </c>
      <c r="Q111" t="n">
        <v>2</v>
      </c>
      <c r="R111" s="2" t="inlineStr">
        <is>
          <t>Knärot
Grönpyrola</t>
        </is>
      </c>
      <c r="S111">
        <f>HYPERLINK("https://klasma.github.io/Logging_0883/artfynd/A 2515-2023 artfynd.xlsx", "A 2515-2023")</f>
        <v/>
      </c>
      <c r="T111">
        <f>HYPERLINK("https://klasma.github.io/Logging_0883/kartor/A 2515-2023 karta.png", "A 2515-2023")</f>
        <v/>
      </c>
      <c r="U111">
        <f>HYPERLINK("https://klasma.github.io/Logging_0883/knärot/A 2515-2023 karta knärot.png", "A 2515-2023")</f>
        <v/>
      </c>
      <c r="V111">
        <f>HYPERLINK("https://klasma.github.io/Logging_0883/klagomål/A 2515-2023 FSC-klagomål.docx", "A 2515-2023")</f>
        <v/>
      </c>
      <c r="W111">
        <f>HYPERLINK("https://klasma.github.io/Logging_0883/klagomålsmail/A 2515-2023 FSC-klagomål mail.docx", "A 2515-2023")</f>
        <v/>
      </c>
      <c r="X111">
        <f>HYPERLINK("https://klasma.github.io/Logging_0883/tillsyn/A 2515-2023 tillsynsbegäran.docx", "A 2515-2023")</f>
        <v/>
      </c>
      <c r="Y111">
        <f>HYPERLINK("https://klasma.github.io/Logging_0883/tillsynsmail/A 2515-2023 tillsynsbegäran mail.docx", "A 2515-2023")</f>
        <v/>
      </c>
    </row>
    <row r="112" ht="15" customHeight="1">
      <c r="A112" t="inlineStr">
        <is>
          <t>A 12212-2024</t>
        </is>
      </c>
      <c r="B112" s="1" t="n">
        <v>45378.31111111111</v>
      </c>
      <c r="C112" s="1" t="n">
        <v>45925</v>
      </c>
      <c r="D112" t="inlineStr">
        <is>
          <t>KALMAR LÄN</t>
        </is>
      </c>
      <c r="E112" t="inlineStr">
        <is>
          <t>VÄSTERVIK</t>
        </is>
      </c>
      <c r="G112" t="n">
        <v>0.8</v>
      </c>
      <c r="H112" t="n">
        <v>2</v>
      </c>
      <c r="I112" t="n">
        <v>0</v>
      </c>
      <c r="J112" t="n">
        <v>2</v>
      </c>
      <c r="K112" t="n">
        <v>0</v>
      </c>
      <c r="L112" t="n">
        <v>0</v>
      </c>
      <c r="M112" t="n">
        <v>0</v>
      </c>
      <c r="N112" t="n">
        <v>0</v>
      </c>
      <c r="O112" t="n">
        <v>2</v>
      </c>
      <c r="P112" t="n">
        <v>0</v>
      </c>
      <c r="Q112" t="n">
        <v>2</v>
      </c>
      <c r="R112" s="2" t="inlineStr">
        <is>
          <t>Spillkråka
Talltita</t>
        </is>
      </c>
      <c r="S112">
        <f>HYPERLINK("https://klasma.github.io/Logging_0883/artfynd/A 12212-2024 artfynd.xlsx", "A 12212-2024")</f>
        <v/>
      </c>
      <c r="T112">
        <f>HYPERLINK("https://klasma.github.io/Logging_0883/kartor/A 12212-2024 karta.png", "A 12212-2024")</f>
        <v/>
      </c>
      <c r="V112">
        <f>HYPERLINK("https://klasma.github.io/Logging_0883/klagomål/A 12212-2024 FSC-klagomål.docx", "A 12212-2024")</f>
        <v/>
      </c>
      <c r="W112">
        <f>HYPERLINK("https://klasma.github.io/Logging_0883/klagomålsmail/A 12212-2024 FSC-klagomål mail.docx", "A 12212-2024")</f>
        <v/>
      </c>
      <c r="X112">
        <f>HYPERLINK("https://klasma.github.io/Logging_0883/tillsyn/A 12212-2024 tillsynsbegäran.docx", "A 12212-2024")</f>
        <v/>
      </c>
      <c r="Y112">
        <f>HYPERLINK("https://klasma.github.io/Logging_0883/tillsynsmail/A 12212-2024 tillsynsbegäran mail.docx", "A 12212-2024")</f>
        <v/>
      </c>
      <c r="Z112">
        <f>HYPERLINK("https://klasma.github.io/Logging_0883/fåglar/A 12212-2024 prioriterade fågelarter.docx", "A 12212-2024")</f>
        <v/>
      </c>
    </row>
    <row r="113" ht="15" customHeight="1">
      <c r="A113" t="inlineStr">
        <is>
          <t>A 59940-2021</t>
        </is>
      </c>
      <c r="B113" s="1" t="n">
        <v>44494</v>
      </c>
      <c r="C113" s="1" t="n">
        <v>45925</v>
      </c>
      <c r="D113" t="inlineStr">
        <is>
          <t>KALMAR LÄN</t>
        </is>
      </c>
      <c r="E113" t="inlineStr">
        <is>
          <t>VÄSTERVIK</t>
        </is>
      </c>
      <c r="G113" t="n">
        <v>4.3</v>
      </c>
      <c r="H113" t="n">
        <v>1</v>
      </c>
      <c r="I113" t="n">
        <v>1</v>
      </c>
      <c r="J113" t="n">
        <v>0</v>
      </c>
      <c r="K113" t="n">
        <v>1</v>
      </c>
      <c r="L113" t="n">
        <v>0</v>
      </c>
      <c r="M113" t="n">
        <v>0</v>
      </c>
      <c r="N113" t="n">
        <v>0</v>
      </c>
      <c r="O113" t="n">
        <v>1</v>
      </c>
      <c r="P113" t="n">
        <v>1</v>
      </c>
      <c r="Q113" t="n">
        <v>2</v>
      </c>
      <c r="R113" s="2" t="inlineStr">
        <is>
          <t>Knärot
Grönpyrola</t>
        </is>
      </c>
      <c r="S113">
        <f>HYPERLINK("https://klasma.github.io/Logging_0883/artfynd/A 59940-2021 artfynd.xlsx", "A 59940-2021")</f>
        <v/>
      </c>
      <c r="T113">
        <f>HYPERLINK("https://klasma.github.io/Logging_0883/kartor/A 59940-2021 karta.png", "A 59940-2021")</f>
        <v/>
      </c>
      <c r="U113">
        <f>HYPERLINK("https://klasma.github.io/Logging_0883/knärot/A 59940-2021 karta knärot.png", "A 59940-2021")</f>
        <v/>
      </c>
      <c r="V113">
        <f>HYPERLINK("https://klasma.github.io/Logging_0883/klagomål/A 59940-2021 FSC-klagomål.docx", "A 59940-2021")</f>
        <v/>
      </c>
      <c r="W113">
        <f>HYPERLINK("https://klasma.github.io/Logging_0883/klagomålsmail/A 59940-2021 FSC-klagomål mail.docx", "A 59940-2021")</f>
        <v/>
      </c>
      <c r="X113">
        <f>HYPERLINK("https://klasma.github.io/Logging_0883/tillsyn/A 59940-2021 tillsynsbegäran.docx", "A 59940-2021")</f>
        <v/>
      </c>
      <c r="Y113">
        <f>HYPERLINK("https://klasma.github.io/Logging_0883/tillsynsmail/A 59940-2021 tillsynsbegäran mail.docx", "A 59940-2021")</f>
        <v/>
      </c>
    </row>
    <row r="114" ht="15" customHeight="1">
      <c r="A114" t="inlineStr">
        <is>
          <t>A 46552-2022</t>
        </is>
      </c>
      <c r="B114" s="1" t="n">
        <v>44848</v>
      </c>
      <c r="C114" s="1" t="n">
        <v>45925</v>
      </c>
      <c r="D114" t="inlineStr">
        <is>
          <t>KALMAR LÄN</t>
        </is>
      </c>
      <c r="E114" t="inlineStr">
        <is>
          <t>VÄSTERVIK</t>
        </is>
      </c>
      <c r="F114" t="inlineStr">
        <is>
          <t>Sveaskog</t>
        </is>
      </c>
      <c r="G114" t="n">
        <v>1.7</v>
      </c>
      <c r="H114" t="n">
        <v>0</v>
      </c>
      <c r="I114" t="n">
        <v>1</v>
      </c>
      <c r="J114" t="n">
        <v>1</v>
      </c>
      <c r="K114" t="n">
        <v>0</v>
      </c>
      <c r="L114" t="n">
        <v>0</v>
      </c>
      <c r="M114" t="n">
        <v>0</v>
      </c>
      <c r="N114" t="n">
        <v>0</v>
      </c>
      <c r="O114" t="n">
        <v>1</v>
      </c>
      <c r="P114" t="n">
        <v>0</v>
      </c>
      <c r="Q114" t="n">
        <v>2</v>
      </c>
      <c r="R114" s="2" t="inlineStr">
        <is>
          <t>Motaggsvamp
Sårläka</t>
        </is>
      </c>
      <c r="S114">
        <f>HYPERLINK("https://klasma.github.io/Logging_0883/artfynd/A 46552-2022 artfynd.xlsx", "A 46552-2022")</f>
        <v/>
      </c>
      <c r="T114">
        <f>HYPERLINK("https://klasma.github.io/Logging_0883/kartor/A 46552-2022 karta.png", "A 46552-2022")</f>
        <v/>
      </c>
      <c r="V114">
        <f>HYPERLINK("https://klasma.github.io/Logging_0883/klagomål/A 46552-2022 FSC-klagomål.docx", "A 46552-2022")</f>
        <v/>
      </c>
      <c r="W114">
        <f>HYPERLINK("https://klasma.github.io/Logging_0883/klagomålsmail/A 46552-2022 FSC-klagomål mail.docx", "A 46552-2022")</f>
        <v/>
      </c>
      <c r="X114">
        <f>HYPERLINK("https://klasma.github.io/Logging_0883/tillsyn/A 46552-2022 tillsynsbegäran.docx", "A 46552-2022")</f>
        <v/>
      </c>
      <c r="Y114">
        <f>HYPERLINK("https://klasma.github.io/Logging_0883/tillsynsmail/A 46552-2022 tillsynsbegäran mail.docx", "A 46552-2022")</f>
        <v/>
      </c>
    </row>
    <row r="115" ht="15" customHeight="1">
      <c r="A115" t="inlineStr">
        <is>
          <t>A 53769-2021</t>
        </is>
      </c>
      <c r="B115" s="1" t="n">
        <v>44467</v>
      </c>
      <c r="C115" s="1" t="n">
        <v>45925</v>
      </c>
      <c r="D115" t="inlineStr">
        <is>
          <t>KALMAR LÄN</t>
        </is>
      </c>
      <c r="E115" t="inlineStr">
        <is>
          <t>VÄSTERVIK</t>
        </is>
      </c>
      <c r="G115" t="n">
        <v>2.2</v>
      </c>
      <c r="H115" t="n">
        <v>1</v>
      </c>
      <c r="I115" t="n">
        <v>2</v>
      </c>
      <c r="J115" t="n">
        <v>0</v>
      </c>
      <c r="K115" t="n">
        <v>0</v>
      </c>
      <c r="L115" t="n">
        <v>0</v>
      </c>
      <c r="M115" t="n">
        <v>0</v>
      </c>
      <c r="N115" t="n">
        <v>0</v>
      </c>
      <c r="O115" t="n">
        <v>0</v>
      </c>
      <c r="P115" t="n">
        <v>0</v>
      </c>
      <c r="Q115" t="n">
        <v>2</v>
      </c>
      <c r="R115" s="2" t="inlineStr">
        <is>
          <t>Grön sköldmossa
Stubbspretmossa</t>
        </is>
      </c>
      <c r="S115">
        <f>HYPERLINK("https://klasma.github.io/Logging_0883/artfynd/A 53769-2021 artfynd.xlsx", "A 53769-2021")</f>
        <v/>
      </c>
      <c r="T115">
        <f>HYPERLINK("https://klasma.github.io/Logging_0883/kartor/A 53769-2021 karta.png", "A 53769-2021")</f>
        <v/>
      </c>
      <c r="V115">
        <f>HYPERLINK("https://klasma.github.io/Logging_0883/klagomål/A 53769-2021 FSC-klagomål.docx", "A 53769-2021")</f>
        <v/>
      </c>
      <c r="W115">
        <f>HYPERLINK("https://klasma.github.io/Logging_0883/klagomålsmail/A 53769-2021 FSC-klagomål mail.docx", "A 53769-2021")</f>
        <v/>
      </c>
      <c r="X115">
        <f>HYPERLINK("https://klasma.github.io/Logging_0883/tillsyn/A 53769-2021 tillsynsbegäran.docx", "A 53769-2021")</f>
        <v/>
      </c>
      <c r="Y115">
        <f>HYPERLINK("https://klasma.github.io/Logging_0883/tillsynsmail/A 53769-2021 tillsynsbegäran mail.docx", "A 53769-2021")</f>
        <v/>
      </c>
    </row>
    <row r="116" ht="15" customHeight="1">
      <c r="A116" t="inlineStr">
        <is>
          <t>A 46787-2022</t>
        </is>
      </c>
      <c r="B116" s="1" t="n">
        <v>44851</v>
      </c>
      <c r="C116" s="1" t="n">
        <v>45925</v>
      </c>
      <c r="D116" t="inlineStr">
        <is>
          <t>KALMAR LÄN</t>
        </is>
      </c>
      <c r="E116" t="inlineStr">
        <is>
          <t>VÄSTERVIK</t>
        </is>
      </c>
      <c r="G116" t="n">
        <v>4.4</v>
      </c>
      <c r="H116" t="n">
        <v>0</v>
      </c>
      <c r="I116" t="n">
        <v>0</v>
      </c>
      <c r="J116" t="n">
        <v>2</v>
      </c>
      <c r="K116" t="n">
        <v>0</v>
      </c>
      <c r="L116" t="n">
        <v>0</v>
      </c>
      <c r="M116" t="n">
        <v>0</v>
      </c>
      <c r="N116" t="n">
        <v>0</v>
      </c>
      <c r="O116" t="n">
        <v>2</v>
      </c>
      <c r="P116" t="n">
        <v>0</v>
      </c>
      <c r="Q116" t="n">
        <v>2</v>
      </c>
      <c r="R116" s="2" t="inlineStr">
        <is>
          <t>Motaggsvamp
Tallticka</t>
        </is>
      </c>
      <c r="S116">
        <f>HYPERLINK("https://klasma.github.io/Logging_0883/artfynd/A 46787-2022 artfynd.xlsx", "A 46787-2022")</f>
        <v/>
      </c>
      <c r="T116">
        <f>HYPERLINK("https://klasma.github.io/Logging_0883/kartor/A 46787-2022 karta.png", "A 46787-2022")</f>
        <v/>
      </c>
      <c r="V116">
        <f>HYPERLINK("https://klasma.github.io/Logging_0883/klagomål/A 46787-2022 FSC-klagomål.docx", "A 46787-2022")</f>
        <v/>
      </c>
      <c r="W116">
        <f>HYPERLINK("https://klasma.github.io/Logging_0883/klagomålsmail/A 46787-2022 FSC-klagomål mail.docx", "A 46787-2022")</f>
        <v/>
      </c>
      <c r="X116">
        <f>HYPERLINK("https://klasma.github.io/Logging_0883/tillsyn/A 46787-2022 tillsynsbegäran.docx", "A 46787-2022")</f>
        <v/>
      </c>
      <c r="Y116">
        <f>HYPERLINK("https://klasma.github.io/Logging_0883/tillsynsmail/A 46787-2022 tillsynsbegäran mail.docx", "A 46787-2022")</f>
        <v/>
      </c>
    </row>
    <row r="117" ht="15" customHeight="1">
      <c r="A117" t="inlineStr">
        <is>
          <t>A 61804-2023</t>
        </is>
      </c>
      <c r="B117" s="1" t="n">
        <v>45266</v>
      </c>
      <c r="C117" s="1" t="n">
        <v>45925</v>
      </c>
      <c r="D117" t="inlineStr">
        <is>
          <t>KALMAR LÄN</t>
        </is>
      </c>
      <c r="E117" t="inlineStr">
        <is>
          <t>VÄSTERVIK</t>
        </is>
      </c>
      <c r="G117" t="n">
        <v>2.3</v>
      </c>
      <c r="H117" t="n">
        <v>0</v>
      </c>
      <c r="I117" t="n">
        <v>0</v>
      </c>
      <c r="J117" t="n">
        <v>2</v>
      </c>
      <c r="K117" t="n">
        <v>0</v>
      </c>
      <c r="L117" t="n">
        <v>0</v>
      </c>
      <c r="M117" t="n">
        <v>0</v>
      </c>
      <c r="N117" t="n">
        <v>0</v>
      </c>
      <c r="O117" t="n">
        <v>2</v>
      </c>
      <c r="P117" t="n">
        <v>0</v>
      </c>
      <c r="Q117" t="n">
        <v>2</v>
      </c>
      <c r="R117" s="2" t="inlineStr">
        <is>
          <t>Bredbrämad bastardsvärmare
Smalsprötad bastardsvärmare</t>
        </is>
      </c>
      <c r="S117">
        <f>HYPERLINK("https://klasma.github.io/Logging_0883/artfynd/A 61804-2023 artfynd.xlsx", "A 61804-2023")</f>
        <v/>
      </c>
      <c r="T117">
        <f>HYPERLINK("https://klasma.github.io/Logging_0883/kartor/A 61804-2023 karta.png", "A 61804-2023")</f>
        <v/>
      </c>
      <c r="V117">
        <f>HYPERLINK("https://klasma.github.io/Logging_0883/klagomål/A 61804-2023 FSC-klagomål.docx", "A 61804-2023")</f>
        <v/>
      </c>
      <c r="W117">
        <f>HYPERLINK("https://klasma.github.io/Logging_0883/klagomålsmail/A 61804-2023 FSC-klagomål mail.docx", "A 61804-2023")</f>
        <v/>
      </c>
      <c r="X117">
        <f>HYPERLINK("https://klasma.github.io/Logging_0883/tillsyn/A 61804-2023 tillsynsbegäran.docx", "A 61804-2023")</f>
        <v/>
      </c>
      <c r="Y117">
        <f>HYPERLINK("https://klasma.github.io/Logging_0883/tillsynsmail/A 61804-2023 tillsynsbegäran mail.docx", "A 61804-2023")</f>
        <v/>
      </c>
    </row>
    <row r="118" ht="15" customHeight="1">
      <c r="A118" t="inlineStr">
        <is>
          <t>A 3264-2024</t>
        </is>
      </c>
      <c r="B118" s="1" t="n">
        <v>45317</v>
      </c>
      <c r="C118" s="1" t="n">
        <v>45925</v>
      </c>
      <c r="D118" t="inlineStr">
        <is>
          <t>KALMAR LÄN</t>
        </is>
      </c>
      <c r="E118" t="inlineStr">
        <is>
          <t>VÄSTERVIK</t>
        </is>
      </c>
      <c r="G118" t="n">
        <v>6.5</v>
      </c>
      <c r="H118" t="n">
        <v>1</v>
      </c>
      <c r="I118" t="n">
        <v>1</v>
      </c>
      <c r="J118" t="n">
        <v>1</v>
      </c>
      <c r="K118" t="n">
        <v>0</v>
      </c>
      <c r="L118" t="n">
        <v>0</v>
      </c>
      <c r="M118" t="n">
        <v>0</v>
      </c>
      <c r="N118" t="n">
        <v>0</v>
      </c>
      <c r="O118" t="n">
        <v>1</v>
      </c>
      <c r="P118" t="n">
        <v>0</v>
      </c>
      <c r="Q118" t="n">
        <v>2</v>
      </c>
      <c r="R118" s="2" t="inlineStr">
        <is>
          <t>Spillkråka
Blåmossa</t>
        </is>
      </c>
      <c r="S118">
        <f>HYPERLINK("https://klasma.github.io/Logging_0883/artfynd/A 3264-2024 artfynd.xlsx", "A 3264-2024")</f>
        <v/>
      </c>
      <c r="T118">
        <f>HYPERLINK("https://klasma.github.io/Logging_0883/kartor/A 3264-2024 karta.png", "A 3264-2024")</f>
        <v/>
      </c>
      <c r="V118">
        <f>HYPERLINK("https://klasma.github.io/Logging_0883/klagomål/A 3264-2024 FSC-klagomål.docx", "A 3264-2024")</f>
        <v/>
      </c>
      <c r="W118">
        <f>HYPERLINK("https://klasma.github.io/Logging_0883/klagomålsmail/A 3264-2024 FSC-klagomål mail.docx", "A 3264-2024")</f>
        <v/>
      </c>
      <c r="X118">
        <f>HYPERLINK("https://klasma.github.io/Logging_0883/tillsyn/A 3264-2024 tillsynsbegäran.docx", "A 3264-2024")</f>
        <v/>
      </c>
      <c r="Y118">
        <f>HYPERLINK("https://klasma.github.io/Logging_0883/tillsynsmail/A 3264-2024 tillsynsbegäran mail.docx", "A 3264-2024")</f>
        <v/>
      </c>
      <c r="Z118">
        <f>HYPERLINK("https://klasma.github.io/Logging_0883/fåglar/A 3264-2024 prioriterade fågelarter.docx", "A 3264-2024")</f>
        <v/>
      </c>
    </row>
    <row r="119" ht="15" customHeight="1">
      <c r="A119" t="inlineStr">
        <is>
          <t>A 2126-2024</t>
        </is>
      </c>
      <c r="B119" s="1" t="n">
        <v>45309</v>
      </c>
      <c r="C119" s="1" t="n">
        <v>45925</v>
      </c>
      <c r="D119" t="inlineStr">
        <is>
          <t>KALMAR LÄN</t>
        </is>
      </c>
      <c r="E119" t="inlineStr">
        <is>
          <t>VÄSTERVIK</t>
        </is>
      </c>
      <c r="G119" t="n">
        <v>3.8</v>
      </c>
      <c r="H119" t="n">
        <v>2</v>
      </c>
      <c r="I119" t="n">
        <v>0</v>
      </c>
      <c r="J119" t="n">
        <v>1</v>
      </c>
      <c r="K119" t="n">
        <v>1</v>
      </c>
      <c r="L119" t="n">
        <v>0</v>
      </c>
      <c r="M119" t="n">
        <v>0</v>
      </c>
      <c r="N119" t="n">
        <v>0</v>
      </c>
      <c r="O119" t="n">
        <v>2</v>
      </c>
      <c r="P119" t="n">
        <v>1</v>
      </c>
      <c r="Q119" t="n">
        <v>2</v>
      </c>
      <c r="R119" s="2" t="inlineStr">
        <is>
          <t>Knärot
Talltita</t>
        </is>
      </c>
      <c r="S119">
        <f>HYPERLINK("https://klasma.github.io/Logging_0883/artfynd/A 2126-2024 artfynd.xlsx", "A 2126-2024")</f>
        <v/>
      </c>
      <c r="T119">
        <f>HYPERLINK("https://klasma.github.io/Logging_0883/kartor/A 2126-2024 karta.png", "A 2126-2024")</f>
        <v/>
      </c>
      <c r="U119">
        <f>HYPERLINK("https://klasma.github.io/Logging_0883/knärot/A 2126-2024 karta knärot.png", "A 2126-2024")</f>
        <v/>
      </c>
      <c r="V119">
        <f>HYPERLINK("https://klasma.github.io/Logging_0883/klagomål/A 2126-2024 FSC-klagomål.docx", "A 2126-2024")</f>
        <v/>
      </c>
      <c r="W119">
        <f>HYPERLINK("https://klasma.github.io/Logging_0883/klagomålsmail/A 2126-2024 FSC-klagomål mail.docx", "A 2126-2024")</f>
        <v/>
      </c>
      <c r="X119">
        <f>HYPERLINK("https://klasma.github.io/Logging_0883/tillsyn/A 2126-2024 tillsynsbegäran.docx", "A 2126-2024")</f>
        <v/>
      </c>
      <c r="Y119">
        <f>HYPERLINK("https://klasma.github.io/Logging_0883/tillsynsmail/A 2126-2024 tillsynsbegäran mail.docx", "A 2126-2024")</f>
        <v/>
      </c>
      <c r="Z119">
        <f>HYPERLINK("https://klasma.github.io/Logging_0883/fåglar/A 2126-2024 prioriterade fågelarter.docx", "A 2126-2024")</f>
        <v/>
      </c>
    </row>
    <row r="120" ht="15" customHeight="1">
      <c r="A120" t="inlineStr">
        <is>
          <t>A 59231-2022</t>
        </is>
      </c>
      <c r="B120" s="1" t="n">
        <v>44904.55646990741</v>
      </c>
      <c r="C120" s="1" t="n">
        <v>45925</v>
      </c>
      <c r="D120" t="inlineStr">
        <is>
          <t>KALMAR LÄN</t>
        </is>
      </c>
      <c r="E120" t="inlineStr">
        <is>
          <t>VÄSTERVIK</t>
        </is>
      </c>
      <c r="G120" t="n">
        <v>1.8</v>
      </c>
      <c r="H120" t="n">
        <v>0</v>
      </c>
      <c r="I120" t="n">
        <v>1</v>
      </c>
      <c r="J120" t="n">
        <v>1</v>
      </c>
      <c r="K120" t="n">
        <v>0</v>
      </c>
      <c r="L120" t="n">
        <v>0</v>
      </c>
      <c r="M120" t="n">
        <v>0</v>
      </c>
      <c r="N120" t="n">
        <v>0</v>
      </c>
      <c r="O120" t="n">
        <v>1</v>
      </c>
      <c r="P120" t="n">
        <v>0</v>
      </c>
      <c r="Q120" t="n">
        <v>2</v>
      </c>
      <c r="R120" s="2" t="inlineStr">
        <is>
          <t>Tallticka
Grönpyrola</t>
        </is>
      </c>
      <c r="S120">
        <f>HYPERLINK("https://klasma.github.io/Logging_0883/artfynd/A 59231-2022 artfynd.xlsx", "A 59231-2022")</f>
        <v/>
      </c>
      <c r="T120">
        <f>HYPERLINK("https://klasma.github.io/Logging_0883/kartor/A 59231-2022 karta.png", "A 59231-2022")</f>
        <v/>
      </c>
      <c r="V120">
        <f>HYPERLINK("https://klasma.github.io/Logging_0883/klagomål/A 59231-2022 FSC-klagomål.docx", "A 59231-2022")</f>
        <v/>
      </c>
      <c r="W120">
        <f>HYPERLINK("https://klasma.github.io/Logging_0883/klagomålsmail/A 59231-2022 FSC-klagomål mail.docx", "A 59231-2022")</f>
        <v/>
      </c>
      <c r="X120">
        <f>HYPERLINK("https://klasma.github.io/Logging_0883/tillsyn/A 59231-2022 tillsynsbegäran.docx", "A 59231-2022")</f>
        <v/>
      </c>
      <c r="Y120">
        <f>HYPERLINK("https://klasma.github.io/Logging_0883/tillsynsmail/A 59231-2022 tillsynsbegäran mail.docx", "A 59231-2022")</f>
        <v/>
      </c>
    </row>
    <row r="121" ht="15" customHeight="1">
      <c r="A121" t="inlineStr">
        <is>
          <t>A 12598-2024</t>
        </is>
      </c>
      <c r="B121" s="1" t="n">
        <v>45380</v>
      </c>
      <c r="C121" s="1" t="n">
        <v>45925</v>
      </c>
      <c r="D121" t="inlineStr">
        <is>
          <t>KALMAR LÄN</t>
        </is>
      </c>
      <c r="E121" t="inlineStr">
        <is>
          <t>VÄSTERVIK</t>
        </is>
      </c>
      <c r="F121" t="inlineStr">
        <is>
          <t>Holmen skog AB</t>
        </is>
      </c>
      <c r="G121" t="n">
        <v>5</v>
      </c>
      <c r="H121" t="n">
        <v>1</v>
      </c>
      <c r="I121" t="n">
        <v>1</v>
      </c>
      <c r="J121" t="n">
        <v>0</v>
      </c>
      <c r="K121" t="n">
        <v>1</v>
      </c>
      <c r="L121" t="n">
        <v>0</v>
      </c>
      <c r="M121" t="n">
        <v>0</v>
      </c>
      <c r="N121" t="n">
        <v>0</v>
      </c>
      <c r="O121" t="n">
        <v>1</v>
      </c>
      <c r="P121" t="n">
        <v>1</v>
      </c>
      <c r="Q121" t="n">
        <v>2</v>
      </c>
      <c r="R121" s="2" t="inlineStr">
        <is>
          <t>Knärot
Grönpyrola</t>
        </is>
      </c>
      <c r="S121">
        <f>HYPERLINK("https://klasma.github.io/Logging_0883/artfynd/A 12598-2024 artfynd.xlsx", "A 12598-2024")</f>
        <v/>
      </c>
      <c r="T121">
        <f>HYPERLINK("https://klasma.github.io/Logging_0883/kartor/A 12598-2024 karta.png", "A 12598-2024")</f>
        <v/>
      </c>
      <c r="U121">
        <f>HYPERLINK("https://klasma.github.io/Logging_0883/knärot/A 12598-2024 karta knärot.png", "A 12598-2024")</f>
        <v/>
      </c>
      <c r="V121">
        <f>HYPERLINK("https://klasma.github.io/Logging_0883/klagomål/A 12598-2024 FSC-klagomål.docx", "A 12598-2024")</f>
        <v/>
      </c>
      <c r="W121">
        <f>HYPERLINK("https://klasma.github.io/Logging_0883/klagomålsmail/A 12598-2024 FSC-klagomål mail.docx", "A 12598-2024")</f>
        <v/>
      </c>
      <c r="X121">
        <f>HYPERLINK("https://klasma.github.io/Logging_0883/tillsyn/A 12598-2024 tillsynsbegäran.docx", "A 12598-2024")</f>
        <v/>
      </c>
      <c r="Y121">
        <f>HYPERLINK("https://klasma.github.io/Logging_0883/tillsynsmail/A 12598-2024 tillsynsbegäran mail.docx", "A 12598-2024")</f>
        <v/>
      </c>
    </row>
    <row r="122" ht="15" customHeight="1">
      <c r="A122" t="inlineStr">
        <is>
          <t>A 16419-2024</t>
        </is>
      </c>
      <c r="B122" s="1" t="n">
        <v>45407</v>
      </c>
      <c r="C122" s="1" t="n">
        <v>45925</v>
      </c>
      <c r="D122" t="inlineStr">
        <is>
          <t>KALMAR LÄN</t>
        </is>
      </c>
      <c r="E122" t="inlineStr">
        <is>
          <t>VÄSTERVIK</t>
        </is>
      </c>
      <c r="F122" t="inlineStr">
        <is>
          <t>Holmen skog AB</t>
        </is>
      </c>
      <c r="G122" t="n">
        <v>1.8</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16419-2024 artfynd.xlsx", "A 16419-2024")</f>
        <v/>
      </c>
      <c r="T122">
        <f>HYPERLINK("https://klasma.github.io/Logging_0883/kartor/A 16419-2024 karta.png", "A 16419-2024")</f>
        <v/>
      </c>
      <c r="U122">
        <f>HYPERLINK("https://klasma.github.io/Logging_0883/knärot/A 16419-2024 karta knärot.png", "A 16419-2024")</f>
        <v/>
      </c>
      <c r="V122">
        <f>HYPERLINK("https://klasma.github.io/Logging_0883/klagomål/A 16419-2024 FSC-klagomål.docx", "A 16419-2024")</f>
        <v/>
      </c>
      <c r="W122">
        <f>HYPERLINK("https://klasma.github.io/Logging_0883/klagomålsmail/A 16419-2024 FSC-klagomål mail.docx", "A 16419-2024")</f>
        <v/>
      </c>
      <c r="X122">
        <f>HYPERLINK("https://klasma.github.io/Logging_0883/tillsyn/A 16419-2024 tillsynsbegäran.docx", "A 16419-2024")</f>
        <v/>
      </c>
      <c r="Y122">
        <f>HYPERLINK("https://klasma.github.io/Logging_0883/tillsynsmail/A 16419-2024 tillsynsbegäran mail.docx", "A 16419-2024")</f>
        <v/>
      </c>
      <c r="Z122">
        <f>HYPERLINK("https://klasma.github.io/Logging_0883/fåglar/A 16419-2024 prioriterade fågelarter.docx", "A 16419-2024")</f>
        <v/>
      </c>
    </row>
    <row r="123" ht="15" customHeight="1">
      <c r="A123" t="inlineStr">
        <is>
          <t>A 26992-2024</t>
        </is>
      </c>
      <c r="B123" s="1" t="n">
        <v>45471</v>
      </c>
      <c r="C123" s="1" t="n">
        <v>45925</v>
      </c>
      <c r="D123" t="inlineStr">
        <is>
          <t>KALMAR LÄN</t>
        </is>
      </c>
      <c r="E123" t="inlineStr">
        <is>
          <t>VÄSTERVIK</t>
        </is>
      </c>
      <c r="F123" t="inlineStr">
        <is>
          <t>Holmen skog AB</t>
        </is>
      </c>
      <c r="G123" t="n">
        <v>4.6</v>
      </c>
      <c r="H123" t="n">
        <v>2</v>
      </c>
      <c r="I123" t="n">
        <v>0</v>
      </c>
      <c r="J123" t="n">
        <v>2</v>
      </c>
      <c r="K123" t="n">
        <v>0</v>
      </c>
      <c r="L123" t="n">
        <v>0</v>
      </c>
      <c r="M123" t="n">
        <v>0</v>
      </c>
      <c r="N123" t="n">
        <v>0</v>
      </c>
      <c r="O123" t="n">
        <v>2</v>
      </c>
      <c r="P123" t="n">
        <v>0</v>
      </c>
      <c r="Q123" t="n">
        <v>2</v>
      </c>
      <c r="R123" s="2" t="inlineStr">
        <is>
          <t>Mindre hackspett
Talltita</t>
        </is>
      </c>
      <c r="S123">
        <f>HYPERLINK("https://klasma.github.io/Logging_0883/artfynd/A 26992-2024 artfynd.xlsx", "A 26992-2024")</f>
        <v/>
      </c>
      <c r="T123">
        <f>HYPERLINK("https://klasma.github.io/Logging_0883/kartor/A 26992-2024 karta.png", "A 26992-2024")</f>
        <v/>
      </c>
      <c r="V123">
        <f>HYPERLINK("https://klasma.github.io/Logging_0883/klagomål/A 26992-2024 FSC-klagomål.docx", "A 26992-2024")</f>
        <v/>
      </c>
      <c r="W123">
        <f>HYPERLINK("https://klasma.github.io/Logging_0883/klagomålsmail/A 26992-2024 FSC-klagomål mail.docx", "A 26992-2024")</f>
        <v/>
      </c>
      <c r="X123">
        <f>HYPERLINK("https://klasma.github.io/Logging_0883/tillsyn/A 26992-2024 tillsynsbegäran.docx", "A 26992-2024")</f>
        <v/>
      </c>
      <c r="Y123">
        <f>HYPERLINK("https://klasma.github.io/Logging_0883/tillsynsmail/A 26992-2024 tillsynsbegäran mail.docx", "A 26992-2024")</f>
        <v/>
      </c>
      <c r="Z123">
        <f>HYPERLINK("https://klasma.github.io/Logging_0883/fåglar/A 26992-2024 prioriterade fågelarter.docx", "A 26992-2024")</f>
        <v/>
      </c>
    </row>
    <row r="124" ht="15" customHeight="1">
      <c r="A124" t="inlineStr">
        <is>
          <t>A 25435-2023</t>
        </is>
      </c>
      <c r="B124" s="1" t="n">
        <v>45089</v>
      </c>
      <c r="C124" s="1" t="n">
        <v>45925</v>
      </c>
      <c r="D124" t="inlineStr">
        <is>
          <t>KALMAR LÄN</t>
        </is>
      </c>
      <c r="E124" t="inlineStr">
        <is>
          <t>VÄSTERVIK</t>
        </is>
      </c>
      <c r="G124" t="n">
        <v>1.6</v>
      </c>
      <c r="H124" t="n">
        <v>2</v>
      </c>
      <c r="I124" t="n">
        <v>0</v>
      </c>
      <c r="J124" t="n">
        <v>0</v>
      </c>
      <c r="K124" t="n">
        <v>1</v>
      </c>
      <c r="L124" t="n">
        <v>0</v>
      </c>
      <c r="M124" t="n">
        <v>0</v>
      </c>
      <c r="N124" t="n">
        <v>0</v>
      </c>
      <c r="O124" t="n">
        <v>1</v>
      </c>
      <c r="P124" t="n">
        <v>1</v>
      </c>
      <c r="Q124" t="n">
        <v>2</v>
      </c>
      <c r="R124" s="2" t="inlineStr">
        <is>
          <t>Knärot
Tjäder</t>
        </is>
      </c>
      <c r="S124">
        <f>HYPERLINK("https://klasma.github.io/Logging_0883/artfynd/A 25435-2023 artfynd.xlsx", "A 25435-2023")</f>
        <v/>
      </c>
      <c r="T124">
        <f>HYPERLINK("https://klasma.github.io/Logging_0883/kartor/A 25435-2023 karta.png", "A 25435-2023")</f>
        <v/>
      </c>
      <c r="U124">
        <f>HYPERLINK("https://klasma.github.io/Logging_0883/knärot/A 25435-2023 karta knärot.png", "A 25435-2023")</f>
        <v/>
      </c>
      <c r="V124">
        <f>HYPERLINK("https://klasma.github.io/Logging_0883/klagomål/A 25435-2023 FSC-klagomål.docx", "A 25435-2023")</f>
        <v/>
      </c>
      <c r="W124">
        <f>HYPERLINK("https://klasma.github.io/Logging_0883/klagomålsmail/A 25435-2023 FSC-klagomål mail.docx", "A 25435-2023")</f>
        <v/>
      </c>
      <c r="X124">
        <f>HYPERLINK("https://klasma.github.io/Logging_0883/tillsyn/A 25435-2023 tillsynsbegäran.docx", "A 25435-2023")</f>
        <v/>
      </c>
      <c r="Y124">
        <f>HYPERLINK("https://klasma.github.io/Logging_0883/tillsynsmail/A 25435-2023 tillsynsbegäran mail.docx", "A 25435-2023")</f>
        <v/>
      </c>
      <c r="Z124">
        <f>HYPERLINK("https://klasma.github.io/Logging_0883/fåglar/A 25435-2023 prioriterade fågelarter.docx", "A 25435-2023")</f>
        <v/>
      </c>
    </row>
    <row r="125" ht="15" customHeight="1">
      <c r="A125" t="inlineStr">
        <is>
          <t>A 948-2024</t>
        </is>
      </c>
      <c r="B125" s="1" t="n">
        <v>45301</v>
      </c>
      <c r="C125" s="1" t="n">
        <v>45925</v>
      </c>
      <c r="D125" t="inlineStr">
        <is>
          <t>KALMAR LÄN</t>
        </is>
      </c>
      <c r="E125" t="inlineStr">
        <is>
          <t>VÄSTERVIK</t>
        </is>
      </c>
      <c r="G125" t="n">
        <v>4.5</v>
      </c>
      <c r="H125" t="n">
        <v>1</v>
      </c>
      <c r="I125" t="n">
        <v>1</v>
      </c>
      <c r="J125" t="n">
        <v>0</v>
      </c>
      <c r="K125" t="n">
        <v>0</v>
      </c>
      <c r="L125" t="n">
        <v>0</v>
      </c>
      <c r="M125" t="n">
        <v>0</v>
      </c>
      <c r="N125" t="n">
        <v>0</v>
      </c>
      <c r="O125" t="n">
        <v>0</v>
      </c>
      <c r="P125" t="n">
        <v>0</v>
      </c>
      <c r="Q125" t="n">
        <v>2</v>
      </c>
      <c r="R125" s="2" t="inlineStr">
        <is>
          <t>Dropptaggsvamp
Tjäder</t>
        </is>
      </c>
      <c r="S125">
        <f>HYPERLINK("https://klasma.github.io/Logging_0883/artfynd/A 948-2024 artfynd.xlsx", "A 948-2024")</f>
        <v/>
      </c>
      <c r="T125">
        <f>HYPERLINK("https://klasma.github.io/Logging_0883/kartor/A 948-2024 karta.png", "A 948-2024")</f>
        <v/>
      </c>
      <c r="V125">
        <f>HYPERLINK("https://klasma.github.io/Logging_0883/klagomål/A 948-2024 FSC-klagomål.docx", "A 948-2024")</f>
        <v/>
      </c>
      <c r="W125">
        <f>HYPERLINK("https://klasma.github.io/Logging_0883/klagomålsmail/A 948-2024 FSC-klagomål mail.docx", "A 948-2024")</f>
        <v/>
      </c>
      <c r="X125">
        <f>HYPERLINK("https://klasma.github.io/Logging_0883/tillsyn/A 948-2024 tillsynsbegäran.docx", "A 948-2024")</f>
        <v/>
      </c>
      <c r="Y125">
        <f>HYPERLINK("https://klasma.github.io/Logging_0883/tillsynsmail/A 948-2024 tillsynsbegäran mail.docx", "A 948-2024")</f>
        <v/>
      </c>
      <c r="Z125">
        <f>HYPERLINK("https://klasma.github.io/Logging_0883/fåglar/A 948-2024 prioriterade fågelarter.docx", "A 948-2024")</f>
        <v/>
      </c>
    </row>
    <row r="126" ht="15" customHeight="1">
      <c r="A126" t="inlineStr">
        <is>
          <t>A 33687-2025</t>
        </is>
      </c>
      <c r="B126" s="1" t="n">
        <v>45841.69072916666</v>
      </c>
      <c r="C126" s="1" t="n">
        <v>45925</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1955-2021</t>
        </is>
      </c>
      <c r="B127" s="1" t="n">
        <v>44210</v>
      </c>
      <c r="C127" s="1" t="n">
        <v>45925</v>
      </c>
      <c r="D127" t="inlineStr">
        <is>
          <t>KALMAR LÄN</t>
        </is>
      </c>
      <c r="E127" t="inlineStr">
        <is>
          <t>VÄSTERVIK</t>
        </is>
      </c>
      <c r="G127" t="n">
        <v>5.3</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1955-2021 artfynd.xlsx", "A 1955-2021")</f>
        <v/>
      </c>
      <c r="T127">
        <f>HYPERLINK("https://klasma.github.io/Logging_0883/kartor/A 1955-2021 karta.png", "A 1955-2021")</f>
        <v/>
      </c>
      <c r="V127">
        <f>HYPERLINK("https://klasma.github.io/Logging_0883/klagomål/A 1955-2021 FSC-klagomål.docx", "A 1955-2021")</f>
        <v/>
      </c>
      <c r="W127">
        <f>HYPERLINK("https://klasma.github.io/Logging_0883/klagomålsmail/A 1955-2021 FSC-klagomål mail.docx", "A 1955-2021")</f>
        <v/>
      </c>
      <c r="X127">
        <f>HYPERLINK("https://klasma.github.io/Logging_0883/tillsyn/A 1955-2021 tillsynsbegäran.docx", "A 1955-2021")</f>
        <v/>
      </c>
      <c r="Y127">
        <f>HYPERLINK("https://klasma.github.io/Logging_0883/tillsynsmail/A 1955-2021 tillsynsbegäran mail.docx", "A 1955-2021")</f>
        <v/>
      </c>
      <c r="Z127">
        <f>HYPERLINK("https://klasma.github.io/Logging_0883/fåglar/A 1955-2021 prioriterade fågelarter.docx", "A 1955-2021")</f>
        <v/>
      </c>
    </row>
    <row r="128" ht="15" customHeight="1">
      <c r="A128" t="inlineStr">
        <is>
          <t>A 56180-2020</t>
        </is>
      </c>
      <c r="B128" s="1" t="n">
        <v>44133</v>
      </c>
      <c r="C128" s="1" t="n">
        <v>45925</v>
      </c>
      <c r="D128" t="inlineStr">
        <is>
          <t>KALMAR LÄN</t>
        </is>
      </c>
      <c r="E128" t="inlineStr">
        <is>
          <t>VÄSTERVIK</t>
        </is>
      </c>
      <c r="G128" t="n">
        <v>9.199999999999999</v>
      </c>
      <c r="H128" t="n">
        <v>2</v>
      </c>
      <c r="I128" t="n">
        <v>0</v>
      </c>
      <c r="J128" t="n">
        <v>0</v>
      </c>
      <c r="K128" t="n">
        <v>1</v>
      </c>
      <c r="L128" t="n">
        <v>0</v>
      </c>
      <c r="M128" t="n">
        <v>0</v>
      </c>
      <c r="N128" t="n">
        <v>0</v>
      </c>
      <c r="O128" t="n">
        <v>1</v>
      </c>
      <c r="P128" t="n">
        <v>1</v>
      </c>
      <c r="Q128" t="n">
        <v>2</v>
      </c>
      <c r="R128" s="2" t="inlineStr">
        <is>
          <t>Hasselsnok
Mattlummer</t>
        </is>
      </c>
      <c r="S128">
        <f>HYPERLINK("https://klasma.github.io/Logging_0883/artfynd/A 56180-2020 artfynd.xlsx", "A 56180-2020")</f>
        <v/>
      </c>
      <c r="T128">
        <f>HYPERLINK("https://klasma.github.io/Logging_0883/kartor/A 56180-2020 karta.png", "A 56180-2020")</f>
        <v/>
      </c>
      <c r="V128">
        <f>HYPERLINK("https://klasma.github.io/Logging_0883/klagomål/A 56180-2020 FSC-klagomål.docx", "A 56180-2020")</f>
        <v/>
      </c>
      <c r="W128">
        <f>HYPERLINK("https://klasma.github.io/Logging_0883/klagomålsmail/A 56180-2020 FSC-klagomål mail.docx", "A 56180-2020")</f>
        <v/>
      </c>
      <c r="X128">
        <f>HYPERLINK("https://klasma.github.io/Logging_0883/tillsyn/A 56180-2020 tillsynsbegäran.docx", "A 56180-2020")</f>
        <v/>
      </c>
      <c r="Y128">
        <f>HYPERLINK("https://klasma.github.io/Logging_0883/tillsynsmail/A 56180-2020 tillsynsbegäran mail.docx", "A 56180-2020")</f>
        <v/>
      </c>
    </row>
    <row r="129" ht="15" customHeight="1">
      <c r="A129" t="inlineStr">
        <is>
          <t>A 3173-2023</t>
        </is>
      </c>
      <c r="B129" s="1" t="n">
        <v>44946</v>
      </c>
      <c r="C129" s="1" t="n">
        <v>45925</v>
      </c>
      <c r="D129" t="inlineStr">
        <is>
          <t>KALMAR LÄN</t>
        </is>
      </c>
      <c r="E129" t="inlineStr">
        <is>
          <t>VÄSTERVIK</t>
        </is>
      </c>
      <c r="G129" t="n">
        <v>4</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3173-2023 artfynd.xlsx", "A 3173-2023")</f>
        <v/>
      </c>
      <c r="T129">
        <f>HYPERLINK("https://klasma.github.io/Logging_0883/kartor/A 3173-2023 karta.png", "A 3173-2023")</f>
        <v/>
      </c>
      <c r="U129">
        <f>HYPERLINK("https://klasma.github.io/Logging_0883/knärot/A 3173-2023 karta knärot.png", "A 3173-2023")</f>
        <v/>
      </c>
      <c r="V129">
        <f>HYPERLINK("https://klasma.github.io/Logging_0883/klagomål/A 3173-2023 FSC-klagomål.docx", "A 3173-2023")</f>
        <v/>
      </c>
      <c r="W129">
        <f>HYPERLINK("https://klasma.github.io/Logging_0883/klagomålsmail/A 3173-2023 FSC-klagomål mail.docx", "A 3173-2023")</f>
        <v/>
      </c>
      <c r="X129">
        <f>HYPERLINK("https://klasma.github.io/Logging_0883/tillsyn/A 3173-2023 tillsynsbegäran.docx", "A 3173-2023")</f>
        <v/>
      </c>
      <c r="Y129">
        <f>HYPERLINK("https://klasma.github.io/Logging_0883/tillsynsmail/A 3173-2023 tillsynsbegäran mail.docx", "A 3173-2023")</f>
        <v/>
      </c>
    </row>
    <row r="130" ht="15" customHeight="1">
      <c r="A130" t="inlineStr">
        <is>
          <t>A 28401-2024</t>
        </is>
      </c>
      <c r="B130" s="1" t="n">
        <v>45477</v>
      </c>
      <c r="C130" s="1" t="n">
        <v>45925</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9040-2023</t>
        </is>
      </c>
      <c r="B131" s="1" t="n">
        <v>44979</v>
      </c>
      <c r="C131" s="1" t="n">
        <v>45925</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62003-2022</t>
        </is>
      </c>
      <c r="B132" s="1" t="n">
        <v>44918</v>
      </c>
      <c r="C132" s="1" t="n">
        <v>45925</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9770-2024</t>
        </is>
      </c>
      <c r="B133" s="1" t="n">
        <v>45362.63960648148</v>
      </c>
      <c r="C133" s="1" t="n">
        <v>45925</v>
      </c>
      <c r="D133" t="inlineStr">
        <is>
          <t>KALMAR LÄN</t>
        </is>
      </c>
      <c r="E133" t="inlineStr">
        <is>
          <t>VÄSTERVIK</t>
        </is>
      </c>
      <c r="G133" t="n">
        <v>2.6</v>
      </c>
      <c r="H133" t="n">
        <v>2</v>
      </c>
      <c r="I133" t="n">
        <v>0</v>
      </c>
      <c r="J133" t="n">
        <v>1</v>
      </c>
      <c r="K133" t="n">
        <v>0</v>
      </c>
      <c r="L133" t="n">
        <v>0</v>
      </c>
      <c r="M133" t="n">
        <v>0</v>
      </c>
      <c r="N133" t="n">
        <v>0</v>
      </c>
      <c r="O133" t="n">
        <v>1</v>
      </c>
      <c r="P133" t="n">
        <v>0</v>
      </c>
      <c r="Q133" t="n">
        <v>2</v>
      </c>
      <c r="R133" s="2" t="inlineStr">
        <is>
          <t>Talltita
Tjäder</t>
        </is>
      </c>
      <c r="S133">
        <f>HYPERLINK("https://klasma.github.io/Logging_0883/artfynd/A 9770-2024 artfynd.xlsx", "A 9770-2024")</f>
        <v/>
      </c>
      <c r="T133">
        <f>HYPERLINK("https://klasma.github.io/Logging_0883/kartor/A 9770-2024 karta.png", "A 9770-2024")</f>
        <v/>
      </c>
      <c r="V133">
        <f>HYPERLINK("https://klasma.github.io/Logging_0883/klagomål/A 9770-2024 FSC-klagomål.docx", "A 9770-2024")</f>
        <v/>
      </c>
      <c r="W133">
        <f>HYPERLINK("https://klasma.github.io/Logging_0883/klagomålsmail/A 9770-2024 FSC-klagomål mail.docx", "A 9770-2024")</f>
        <v/>
      </c>
      <c r="X133">
        <f>HYPERLINK("https://klasma.github.io/Logging_0883/tillsyn/A 9770-2024 tillsynsbegäran.docx", "A 9770-2024")</f>
        <v/>
      </c>
      <c r="Y133">
        <f>HYPERLINK("https://klasma.github.io/Logging_0883/tillsynsmail/A 9770-2024 tillsynsbegäran mail.docx", "A 9770-2024")</f>
        <v/>
      </c>
      <c r="Z133">
        <f>HYPERLINK("https://klasma.github.io/Logging_0883/fåglar/A 9770-2024 prioriterade fågelarter.docx", "A 9770-2024")</f>
        <v/>
      </c>
    </row>
    <row r="134" ht="15" customHeight="1">
      <c r="A134" t="inlineStr">
        <is>
          <t>A 14086-2025</t>
        </is>
      </c>
      <c r="B134" s="1" t="n">
        <v>45740.44130787037</v>
      </c>
      <c r="C134" s="1" t="n">
        <v>45925</v>
      </c>
      <c r="D134" t="inlineStr">
        <is>
          <t>KALMAR LÄN</t>
        </is>
      </c>
      <c r="E134" t="inlineStr">
        <is>
          <t>VÄSTERVIK</t>
        </is>
      </c>
      <c r="F134" t="inlineStr">
        <is>
          <t>Sveaskog</t>
        </is>
      </c>
      <c r="G134" t="n">
        <v>3.2</v>
      </c>
      <c r="H134" t="n">
        <v>1</v>
      </c>
      <c r="I134" t="n">
        <v>1</v>
      </c>
      <c r="J134" t="n">
        <v>0</v>
      </c>
      <c r="K134" t="n">
        <v>0</v>
      </c>
      <c r="L134" t="n">
        <v>0</v>
      </c>
      <c r="M134" t="n">
        <v>0</v>
      </c>
      <c r="N134" t="n">
        <v>0</v>
      </c>
      <c r="O134" t="n">
        <v>0</v>
      </c>
      <c r="P134" t="n">
        <v>0</v>
      </c>
      <c r="Q134" t="n">
        <v>2</v>
      </c>
      <c r="R134" s="2" t="inlineStr">
        <is>
          <t>Skogsbräsma
Åkergroda</t>
        </is>
      </c>
      <c r="S134">
        <f>HYPERLINK("https://klasma.github.io/Logging_0883/artfynd/A 14086-2025 artfynd.xlsx", "A 14086-2025")</f>
        <v/>
      </c>
      <c r="T134">
        <f>HYPERLINK("https://klasma.github.io/Logging_0883/kartor/A 14086-2025 karta.png", "A 14086-2025")</f>
        <v/>
      </c>
      <c r="V134">
        <f>HYPERLINK("https://klasma.github.io/Logging_0883/klagomål/A 14086-2025 FSC-klagomål.docx", "A 14086-2025")</f>
        <v/>
      </c>
      <c r="W134">
        <f>HYPERLINK("https://klasma.github.io/Logging_0883/klagomålsmail/A 14086-2025 FSC-klagomål mail.docx", "A 14086-2025")</f>
        <v/>
      </c>
      <c r="X134">
        <f>HYPERLINK("https://klasma.github.io/Logging_0883/tillsyn/A 14086-2025 tillsynsbegäran.docx", "A 14086-2025")</f>
        <v/>
      </c>
      <c r="Y134">
        <f>HYPERLINK("https://klasma.github.io/Logging_0883/tillsynsmail/A 14086-2025 tillsynsbegäran mail.docx", "A 14086-2025")</f>
        <v/>
      </c>
    </row>
    <row r="135" ht="15" customHeight="1">
      <c r="A135" t="inlineStr">
        <is>
          <t>A 1373-2024</t>
        </is>
      </c>
      <c r="B135" s="1" t="n">
        <v>45303</v>
      </c>
      <c r="C135" s="1" t="n">
        <v>45925</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2950-2025</t>
        </is>
      </c>
      <c r="B136" s="1" t="n">
        <v>45678</v>
      </c>
      <c r="C136" s="1" t="n">
        <v>45925</v>
      </c>
      <c r="D136" t="inlineStr">
        <is>
          <t>KALMAR LÄN</t>
        </is>
      </c>
      <c r="E136" t="inlineStr">
        <is>
          <t>VÄSTERVIK</t>
        </is>
      </c>
      <c r="G136" t="n">
        <v>6.1</v>
      </c>
      <c r="H136" t="n">
        <v>1</v>
      </c>
      <c r="I136" t="n">
        <v>1</v>
      </c>
      <c r="J136" t="n">
        <v>0</v>
      </c>
      <c r="K136" t="n">
        <v>1</v>
      </c>
      <c r="L136" t="n">
        <v>0</v>
      </c>
      <c r="M136" t="n">
        <v>0</v>
      </c>
      <c r="N136" t="n">
        <v>0</v>
      </c>
      <c r="O136" t="n">
        <v>1</v>
      </c>
      <c r="P136" t="n">
        <v>1</v>
      </c>
      <c r="Q136" t="n">
        <v>2</v>
      </c>
      <c r="R136" s="2" t="inlineStr">
        <is>
          <t>Knärot
Grovticka</t>
        </is>
      </c>
      <c r="S136">
        <f>HYPERLINK("https://klasma.github.io/Logging_0883/artfynd/A 2950-2025 artfynd.xlsx", "A 2950-2025")</f>
        <v/>
      </c>
      <c r="T136">
        <f>HYPERLINK("https://klasma.github.io/Logging_0883/kartor/A 2950-2025 karta.png", "A 2950-2025")</f>
        <v/>
      </c>
      <c r="U136">
        <f>HYPERLINK("https://klasma.github.io/Logging_0883/knärot/A 2950-2025 karta knärot.png", "A 2950-2025")</f>
        <v/>
      </c>
      <c r="V136">
        <f>HYPERLINK("https://klasma.github.io/Logging_0883/klagomål/A 2950-2025 FSC-klagomål.docx", "A 2950-2025")</f>
        <v/>
      </c>
      <c r="W136">
        <f>HYPERLINK("https://klasma.github.io/Logging_0883/klagomålsmail/A 2950-2025 FSC-klagomål mail.docx", "A 2950-2025")</f>
        <v/>
      </c>
      <c r="X136">
        <f>HYPERLINK("https://klasma.github.io/Logging_0883/tillsyn/A 2950-2025 tillsynsbegäran.docx", "A 2950-2025")</f>
        <v/>
      </c>
      <c r="Y136">
        <f>HYPERLINK("https://klasma.github.io/Logging_0883/tillsynsmail/A 2950-2025 tillsynsbegäran mail.docx", "A 2950-2025")</f>
        <v/>
      </c>
    </row>
    <row r="137" ht="15" customHeight="1">
      <c r="A137" t="inlineStr">
        <is>
          <t>A 15534-2024</t>
        </is>
      </c>
      <c r="B137" s="1" t="n">
        <v>45401</v>
      </c>
      <c r="C137" s="1" t="n">
        <v>45925</v>
      </c>
      <c r="D137" t="inlineStr">
        <is>
          <t>KALMAR LÄN</t>
        </is>
      </c>
      <c r="E137" t="inlineStr">
        <is>
          <t>VÄSTERVIK</t>
        </is>
      </c>
      <c r="F137" t="inlineStr">
        <is>
          <t>Holmen skog AB</t>
        </is>
      </c>
      <c r="G137" t="n">
        <v>5.1</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15534-2024 artfynd.xlsx", "A 15534-2024")</f>
        <v/>
      </c>
      <c r="T137">
        <f>HYPERLINK("https://klasma.github.io/Logging_0883/kartor/A 15534-2024 karta.png", "A 15534-2024")</f>
        <v/>
      </c>
      <c r="U137">
        <f>HYPERLINK("https://klasma.github.io/Logging_0883/knärot/A 15534-2024 karta knärot.png", "A 15534-2024")</f>
        <v/>
      </c>
      <c r="V137">
        <f>HYPERLINK("https://klasma.github.io/Logging_0883/klagomål/A 15534-2024 FSC-klagomål.docx", "A 15534-2024")</f>
        <v/>
      </c>
      <c r="W137">
        <f>HYPERLINK("https://klasma.github.io/Logging_0883/klagomålsmail/A 15534-2024 FSC-klagomål mail.docx", "A 15534-2024")</f>
        <v/>
      </c>
      <c r="X137">
        <f>HYPERLINK("https://klasma.github.io/Logging_0883/tillsyn/A 15534-2024 tillsynsbegäran.docx", "A 15534-2024")</f>
        <v/>
      </c>
      <c r="Y137">
        <f>HYPERLINK("https://klasma.github.io/Logging_0883/tillsynsmail/A 15534-2024 tillsynsbegäran mail.docx", "A 15534-2024")</f>
        <v/>
      </c>
    </row>
    <row r="138" ht="15" customHeight="1">
      <c r="A138" t="inlineStr">
        <is>
          <t>A 34119-2023</t>
        </is>
      </c>
      <c r="B138" s="1" t="n">
        <v>45135</v>
      </c>
      <c r="C138" s="1" t="n">
        <v>45925</v>
      </c>
      <c r="D138" t="inlineStr">
        <is>
          <t>KALMAR LÄN</t>
        </is>
      </c>
      <c r="E138" t="inlineStr">
        <is>
          <t>VÄSTERVIK</t>
        </is>
      </c>
      <c r="G138" t="n">
        <v>3.1</v>
      </c>
      <c r="H138" t="n">
        <v>1</v>
      </c>
      <c r="I138" t="n">
        <v>1</v>
      </c>
      <c r="J138" t="n">
        <v>0</v>
      </c>
      <c r="K138" t="n">
        <v>1</v>
      </c>
      <c r="L138" t="n">
        <v>0</v>
      </c>
      <c r="M138" t="n">
        <v>0</v>
      </c>
      <c r="N138" t="n">
        <v>0</v>
      </c>
      <c r="O138" t="n">
        <v>1</v>
      </c>
      <c r="P138" t="n">
        <v>1</v>
      </c>
      <c r="Q138" t="n">
        <v>2</v>
      </c>
      <c r="R138" s="2" t="inlineStr">
        <is>
          <t>Knärot
Blomkålssvamp</t>
        </is>
      </c>
      <c r="S138">
        <f>HYPERLINK("https://klasma.github.io/Logging_0883/artfynd/A 34119-2023 artfynd.xlsx", "A 34119-2023")</f>
        <v/>
      </c>
      <c r="T138">
        <f>HYPERLINK("https://klasma.github.io/Logging_0883/kartor/A 34119-2023 karta.png", "A 34119-2023")</f>
        <v/>
      </c>
      <c r="U138">
        <f>HYPERLINK("https://klasma.github.io/Logging_0883/knärot/A 34119-2023 karta knärot.png", "A 34119-2023")</f>
        <v/>
      </c>
      <c r="V138">
        <f>HYPERLINK("https://klasma.github.io/Logging_0883/klagomål/A 34119-2023 FSC-klagomål.docx", "A 34119-2023")</f>
        <v/>
      </c>
      <c r="W138">
        <f>HYPERLINK("https://klasma.github.io/Logging_0883/klagomålsmail/A 34119-2023 FSC-klagomål mail.docx", "A 34119-2023")</f>
        <v/>
      </c>
      <c r="X138">
        <f>HYPERLINK("https://klasma.github.io/Logging_0883/tillsyn/A 34119-2023 tillsynsbegäran.docx", "A 34119-2023")</f>
        <v/>
      </c>
      <c r="Y138">
        <f>HYPERLINK("https://klasma.github.io/Logging_0883/tillsynsmail/A 34119-2023 tillsynsbegäran mail.docx", "A 34119-2023")</f>
        <v/>
      </c>
    </row>
    <row r="139" ht="15" customHeight="1">
      <c r="A139" t="inlineStr">
        <is>
          <t>A 10784-2025</t>
        </is>
      </c>
      <c r="B139" s="1" t="n">
        <v>45722</v>
      </c>
      <c r="C139" s="1" t="n">
        <v>45925</v>
      </c>
      <c r="D139" t="inlineStr">
        <is>
          <t>KALMAR LÄN</t>
        </is>
      </c>
      <c r="E139" t="inlineStr">
        <is>
          <t>VÄSTERVIK</t>
        </is>
      </c>
      <c r="G139" t="n">
        <v>2.1</v>
      </c>
      <c r="H139" t="n">
        <v>2</v>
      </c>
      <c r="I139" t="n">
        <v>0</v>
      </c>
      <c r="J139" t="n">
        <v>1</v>
      </c>
      <c r="K139" t="n">
        <v>0</v>
      </c>
      <c r="L139" t="n">
        <v>0</v>
      </c>
      <c r="M139" t="n">
        <v>0</v>
      </c>
      <c r="N139" t="n">
        <v>0</v>
      </c>
      <c r="O139" t="n">
        <v>1</v>
      </c>
      <c r="P139" t="n">
        <v>0</v>
      </c>
      <c r="Q139" t="n">
        <v>2</v>
      </c>
      <c r="R139" s="2" t="inlineStr">
        <is>
          <t>Talltita
Kungsfågel</t>
        </is>
      </c>
      <c r="S139">
        <f>HYPERLINK("https://klasma.github.io/Logging_0883/artfynd/A 10784-2025 artfynd.xlsx", "A 10784-2025")</f>
        <v/>
      </c>
      <c r="T139">
        <f>HYPERLINK("https://klasma.github.io/Logging_0883/kartor/A 10784-2025 karta.png", "A 10784-2025")</f>
        <v/>
      </c>
      <c r="V139">
        <f>HYPERLINK("https://klasma.github.io/Logging_0883/klagomål/A 10784-2025 FSC-klagomål.docx", "A 10784-2025")</f>
        <v/>
      </c>
      <c r="W139">
        <f>HYPERLINK("https://klasma.github.io/Logging_0883/klagomålsmail/A 10784-2025 FSC-klagomål mail.docx", "A 10784-2025")</f>
        <v/>
      </c>
      <c r="X139">
        <f>HYPERLINK("https://klasma.github.io/Logging_0883/tillsyn/A 10784-2025 tillsynsbegäran.docx", "A 10784-2025")</f>
        <v/>
      </c>
      <c r="Y139">
        <f>HYPERLINK("https://klasma.github.io/Logging_0883/tillsynsmail/A 10784-2025 tillsynsbegäran mail.docx", "A 10784-2025")</f>
        <v/>
      </c>
      <c r="Z139">
        <f>HYPERLINK("https://klasma.github.io/Logging_0883/fåglar/A 10784-2025 prioriterade fågelarter.docx", "A 10784-2025")</f>
        <v/>
      </c>
    </row>
    <row r="140" ht="15" customHeight="1">
      <c r="A140" t="inlineStr">
        <is>
          <t>A 55408-2023</t>
        </is>
      </c>
      <c r="B140" s="1" t="n">
        <v>45238</v>
      </c>
      <c r="C140" s="1" t="n">
        <v>45925</v>
      </c>
      <c r="D140" t="inlineStr">
        <is>
          <t>KALMAR LÄN</t>
        </is>
      </c>
      <c r="E140" t="inlineStr">
        <is>
          <t>VÄSTERVIK</t>
        </is>
      </c>
      <c r="G140" t="n">
        <v>2.8</v>
      </c>
      <c r="H140" t="n">
        <v>0</v>
      </c>
      <c r="I140" t="n">
        <v>0</v>
      </c>
      <c r="J140" t="n">
        <v>2</v>
      </c>
      <c r="K140" t="n">
        <v>0</v>
      </c>
      <c r="L140" t="n">
        <v>0</v>
      </c>
      <c r="M140" t="n">
        <v>0</v>
      </c>
      <c r="N140" t="n">
        <v>0</v>
      </c>
      <c r="O140" t="n">
        <v>2</v>
      </c>
      <c r="P140" t="n">
        <v>0</v>
      </c>
      <c r="Q140" t="n">
        <v>2</v>
      </c>
      <c r="R140" s="2" t="inlineStr">
        <is>
          <t>Ekticka
Tallticka</t>
        </is>
      </c>
      <c r="S140">
        <f>HYPERLINK("https://klasma.github.io/Logging_0883/artfynd/A 55408-2023 artfynd.xlsx", "A 55408-2023")</f>
        <v/>
      </c>
      <c r="T140">
        <f>HYPERLINK("https://klasma.github.io/Logging_0883/kartor/A 55408-2023 karta.png", "A 55408-2023")</f>
        <v/>
      </c>
      <c r="V140">
        <f>HYPERLINK("https://klasma.github.io/Logging_0883/klagomål/A 55408-2023 FSC-klagomål.docx", "A 55408-2023")</f>
        <v/>
      </c>
      <c r="W140">
        <f>HYPERLINK("https://klasma.github.io/Logging_0883/klagomålsmail/A 55408-2023 FSC-klagomål mail.docx", "A 55408-2023")</f>
        <v/>
      </c>
      <c r="X140">
        <f>HYPERLINK("https://klasma.github.io/Logging_0883/tillsyn/A 55408-2023 tillsynsbegäran.docx", "A 55408-2023")</f>
        <v/>
      </c>
      <c r="Y140">
        <f>HYPERLINK("https://klasma.github.io/Logging_0883/tillsynsmail/A 55408-2023 tillsynsbegäran mail.docx", "A 55408-2023")</f>
        <v/>
      </c>
    </row>
    <row r="141" ht="15" customHeight="1">
      <c r="A141" t="inlineStr">
        <is>
          <t>A 4778-2025</t>
        </is>
      </c>
      <c r="B141" s="1" t="n">
        <v>45688</v>
      </c>
      <c r="C141" s="1" t="n">
        <v>45925</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3182-2025</t>
        </is>
      </c>
      <c r="B142" s="1" t="n">
        <v>45679</v>
      </c>
      <c r="C142" s="1" t="n">
        <v>45925</v>
      </c>
      <c r="D142" t="inlineStr">
        <is>
          <t>KALMAR LÄN</t>
        </is>
      </c>
      <c r="E142" t="inlineStr">
        <is>
          <t>VÄSTERVIK</t>
        </is>
      </c>
      <c r="G142" t="n">
        <v>1.2</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3182-2025 artfynd.xlsx", "A 3182-2025")</f>
        <v/>
      </c>
      <c r="T142">
        <f>HYPERLINK("https://klasma.github.io/Logging_0883/kartor/A 3182-2025 karta.png", "A 3182-2025")</f>
        <v/>
      </c>
      <c r="U142">
        <f>HYPERLINK("https://klasma.github.io/Logging_0883/knärot/A 3182-2025 karta knärot.png", "A 3182-2025")</f>
        <v/>
      </c>
      <c r="V142">
        <f>HYPERLINK("https://klasma.github.io/Logging_0883/klagomål/A 3182-2025 FSC-klagomål.docx", "A 3182-2025")</f>
        <v/>
      </c>
      <c r="W142">
        <f>HYPERLINK("https://klasma.github.io/Logging_0883/klagomålsmail/A 3182-2025 FSC-klagomål mail.docx", "A 3182-2025")</f>
        <v/>
      </c>
      <c r="X142">
        <f>HYPERLINK("https://klasma.github.io/Logging_0883/tillsyn/A 3182-2025 tillsynsbegäran.docx", "A 3182-2025")</f>
        <v/>
      </c>
      <c r="Y142">
        <f>HYPERLINK("https://klasma.github.io/Logging_0883/tillsynsmail/A 3182-2025 tillsynsbegäran mail.docx", "A 3182-2025")</f>
        <v/>
      </c>
      <c r="Z142">
        <f>HYPERLINK("https://klasma.github.io/Logging_0883/fåglar/A 3182-2025 prioriterade fågelarter.docx", "A 3182-2025")</f>
        <v/>
      </c>
    </row>
    <row r="143" ht="15" customHeight="1">
      <c r="A143" t="inlineStr">
        <is>
          <t>A 14126-2025</t>
        </is>
      </c>
      <c r="B143" s="1" t="n">
        <v>45740.47012731482</v>
      </c>
      <c r="C143" s="1" t="n">
        <v>45925</v>
      </c>
      <c r="D143" t="inlineStr">
        <is>
          <t>KALMAR LÄN</t>
        </is>
      </c>
      <c r="E143" t="inlineStr">
        <is>
          <t>VÄSTERVIK</t>
        </is>
      </c>
      <c r="F143" t="inlineStr">
        <is>
          <t>Sveaskog</t>
        </is>
      </c>
      <c r="G143" t="n">
        <v>1.3</v>
      </c>
      <c r="H143" t="n">
        <v>2</v>
      </c>
      <c r="I143" t="n">
        <v>0</v>
      </c>
      <c r="J143" t="n">
        <v>1</v>
      </c>
      <c r="K143" t="n">
        <v>0</v>
      </c>
      <c r="L143" t="n">
        <v>0</v>
      </c>
      <c r="M143" t="n">
        <v>0</v>
      </c>
      <c r="N143" t="n">
        <v>0</v>
      </c>
      <c r="O143" t="n">
        <v>1</v>
      </c>
      <c r="P143" t="n">
        <v>0</v>
      </c>
      <c r="Q143" t="n">
        <v>2</v>
      </c>
      <c r="R143" s="2" t="inlineStr">
        <is>
          <t>Grönsångare
Blåsippa</t>
        </is>
      </c>
      <c r="S143">
        <f>HYPERLINK("https://klasma.github.io/Logging_0883/artfynd/A 14126-2025 artfynd.xlsx", "A 14126-2025")</f>
        <v/>
      </c>
      <c r="T143">
        <f>HYPERLINK("https://klasma.github.io/Logging_0883/kartor/A 14126-2025 karta.png", "A 14126-2025")</f>
        <v/>
      </c>
      <c r="V143">
        <f>HYPERLINK("https://klasma.github.io/Logging_0883/klagomål/A 14126-2025 FSC-klagomål.docx", "A 14126-2025")</f>
        <v/>
      </c>
      <c r="W143">
        <f>HYPERLINK("https://klasma.github.io/Logging_0883/klagomålsmail/A 14126-2025 FSC-klagomål mail.docx", "A 14126-2025")</f>
        <v/>
      </c>
      <c r="X143">
        <f>HYPERLINK("https://klasma.github.io/Logging_0883/tillsyn/A 14126-2025 tillsynsbegäran.docx", "A 14126-2025")</f>
        <v/>
      </c>
      <c r="Y143">
        <f>HYPERLINK("https://klasma.github.io/Logging_0883/tillsynsmail/A 14126-2025 tillsynsbegäran mail.docx", "A 14126-2025")</f>
        <v/>
      </c>
      <c r="Z143">
        <f>HYPERLINK("https://klasma.github.io/Logging_0883/fåglar/A 14126-2025 prioriterade fågelarter.docx", "A 14126-2025")</f>
        <v/>
      </c>
    </row>
    <row r="144" ht="15" customHeight="1">
      <c r="A144" t="inlineStr">
        <is>
          <t>A 56857-2023</t>
        </is>
      </c>
      <c r="B144" s="1" t="n">
        <v>45244</v>
      </c>
      <c r="C144" s="1" t="n">
        <v>45925</v>
      </c>
      <c r="D144" t="inlineStr">
        <is>
          <t>KALMAR LÄN</t>
        </is>
      </c>
      <c r="E144" t="inlineStr">
        <is>
          <t>VÄSTERVIK</t>
        </is>
      </c>
      <c r="F144" t="inlineStr">
        <is>
          <t>Kyrkan</t>
        </is>
      </c>
      <c r="G144" t="n">
        <v>7.5</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56857-2023 artfynd.xlsx", "A 56857-2023")</f>
        <v/>
      </c>
      <c r="T144">
        <f>HYPERLINK("https://klasma.github.io/Logging_0883/kartor/A 56857-2023 karta.png", "A 56857-2023")</f>
        <v/>
      </c>
      <c r="U144">
        <f>HYPERLINK("https://klasma.github.io/Logging_0883/knärot/A 56857-2023 karta knärot.png", "A 56857-2023")</f>
        <v/>
      </c>
      <c r="V144">
        <f>HYPERLINK("https://klasma.github.io/Logging_0883/klagomål/A 56857-2023 FSC-klagomål.docx", "A 56857-2023")</f>
        <v/>
      </c>
      <c r="W144">
        <f>HYPERLINK("https://klasma.github.io/Logging_0883/klagomålsmail/A 56857-2023 FSC-klagomål mail.docx", "A 56857-2023")</f>
        <v/>
      </c>
      <c r="X144">
        <f>HYPERLINK("https://klasma.github.io/Logging_0883/tillsyn/A 56857-2023 tillsynsbegäran.docx", "A 56857-2023")</f>
        <v/>
      </c>
      <c r="Y144">
        <f>HYPERLINK("https://klasma.github.io/Logging_0883/tillsynsmail/A 56857-2023 tillsynsbegäran mail.docx", "A 56857-2023")</f>
        <v/>
      </c>
    </row>
    <row r="145" ht="15" customHeight="1">
      <c r="A145" t="inlineStr">
        <is>
          <t>A 14301-2023</t>
        </is>
      </c>
      <c r="B145" s="1" t="n">
        <v>45011</v>
      </c>
      <c r="C145" s="1" t="n">
        <v>45925</v>
      </c>
      <c r="D145" t="inlineStr">
        <is>
          <t>KALMAR LÄN</t>
        </is>
      </c>
      <c r="E145" t="inlineStr">
        <is>
          <t>VÄSTERVIK</t>
        </is>
      </c>
      <c r="G145" t="n">
        <v>4.4</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14301-2023 artfynd.xlsx", "A 14301-2023")</f>
        <v/>
      </c>
      <c r="T145">
        <f>HYPERLINK("https://klasma.github.io/Logging_0883/kartor/A 14301-2023 karta.png", "A 14301-2023")</f>
        <v/>
      </c>
      <c r="U145">
        <f>HYPERLINK("https://klasma.github.io/Logging_0883/knärot/A 14301-2023 karta knärot.png", "A 14301-2023")</f>
        <v/>
      </c>
      <c r="V145">
        <f>HYPERLINK("https://klasma.github.io/Logging_0883/klagomål/A 14301-2023 FSC-klagomål.docx", "A 14301-2023")</f>
        <v/>
      </c>
      <c r="W145">
        <f>HYPERLINK("https://klasma.github.io/Logging_0883/klagomålsmail/A 14301-2023 FSC-klagomål mail.docx", "A 14301-2023")</f>
        <v/>
      </c>
      <c r="X145">
        <f>HYPERLINK("https://klasma.github.io/Logging_0883/tillsyn/A 14301-2023 tillsynsbegäran.docx", "A 14301-2023")</f>
        <v/>
      </c>
      <c r="Y145">
        <f>HYPERLINK("https://klasma.github.io/Logging_0883/tillsynsmail/A 14301-2023 tillsynsbegäran mail.docx", "A 14301-2023")</f>
        <v/>
      </c>
    </row>
    <row r="146" ht="15" customHeight="1">
      <c r="A146" t="inlineStr">
        <is>
          <t>A 52723-2024</t>
        </is>
      </c>
      <c r="B146" s="1" t="n">
        <v>45610.44008101852</v>
      </c>
      <c r="C146" s="1" t="n">
        <v>45925</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45925</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38373-2022</t>
        </is>
      </c>
      <c r="B148" s="1" t="n">
        <v>44812</v>
      </c>
      <c r="C148" s="1" t="n">
        <v>45925</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38373-2022 artfynd.xlsx", "A 38373-2022")</f>
        <v/>
      </c>
      <c r="T148">
        <f>HYPERLINK("https://klasma.github.io/Logging_0883/kartor/A 38373-2022 karta.png", "A 38373-2022")</f>
        <v/>
      </c>
      <c r="U148">
        <f>HYPERLINK("https://klasma.github.io/Logging_0883/knärot/A 38373-2022 karta knärot.png", "A 38373-2022")</f>
        <v/>
      </c>
      <c r="V148">
        <f>HYPERLINK("https://klasma.github.io/Logging_0883/klagomål/A 38373-2022 FSC-klagomål.docx", "A 38373-2022")</f>
        <v/>
      </c>
      <c r="W148">
        <f>HYPERLINK("https://klasma.github.io/Logging_0883/klagomålsmail/A 38373-2022 FSC-klagomål mail.docx", "A 38373-2022")</f>
        <v/>
      </c>
      <c r="X148">
        <f>HYPERLINK("https://klasma.github.io/Logging_0883/tillsyn/A 38373-2022 tillsynsbegäran.docx", "A 38373-2022")</f>
        <v/>
      </c>
      <c r="Y148">
        <f>HYPERLINK("https://klasma.github.io/Logging_0883/tillsynsmail/A 38373-2022 tillsynsbegäran mail.docx", "A 38373-2022")</f>
        <v/>
      </c>
    </row>
    <row r="149" ht="15" customHeight="1">
      <c r="A149" t="inlineStr">
        <is>
          <t>A 62008-2023</t>
        </is>
      </c>
      <c r="B149" s="1" t="n">
        <v>45266</v>
      </c>
      <c r="C149" s="1" t="n">
        <v>45925</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8618-2024</t>
        </is>
      </c>
      <c r="B150" s="1" t="n">
        <v>45355.73453703704</v>
      </c>
      <c r="C150" s="1" t="n">
        <v>45925</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41573-2024</t>
        </is>
      </c>
      <c r="B151" s="1" t="n">
        <v>45560.54628472222</v>
      </c>
      <c r="C151" s="1" t="n">
        <v>45925</v>
      </c>
      <c r="D151" t="inlineStr">
        <is>
          <t>KALMAR LÄN</t>
        </is>
      </c>
      <c r="E151" t="inlineStr">
        <is>
          <t>VÄSTERVIK</t>
        </is>
      </c>
      <c r="G151" t="n">
        <v>1.6</v>
      </c>
      <c r="H151" t="n">
        <v>1</v>
      </c>
      <c r="I151" t="n">
        <v>1</v>
      </c>
      <c r="J151" t="n">
        <v>0</v>
      </c>
      <c r="K151" t="n">
        <v>1</v>
      </c>
      <c r="L151" t="n">
        <v>0</v>
      </c>
      <c r="M151" t="n">
        <v>0</v>
      </c>
      <c r="N151" t="n">
        <v>0</v>
      </c>
      <c r="O151" t="n">
        <v>1</v>
      </c>
      <c r="P151" t="n">
        <v>1</v>
      </c>
      <c r="Q151" t="n">
        <v>2</v>
      </c>
      <c r="R151" s="2" t="inlineStr">
        <is>
          <t>Knärot
Blåmossa</t>
        </is>
      </c>
      <c r="S151">
        <f>HYPERLINK("https://klasma.github.io/Logging_0883/artfynd/A 41573-2024 artfynd.xlsx", "A 41573-2024")</f>
        <v/>
      </c>
      <c r="T151">
        <f>HYPERLINK("https://klasma.github.io/Logging_0883/kartor/A 41573-2024 karta.png", "A 41573-2024")</f>
        <v/>
      </c>
      <c r="U151">
        <f>HYPERLINK("https://klasma.github.io/Logging_0883/knärot/A 41573-2024 karta knärot.png", "A 41573-2024")</f>
        <v/>
      </c>
      <c r="V151">
        <f>HYPERLINK("https://klasma.github.io/Logging_0883/klagomål/A 41573-2024 FSC-klagomål.docx", "A 41573-2024")</f>
        <v/>
      </c>
      <c r="W151">
        <f>HYPERLINK("https://klasma.github.io/Logging_0883/klagomålsmail/A 41573-2024 FSC-klagomål mail.docx", "A 41573-2024")</f>
        <v/>
      </c>
      <c r="X151">
        <f>HYPERLINK("https://klasma.github.io/Logging_0883/tillsyn/A 41573-2024 tillsynsbegäran.docx", "A 41573-2024")</f>
        <v/>
      </c>
      <c r="Y151">
        <f>HYPERLINK("https://klasma.github.io/Logging_0883/tillsynsmail/A 41573-2024 tillsynsbegäran mail.docx", "A 41573-2024")</f>
        <v/>
      </c>
    </row>
    <row r="152" ht="15" customHeight="1">
      <c r="A152" t="inlineStr">
        <is>
          <t>A 32649-2023</t>
        </is>
      </c>
      <c r="B152" s="1" t="n">
        <v>45121</v>
      </c>
      <c r="C152" s="1" t="n">
        <v>45925</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51833-2021</t>
        </is>
      </c>
      <c r="B153" s="1" t="n">
        <v>44462</v>
      </c>
      <c r="C153" s="1" t="n">
        <v>45925</v>
      </c>
      <c r="D153" t="inlineStr">
        <is>
          <t>KALMAR LÄN</t>
        </is>
      </c>
      <c r="E153" t="inlineStr">
        <is>
          <t>VÄSTERVIK</t>
        </is>
      </c>
      <c r="G153" t="n">
        <v>4</v>
      </c>
      <c r="H153" t="n">
        <v>1</v>
      </c>
      <c r="I153" t="n">
        <v>0</v>
      </c>
      <c r="J153" t="n">
        <v>1</v>
      </c>
      <c r="K153" t="n">
        <v>0</v>
      </c>
      <c r="L153" t="n">
        <v>0</v>
      </c>
      <c r="M153" t="n">
        <v>0</v>
      </c>
      <c r="N153" t="n">
        <v>0</v>
      </c>
      <c r="O153" t="n">
        <v>1</v>
      </c>
      <c r="P153" t="n">
        <v>0</v>
      </c>
      <c r="Q153" t="n">
        <v>2</v>
      </c>
      <c r="R153" s="2" t="inlineStr">
        <is>
          <t>Motaggsvamp
Fläcknycklar</t>
        </is>
      </c>
      <c r="S153">
        <f>HYPERLINK("https://klasma.github.io/Logging_0883/artfynd/A 51833-2021 artfynd.xlsx", "A 51833-2021")</f>
        <v/>
      </c>
      <c r="T153">
        <f>HYPERLINK("https://klasma.github.io/Logging_0883/kartor/A 51833-2021 karta.png", "A 51833-2021")</f>
        <v/>
      </c>
      <c r="V153">
        <f>HYPERLINK("https://klasma.github.io/Logging_0883/klagomål/A 51833-2021 FSC-klagomål.docx", "A 51833-2021")</f>
        <v/>
      </c>
      <c r="W153">
        <f>HYPERLINK("https://klasma.github.io/Logging_0883/klagomålsmail/A 51833-2021 FSC-klagomål mail.docx", "A 51833-2021")</f>
        <v/>
      </c>
      <c r="X153">
        <f>HYPERLINK("https://klasma.github.io/Logging_0883/tillsyn/A 51833-2021 tillsynsbegäran.docx", "A 51833-2021")</f>
        <v/>
      </c>
      <c r="Y153">
        <f>HYPERLINK("https://klasma.github.io/Logging_0883/tillsynsmail/A 51833-2021 tillsynsbegäran mail.docx", "A 51833-2021")</f>
        <v/>
      </c>
    </row>
    <row r="154" ht="15" customHeight="1">
      <c r="A154" t="inlineStr">
        <is>
          <t>A 37106-2024</t>
        </is>
      </c>
      <c r="B154" s="1" t="n">
        <v>45539.51238425926</v>
      </c>
      <c r="C154" s="1" t="n">
        <v>45925</v>
      </c>
      <c r="D154" t="inlineStr">
        <is>
          <t>KALMAR LÄN</t>
        </is>
      </c>
      <c r="E154" t="inlineStr">
        <is>
          <t>VÄSTERVIK</t>
        </is>
      </c>
      <c r="F154" t="inlineStr">
        <is>
          <t>Holmen skog AB</t>
        </is>
      </c>
      <c r="G154" t="n">
        <v>8.5</v>
      </c>
      <c r="H154" t="n">
        <v>2</v>
      </c>
      <c r="I154" t="n">
        <v>0</v>
      </c>
      <c r="J154" t="n">
        <v>1</v>
      </c>
      <c r="K154" t="n">
        <v>1</v>
      </c>
      <c r="L154" t="n">
        <v>0</v>
      </c>
      <c r="M154" t="n">
        <v>0</v>
      </c>
      <c r="N154" t="n">
        <v>0</v>
      </c>
      <c r="O154" t="n">
        <v>2</v>
      </c>
      <c r="P154" t="n">
        <v>1</v>
      </c>
      <c r="Q154" t="n">
        <v>2</v>
      </c>
      <c r="R154" s="2" t="inlineStr">
        <is>
          <t>Knärot
Mindre hackspett</t>
        </is>
      </c>
      <c r="S154">
        <f>HYPERLINK("https://klasma.github.io/Logging_0883/artfynd/A 37106-2024 artfynd.xlsx", "A 37106-2024")</f>
        <v/>
      </c>
      <c r="T154">
        <f>HYPERLINK("https://klasma.github.io/Logging_0883/kartor/A 37106-2024 karta.png", "A 37106-2024")</f>
        <v/>
      </c>
      <c r="U154">
        <f>HYPERLINK("https://klasma.github.io/Logging_0883/knärot/A 37106-2024 karta knärot.png", "A 37106-2024")</f>
        <v/>
      </c>
      <c r="V154">
        <f>HYPERLINK("https://klasma.github.io/Logging_0883/klagomål/A 37106-2024 FSC-klagomål.docx", "A 37106-2024")</f>
        <v/>
      </c>
      <c r="W154">
        <f>HYPERLINK("https://klasma.github.io/Logging_0883/klagomålsmail/A 37106-2024 FSC-klagomål mail.docx", "A 37106-2024")</f>
        <v/>
      </c>
      <c r="X154">
        <f>HYPERLINK("https://klasma.github.io/Logging_0883/tillsyn/A 37106-2024 tillsynsbegäran.docx", "A 37106-2024")</f>
        <v/>
      </c>
      <c r="Y154">
        <f>HYPERLINK("https://klasma.github.io/Logging_0883/tillsynsmail/A 37106-2024 tillsynsbegäran mail.docx", "A 37106-2024")</f>
        <v/>
      </c>
      <c r="Z154">
        <f>HYPERLINK("https://klasma.github.io/Logging_0883/fåglar/A 37106-2024 prioriterade fågelarter.docx", "A 37106-2024")</f>
        <v/>
      </c>
    </row>
    <row r="155" ht="15" customHeight="1">
      <c r="A155" t="inlineStr">
        <is>
          <t>A 1767-2025</t>
        </is>
      </c>
      <c r="B155" s="1" t="n">
        <v>45671</v>
      </c>
      <c r="C155" s="1" t="n">
        <v>45925</v>
      </c>
      <c r="D155" t="inlineStr">
        <is>
          <t>KALMAR LÄN</t>
        </is>
      </c>
      <c r="E155" t="inlineStr">
        <is>
          <t>VÄSTERVIK</t>
        </is>
      </c>
      <c r="G155" t="n">
        <v>1.4</v>
      </c>
      <c r="H155" t="n">
        <v>1</v>
      </c>
      <c r="I155" t="n">
        <v>0</v>
      </c>
      <c r="J155" t="n">
        <v>2</v>
      </c>
      <c r="K155" t="n">
        <v>0</v>
      </c>
      <c r="L155" t="n">
        <v>0</v>
      </c>
      <c r="M155" t="n">
        <v>0</v>
      </c>
      <c r="N155" t="n">
        <v>0</v>
      </c>
      <c r="O155" t="n">
        <v>2</v>
      </c>
      <c r="P155" t="n">
        <v>0</v>
      </c>
      <c r="Q155" t="n">
        <v>2</v>
      </c>
      <c r="R155" s="2" t="inlineStr">
        <is>
          <t>Garnlav
Spillkråka</t>
        </is>
      </c>
      <c r="S155">
        <f>HYPERLINK("https://klasma.github.io/Logging_0883/artfynd/A 1767-2025 artfynd.xlsx", "A 1767-2025")</f>
        <v/>
      </c>
      <c r="T155">
        <f>HYPERLINK("https://klasma.github.io/Logging_0883/kartor/A 1767-2025 karta.png", "A 1767-2025")</f>
        <v/>
      </c>
      <c r="U155">
        <f>HYPERLINK("https://klasma.github.io/Logging_0883/knärot/A 1767-2025 karta knärot.png", "A 1767-2025")</f>
        <v/>
      </c>
      <c r="V155">
        <f>HYPERLINK("https://klasma.github.io/Logging_0883/klagomål/A 1767-2025 FSC-klagomål.docx", "A 1767-2025")</f>
        <v/>
      </c>
      <c r="W155">
        <f>HYPERLINK("https://klasma.github.io/Logging_0883/klagomålsmail/A 1767-2025 FSC-klagomål mail.docx", "A 1767-2025")</f>
        <v/>
      </c>
      <c r="X155">
        <f>HYPERLINK("https://klasma.github.io/Logging_0883/tillsyn/A 1767-2025 tillsynsbegäran.docx", "A 1767-2025")</f>
        <v/>
      </c>
      <c r="Y155">
        <f>HYPERLINK("https://klasma.github.io/Logging_0883/tillsynsmail/A 1767-2025 tillsynsbegäran mail.docx", "A 1767-2025")</f>
        <v/>
      </c>
      <c r="Z155">
        <f>HYPERLINK("https://klasma.github.io/Logging_0883/fåglar/A 1767-2025 prioriterade fågelarter.docx", "A 1767-2025")</f>
        <v/>
      </c>
    </row>
    <row r="156" ht="15" customHeight="1">
      <c r="A156" t="inlineStr">
        <is>
          <t>A 21081-2025</t>
        </is>
      </c>
      <c r="B156" s="1" t="n">
        <v>45777.60479166666</v>
      </c>
      <c r="C156" s="1" t="n">
        <v>45925</v>
      </c>
      <c r="D156" t="inlineStr">
        <is>
          <t>KALMAR LÄN</t>
        </is>
      </c>
      <c r="E156" t="inlineStr">
        <is>
          <t>VÄSTERVIK</t>
        </is>
      </c>
      <c r="G156" t="n">
        <v>1</v>
      </c>
      <c r="H156" t="n">
        <v>1</v>
      </c>
      <c r="I156" t="n">
        <v>0</v>
      </c>
      <c r="J156" t="n">
        <v>1</v>
      </c>
      <c r="K156" t="n">
        <v>1</v>
      </c>
      <c r="L156" t="n">
        <v>0</v>
      </c>
      <c r="M156" t="n">
        <v>0</v>
      </c>
      <c r="N156" t="n">
        <v>0</v>
      </c>
      <c r="O156" t="n">
        <v>2</v>
      </c>
      <c r="P156" t="n">
        <v>1</v>
      </c>
      <c r="Q156" t="n">
        <v>2</v>
      </c>
      <c r="R156" s="2" t="inlineStr">
        <is>
          <t>Knärot
Ullticka</t>
        </is>
      </c>
      <c r="S156">
        <f>HYPERLINK("https://klasma.github.io/Logging_0883/artfynd/A 21081-2025 artfynd.xlsx", "A 21081-2025")</f>
        <v/>
      </c>
      <c r="T156">
        <f>HYPERLINK("https://klasma.github.io/Logging_0883/kartor/A 21081-2025 karta.png", "A 21081-2025")</f>
        <v/>
      </c>
      <c r="U156">
        <f>HYPERLINK("https://klasma.github.io/Logging_0883/knärot/A 21081-2025 karta knärot.png", "A 21081-2025")</f>
        <v/>
      </c>
      <c r="V156">
        <f>HYPERLINK("https://klasma.github.io/Logging_0883/klagomål/A 21081-2025 FSC-klagomål.docx", "A 21081-2025")</f>
        <v/>
      </c>
      <c r="W156">
        <f>HYPERLINK("https://klasma.github.io/Logging_0883/klagomålsmail/A 21081-2025 FSC-klagomål mail.docx", "A 21081-2025")</f>
        <v/>
      </c>
      <c r="X156">
        <f>HYPERLINK("https://klasma.github.io/Logging_0883/tillsyn/A 21081-2025 tillsynsbegäran.docx", "A 21081-2025")</f>
        <v/>
      </c>
      <c r="Y156">
        <f>HYPERLINK("https://klasma.github.io/Logging_0883/tillsynsmail/A 21081-2025 tillsynsbegäran mail.docx", "A 21081-2025")</f>
        <v/>
      </c>
    </row>
    <row r="157" ht="15" customHeight="1">
      <c r="A157" t="inlineStr">
        <is>
          <t>A 17438-2024</t>
        </is>
      </c>
      <c r="B157" s="1" t="n">
        <v>45415</v>
      </c>
      <c r="C157" s="1" t="n">
        <v>45925</v>
      </c>
      <c r="D157" t="inlineStr">
        <is>
          <t>KALMAR LÄN</t>
        </is>
      </c>
      <c r="E157" t="inlineStr">
        <is>
          <t>VÄSTERVIK</t>
        </is>
      </c>
      <c r="G157" t="n">
        <v>3.8</v>
      </c>
      <c r="H157" t="n">
        <v>2</v>
      </c>
      <c r="I157" t="n">
        <v>0</v>
      </c>
      <c r="J157" t="n">
        <v>1</v>
      </c>
      <c r="K157" t="n">
        <v>1</v>
      </c>
      <c r="L157" t="n">
        <v>0</v>
      </c>
      <c r="M157" t="n">
        <v>0</v>
      </c>
      <c r="N157" t="n">
        <v>0</v>
      </c>
      <c r="O157" t="n">
        <v>2</v>
      </c>
      <c r="P157" t="n">
        <v>1</v>
      </c>
      <c r="Q157" t="n">
        <v>2</v>
      </c>
      <c r="R157" s="2" t="inlineStr">
        <is>
          <t>Knärot
Spillkråka</t>
        </is>
      </c>
      <c r="S157">
        <f>HYPERLINK("https://klasma.github.io/Logging_0883/artfynd/A 17438-2024 artfynd.xlsx", "A 17438-2024")</f>
        <v/>
      </c>
      <c r="T157">
        <f>HYPERLINK("https://klasma.github.io/Logging_0883/kartor/A 17438-2024 karta.png", "A 17438-2024")</f>
        <v/>
      </c>
      <c r="U157">
        <f>HYPERLINK("https://klasma.github.io/Logging_0883/knärot/A 17438-2024 karta knärot.png", "A 17438-2024")</f>
        <v/>
      </c>
      <c r="V157">
        <f>HYPERLINK("https://klasma.github.io/Logging_0883/klagomål/A 17438-2024 FSC-klagomål.docx", "A 17438-2024")</f>
        <v/>
      </c>
      <c r="W157">
        <f>HYPERLINK("https://klasma.github.io/Logging_0883/klagomålsmail/A 17438-2024 FSC-klagomål mail.docx", "A 17438-2024")</f>
        <v/>
      </c>
      <c r="X157">
        <f>HYPERLINK("https://klasma.github.io/Logging_0883/tillsyn/A 17438-2024 tillsynsbegäran.docx", "A 17438-2024")</f>
        <v/>
      </c>
      <c r="Y157">
        <f>HYPERLINK("https://klasma.github.io/Logging_0883/tillsynsmail/A 17438-2024 tillsynsbegäran mail.docx", "A 17438-2024")</f>
        <v/>
      </c>
      <c r="Z157">
        <f>HYPERLINK("https://klasma.github.io/Logging_0883/fåglar/A 17438-2024 prioriterade fågelarter.docx", "A 17438-2024")</f>
        <v/>
      </c>
    </row>
    <row r="158" ht="15" customHeight="1">
      <c r="A158" t="inlineStr">
        <is>
          <t>A 72945-2021</t>
        </is>
      </c>
      <c r="B158" s="1" t="n">
        <v>44547.90868055556</v>
      </c>
      <c r="C158" s="1" t="n">
        <v>45925</v>
      </c>
      <c r="D158" t="inlineStr">
        <is>
          <t>KALMAR LÄN</t>
        </is>
      </c>
      <c r="E158" t="inlineStr">
        <is>
          <t>VÄSTERVIK</t>
        </is>
      </c>
      <c r="G158" t="n">
        <v>1.6</v>
      </c>
      <c r="H158" t="n">
        <v>0</v>
      </c>
      <c r="I158" t="n">
        <v>1</v>
      </c>
      <c r="J158" t="n">
        <v>1</v>
      </c>
      <c r="K158" t="n">
        <v>0</v>
      </c>
      <c r="L158" t="n">
        <v>0</v>
      </c>
      <c r="M158" t="n">
        <v>0</v>
      </c>
      <c r="N158" t="n">
        <v>0</v>
      </c>
      <c r="O158" t="n">
        <v>1</v>
      </c>
      <c r="P158" t="n">
        <v>0</v>
      </c>
      <c r="Q158" t="n">
        <v>2</v>
      </c>
      <c r="R158" s="2" t="inlineStr">
        <is>
          <t>Veckticka
Rävticka</t>
        </is>
      </c>
      <c r="S158">
        <f>HYPERLINK("https://klasma.github.io/Logging_0883/artfynd/A 72945-2021 artfynd.xlsx", "A 72945-2021")</f>
        <v/>
      </c>
      <c r="T158">
        <f>HYPERLINK("https://klasma.github.io/Logging_0883/kartor/A 72945-2021 karta.png", "A 72945-2021")</f>
        <v/>
      </c>
      <c r="V158">
        <f>HYPERLINK("https://klasma.github.io/Logging_0883/klagomål/A 72945-2021 FSC-klagomål.docx", "A 72945-2021")</f>
        <v/>
      </c>
      <c r="W158">
        <f>HYPERLINK("https://klasma.github.io/Logging_0883/klagomålsmail/A 72945-2021 FSC-klagomål mail.docx", "A 72945-2021")</f>
        <v/>
      </c>
      <c r="X158">
        <f>HYPERLINK("https://klasma.github.io/Logging_0883/tillsyn/A 72945-2021 tillsynsbegäran.docx", "A 72945-2021")</f>
        <v/>
      </c>
      <c r="Y158">
        <f>HYPERLINK("https://klasma.github.io/Logging_0883/tillsynsmail/A 72945-2021 tillsynsbegäran mail.docx", "A 72945-2021")</f>
        <v/>
      </c>
    </row>
    <row r="159" ht="15" customHeight="1">
      <c r="A159" t="inlineStr">
        <is>
          <t>A 40331-2024</t>
        </is>
      </c>
      <c r="B159" s="1" t="n">
        <v>45555.31039351852</v>
      </c>
      <c r="C159" s="1" t="n">
        <v>45925</v>
      </c>
      <c r="D159" t="inlineStr">
        <is>
          <t>KALMAR LÄN</t>
        </is>
      </c>
      <c r="E159" t="inlineStr">
        <is>
          <t>VÄSTERVIK</t>
        </is>
      </c>
      <c r="G159" t="n">
        <v>1.5</v>
      </c>
      <c r="H159" t="n">
        <v>1</v>
      </c>
      <c r="I159" t="n">
        <v>1</v>
      </c>
      <c r="J159" t="n">
        <v>0</v>
      </c>
      <c r="K159" t="n">
        <v>0</v>
      </c>
      <c r="L159" t="n">
        <v>0</v>
      </c>
      <c r="M159" t="n">
        <v>0</v>
      </c>
      <c r="N159" t="n">
        <v>0</v>
      </c>
      <c r="O159" t="n">
        <v>0</v>
      </c>
      <c r="P159" t="n">
        <v>0</v>
      </c>
      <c r="Q159" t="n">
        <v>2</v>
      </c>
      <c r="R159" s="2" t="inlineStr">
        <is>
          <t>Murgröna
Blåsippa</t>
        </is>
      </c>
      <c r="S159">
        <f>HYPERLINK("https://klasma.github.io/Logging_0883/artfynd/A 40331-2024 artfynd.xlsx", "A 40331-2024")</f>
        <v/>
      </c>
      <c r="T159">
        <f>HYPERLINK("https://klasma.github.io/Logging_0883/kartor/A 40331-2024 karta.png", "A 40331-2024")</f>
        <v/>
      </c>
      <c r="V159">
        <f>HYPERLINK("https://klasma.github.io/Logging_0883/klagomål/A 40331-2024 FSC-klagomål.docx", "A 40331-2024")</f>
        <v/>
      </c>
      <c r="W159">
        <f>HYPERLINK("https://klasma.github.io/Logging_0883/klagomålsmail/A 40331-2024 FSC-klagomål mail.docx", "A 40331-2024")</f>
        <v/>
      </c>
      <c r="X159">
        <f>HYPERLINK("https://klasma.github.io/Logging_0883/tillsyn/A 40331-2024 tillsynsbegäran.docx", "A 40331-2024")</f>
        <v/>
      </c>
      <c r="Y159">
        <f>HYPERLINK("https://klasma.github.io/Logging_0883/tillsynsmail/A 40331-2024 tillsynsbegäran mail.docx", "A 40331-2024")</f>
        <v/>
      </c>
    </row>
    <row r="160" ht="15" customHeight="1">
      <c r="A160" t="inlineStr">
        <is>
          <t>A 25439-2021</t>
        </is>
      </c>
      <c r="B160" s="1" t="n">
        <v>44342</v>
      </c>
      <c r="C160" s="1" t="n">
        <v>45925</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958-2025</t>
        </is>
      </c>
      <c r="B161" s="1" t="n">
        <v>45666</v>
      </c>
      <c r="C161" s="1" t="n">
        <v>45925</v>
      </c>
      <c r="D161" t="inlineStr">
        <is>
          <t>KALMAR LÄN</t>
        </is>
      </c>
      <c r="E161" t="inlineStr">
        <is>
          <t>VÄSTERVIK</t>
        </is>
      </c>
      <c r="G161" t="n">
        <v>2.8</v>
      </c>
      <c r="H161" t="n">
        <v>1</v>
      </c>
      <c r="I161" t="n">
        <v>0</v>
      </c>
      <c r="J161" t="n">
        <v>2</v>
      </c>
      <c r="K161" t="n">
        <v>0</v>
      </c>
      <c r="L161" t="n">
        <v>0</v>
      </c>
      <c r="M161" t="n">
        <v>0</v>
      </c>
      <c r="N161" t="n">
        <v>0</v>
      </c>
      <c r="O161" t="n">
        <v>2</v>
      </c>
      <c r="P161" t="n">
        <v>0</v>
      </c>
      <c r="Q161" t="n">
        <v>2</v>
      </c>
      <c r="R161" s="2" t="inlineStr">
        <is>
          <t>Orange taggsvamp
Spillkråka</t>
        </is>
      </c>
      <c r="S161">
        <f>HYPERLINK("https://klasma.github.io/Logging_0883/artfynd/A 958-2025 artfynd.xlsx", "A 958-2025")</f>
        <v/>
      </c>
      <c r="T161">
        <f>HYPERLINK("https://klasma.github.io/Logging_0883/kartor/A 958-2025 karta.png", "A 958-2025")</f>
        <v/>
      </c>
      <c r="V161">
        <f>HYPERLINK("https://klasma.github.io/Logging_0883/klagomål/A 958-2025 FSC-klagomål.docx", "A 958-2025")</f>
        <v/>
      </c>
      <c r="W161">
        <f>HYPERLINK("https://klasma.github.io/Logging_0883/klagomålsmail/A 958-2025 FSC-klagomål mail.docx", "A 958-2025")</f>
        <v/>
      </c>
      <c r="X161">
        <f>HYPERLINK("https://klasma.github.io/Logging_0883/tillsyn/A 958-2025 tillsynsbegäran.docx", "A 958-2025")</f>
        <v/>
      </c>
      <c r="Y161">
        <f>HYPERLINK("https://klasma.github.io/Logging_0883/tillsynsmail/A 958-2025 tillsynsbegäran mail.docx", "A 958-2025")</f>
        <v/>
      </c>
      <c r="Z161">
        <f>HYPERLINK("https://klasma.github.io/Logging_0883/fåglar/A 958-2025 prioriterade fågelarter.docx", "A 958-2025")</f>
        <v/>
      </c>
    </row>
    <row r="162" ht="15" customHeight="1">
      <c r="A162" t="inlineStr">
        <is>
          <t>A 14090-2025</t>
        </is>
      </c>
      <c r="B162" s="1" t="n">
        <v>45740.44487268518</v>
      </c>
      <c r="C162" s="1" t="n">
        <v>45925</v>
      </c>
      <c r="D162" t="inlineStr">
        <is>
          <t>KALMAR LÄN</t>
        </is>
      </c>
      <c r="E162" t="inlineStr">
        <is>
          <t>VÄSTERVIK</t>
        </is>
      </c>
      <c r="F162" t="inlineStr">
        <is>
          <t>Sveaskog</t>
        </is>
      </c>
      <c r="G162" t="n">
        <v>1</v>
      </c>
      <c r="H162" t="n">
        <v>2</v>
      </c>
      <c r="I162" t="n">
        <v>0</v>
      </c>
      <c r="J162" t="n">
        <v>1</v>
      </c>
      <c r="K162" t="n">
        <v>0</v>
      </c>
      <c r="L162" t="n">
        <v>0</v>
      </c>
      <c r="M162" t="n">
        <v>0</v>
      </c>
      <c r="N162" t="n">
        <v>0</v>
      </c>
      <c r="O162" t="n">
        <v>1</v>
      </c>
      <c r="P162" t="n">
        <v>0</v>
      </c>
      <c r="Q162" t="n">
        <v>2</v>
      </c>
      <c r="R162" s="2" t="inlineStr">
        <is>
          <t>Grönsångare
Åkergroda</t>
        </is>
      </c>
      <c r="S162">
        <f>HYPERLINK("https://klasma.github.io/Logging_0883/artfynd/A 14090-2025 artfynd.xlsx", "A 14090-2025")</f>
        <v/>
      </c>
      <c r="T162">
        <f>HYPERLINK("https://klasma.github.io/Logging_0883/kartor/A 14090-2025 karta.png", "A 14090-2025")</f>
        <v/>
      </c>
      <c r="V162">
        <f>HYPERLINK("https://klasma.github.io/Logging_0883/klagomål/A 14090-2025 FSC-klagomål.docx", "A 14090-2025")</f>
        <v/>
      </c>
      <c r="W162">
        <f>HYPERLINK("https://klasma.github.io/Logging_0883/klagomålsmail/A 14090-2025 FSC-klagomål mail.docx", "A 14090-2025")</f>
        <v/>
      </c>
      <c r="X162">
        <f>HYPERLINK("https://klasma.github.io/Logging_0883/tillsyn/A 14090-2025 tillsynsbegäran.docx", "A 14090-2025")</f>
        <v/>
      </c>
      <c r="Y162">
        <f>HYPERLINK("https://klasma.github.io/Logging_0883/tillsynsmail/A 14090-2025 tillsynsbegäran mail.docx", "A 14090-2025")</f>
        <v/>
      </c>
      <c r="Z162">
        <f>HYPERLINK("https://klasma.github.io/Logging_0883/fåglar/A 14090-2025 prioriterade fågelarter.docx", "A 14090-2025")</f>
        <v/>
      </c>
    </row>
    <row r="163" ht="15" customHeight="1">
      <c r="A163" t="inlineStr">
        <is>
          <t>A 25145-2022</t>
        </is>
      </c>
      <c r="B163" s="1" t="n">
        <v>44729</v>
      </c>
      <c r="C163" s="1" t="n">
        <v>45925</v>
      </c>
      <c r="D163" t="inlineStr">
        <is>
          <t>KALMAR LÄN</t>
        </is>
      </c>
      <c r="E163" t="inlineStr">
        <is>
          <t>VÄSTERVIK</t>
        </is>
      </c>
      <c r="G163" t="n">
        <v>1.3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25145-2022 artfynd.xlsx", "A 25145-2022")</f>
        <v/>
      </c>
      <c r="T163">
        <f>HYPERLINK("https://klasma.github.io/Logging_0883/kartor/A 25145-2022 karta.png", "A 25145-2022")</f>
        <v/>
      </c>
      <c r="U163">
        <f>HYPERLINK("https://klasma.github.io/Logging_0883/knärot/A 25145-2022 karta knärot.png", "A 25145-2022")</f>
        <v/>
      </c>
      <c r="V163">
        <f>HYPERLINK("https://klasma.github.io/Logging_0883/klagomål/A 25145-2022 FSC-klagomål.docx", "A 25145-2022")</f>
        <v/>
      </c>
      <c r="W163">
        <f>HYPERLINK("https://klasma.github.io/Logging_0883/klagomålsmail/A 25145-2022 FSC-klagomål mail.docx", "A 25145-2022")</f>
        <v/>
      </c>
      <c r="X163">
        <f>HYPERLINK("https://klasma.github.io/Logging_0883/tillsyn/A 25145-2022 tillsynsbegäran.docx", "A 25145-2022")</f>
        <v/>
      </c>
      <c r="Y163">
        <f>HYPERLINK("https://klasma.github.io/Logging_0883/tillsynsmail/A 25145-2022 tillsynsbegäran mail.docx", "A 25145-2022")</f>
        <v/>
      </c>
    </row>
    <row r="164" ht="15" customHeight="1">
      <c r="A164" t="inlineStr">
        <is>
          <t>A 16700-2025</t>
        </is>
      </c>
      <c r="B164" s="1" t="n">
        <v>45754.46833333333</v>
      </c>
      <c r="C164" s="1" t="n">
        <v>45925</v>
      </c>
      <c r="D164" t="inlineStr">
        <is>
          <t>KALMAR LÄN</t>
        </is>
      </c>
      <c r="E164" t="inlineStr">
        <is>
          <t>VÄSTERVIK</t>
        </is>
      </c>
      <c r="F164" t="inlineStr">
        <is>
          <t>Sveaskog</t>
        </is>
      </c>
      <c r="G164" t="n">
        <v>1.7</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16700-2025 artfynd.xlsx", "A 16700-2025")</f>
        <v/>
      </c>
      <c r="T164">
        <f>HYPERLINK("https://klasma.github.io/Logging_0883/kartor/A 16700-2025 karta.png", "A 16700-2025")</f>
        <v/>
      </c>
      <c r="V164">
        <f>HYPERLINK("https://klasma.github.io/Logging_0883/klagomål/A 16700-2025 FSC-klagomål.docx", "A 16700-2025")</f>
        <v/>
      </c>
      <c r="W164">
        <f>HYPERLINK("https://klasma.github.io/Logging_0883/klagomålsmail/A 16700-2025 FSC-klagomål mail.docx", "A 16700-2025")</f>
        <v/>
      </c>
      <c r="X164">
        <f>HYPERLINK("https://klasma.github.io/Logging_0883/tillsyn/A 16700-2025 tillsynsbegäran.docx", "A 16700-2025")</f>
        <v/>
      </c>
      <c r="Y164">
        <f>HYPERLINK("https://klasma.github.io/Logging_0883/tillsynsmail/A 16700-2025 tillsynsbegäran mail.docx", "A 16700-2025")</f>
        <v/>
      </c>
      <c r="Z164">
        <f>HYPERLINK("https://klasma.github.io/Logging_0883/fåglar/A 16700-2025 prioriterade fågelarter.docx", "A 16700-2025")</f>
        <v/>
      </c>
    </row>
    <row r="165" ht="15" customHeight="1">
      <c r="A165" t="inlineStr">
        <is>
          <t>A 34292-2025</t>
        </is>
      </c>
      <c r="B165" s="1" t="n">
        <v>45846.34083333334</v>
      </c>
      <c r="C165" s="1" t="n">
        <v>45925</v>
      </c>
      <c r="D165" t="inlineStr">
        <is>
          <t>KALMAR LÄN</t>
        </is>
      </c>
      <c r="E165" t="inlineStr">
        <is>
          <t>VÄSTERVIK</t>
        </is>
      </c>
      <c r="G165" t="n">
        <v>3.4</v>
      </c>
      <c r="H165" t="n">
        <v>0</v>
      </c>
      <c r="I165" t="n">
        <v>1</v>
      </c>
      <c r="J165" t="n">
        <v>1</v>
      </c>
      <c r="K165" t="n">
        <v>0</v>
      </c>
      <c r="L165" t="n">
        <v>0</v>
      </c>
      <c r="M165" t="n">
        <v>0</v>
      </c>
      <c r="N165" t="n">
        <v>0</v>
      </c>
      <c r="O165" t="n">
        <v>1</v>
      </c>
      <c r="P165" t="n">
        <v>0</v>
      </c>
      <c r="Q165" t="n">
        <v>2</v>
      </c>
      <c r="R165" s="2" t="inlineStr">
        <is>
          <t>Tallticka
Blåmossa</t>
        </is>
      </c>
      <c r="S165">
        <f>HYPERLINK("https://klasma.github.io/Logging_0883/artfynd/A 34292-2025 artfynd.xlsx", "A 34292-2025")</f>
        <v/>
      </c>
      <c r="T165">
        <f>HYPERLINK("https://klasma.github.io/Logging_0883/kartor/A 34292-2025 karta.png", "A 34292-2025")</f>
        <v/>
      </c>
      <c r="V165">
        <f>HYPERLINK("https://klasma.github.io/Logging_0883/klagomål/A 34292-2025 FSC-klagomål.docx", "A 34292-2025")</f>
        <v/>
      </c>
      <c r="W165">
        <f>HYPERLINK("https://klasma.github.io/Logging_0883/klagomålsmail/A 34292-2025 FSC-klagomål mail.docx", "A 34292-2025")</f>
        <v/>
      </c>
      <c r="X165">
        <f>HYPERLINK("https://klasma.github.io/Logging_0883/tillsyn/A 34292-2025 tillsynsbegäran.docx", "A 34292-2025")</f>
        <v/>
      </c>
      <c r="Y165">
        <f>HYPERLINK("https://klasma.github.io/Logging_0883/tillsynsmail/A 34292-2025 tillsynsbegäran mail.docx", "A 34292-2025")</f>
        <v/>
      </c>
    </row>
    <row r="166" ht="15" customHeight="1">
      <c r="A166" t="inlineStr">
        <is>
          <t>A 47935-2023</t>
        </is>
      </c>
      <c r="B166" s="1" t="n">
        <v>45204</v>
      </c>
      <c r="C166" s="1" t="n">
        <v>45925</v>
      </c>
      <c r="D166" t="inlineStr">
        <is>
          <t>KALMAR LÄN</t>
        </is>
      </c>
      <c r="E166" t="inlineStr">
        <is>
          <t>VÄSTERVIK</t>
        </is>
      </c>
      <c r="G166" t="n">
        <v>4.3</v>
      </c>
      <c r="H166" t="n">
        <v>0</v>
      </c>
      <c r="I166" t="n">
        <v>1</v>
      </c>
      <c r="J166" t="n">
        <v>1</v>
      </c>
      <c r="K166" t="n">
        <v>0</v>
      </c>
      <c r="L166" t="n">
        <v>0</v>
      </c>
      <c r="M166" t="n">
        <v>0</v>
      </c>
      <c r="N166" t="n">
        <v>0</v>
      </c>
      <c r="O166" t="n">
        <v>1</v>
      </c>
      <c r="P166" t="n">
        <v>0</v>
      </c>
      <c r="Q166" t="n">
        <v>2</v>
      </c>
      <c r="R166" s="2" t="inlineStr">
        <is>
          <t>Tallticka
Blåmossa</t>
        </is>
      </c>
      <c r="S166">
        <f>HYPERLINK("https://klasma.github.io/Logging_0883/artfynd/A 47935-2023 artfynd.xlsx", "A 47935-2023")</f>
        <v/>
      </c>
      <c r="T166">
        <f>HYPERLINK("https://klasma.github.io/Logging_0883/kartor/A 47935-2023 karta.png", "A 47935-2023")</f>
        <v/>
      </c>
      <c r="V166">
        <f>HYPERLINK("https://klasma.github.io/Logging_0883/klagomål/A 47935-2023 FSC-klagomål.docx", "A 47935-2023")</f>
        <v/>
      </c>
      <c r="W166">
        <f>HYPERLINK("https://klasma.github.io/Logging_0883/klagomålsmail/A 47935-2023 FSC-klagomål mail.docx", "A 47935-2023")</f>
        <v/>
      </c>
      <c r="X166">
        <f>HYPERLINK("https://klasma.github.io/Logging_0883/tillsyn/A 47935-2023 tillsynsbegäran.docx", "A 47935-2023")</f>
        <v/>
      </c>
      <c r="Y166">
        <f>HYPERLINK("https://klasma.github.io/Logging_0883/tillsynsmail/A 47935-2023 tillsynsbegäran mail.docx", "A 47935-2023")</f>
        <v/>
      </c>
    </row>
    <row r="167" ht="15" customHeight="1">
      <c r="A167" t="inlineStr">
        <is>
          <t>A 56036-2024</t>
        </is>
      </c>
      <c r="B167" s="1" t="n">
        <v>45624</v>
      </c>
      <c r="C167" s="1" t="n">
        <v>45925</v>
      </c>
      <c r="D167" t="inlineStr">
        <is>
          <t>KALMAR LÄN</t>
        </is>
      </c>
      <c r="E167" t="inlineStr">
        <is>
          <t>VÄSTERVIK</t>
        </is>
      </c>
      <c r="F167" t="inlineStr">
        <is>
          <t>Kyrkan</t>
        </is>
      </c>
      <c r="G167" t="n">
        <v>5.5</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56036-2024 artfynd.xlsx", "A 56036-2024")</f>
        <v/>
      </c>
      <c r="T167">
        <f>HYPERLINK("https://klasma.github.io/Logging_0883/kartor/A 56036-2024 karta.png", "A 56036-2024")</f>
        <v/>
      </c>
      <c r="U167">
        <f>HYPERLINK("https://klasma.github.io/Logging_0883/knärot/A 56036-2024 karta knärot.png", "A 56036-2024")</f>
        <v/>
      </c>
      <c r="V167">
        <f>HYPERLINK("https://klasma.github.io/Logging_0883/klagomål/A 56036-2024 FSC-klagomål.docx", "A 56036-2024")</f>
        <v/>
      </c>
      <c r="W167">
        <f>HYPERLINK("https://klasma.github.io/Logging_0883/klagomålsmail/A 56036-2024 FSC-klagomål mail.docx", "A 56036-2024")</f>
        <v/>
      </c>
      <c r="X167">
        <f>HYPERLINK("https://klasma.github.io/Logging_0883/tillsyn/A 56036-2024 tillsynsbegäran.docx", "A 56036-2024")</f>
        <v/>
      </c>
      <c r="Y167">
        <f>HYPERLINK("https://klasma.github.io/Logging_0883/tillsynsmail/A 56036-2024 tillsynsbegäran mail.docx", "A 56036-2024")</f>
        <v/>
      </c>
      <c r="Z167">
        <f>HYPERLINK("https://klasma.github.io/Logging_0883/fåglar/A 56036-2024 prioriterade fågelarter.docx", "A 56036-2024")</f>
        <v/>
      </c>
    </row>
    <row r="168" ht="15" customHeight="1">
      <c r="A168" t="inlineStr">
        <is>
          <t>A 932-2024</t>
        </is>
      </c>
      <c r="B168" s="1" t="n">
        <v>45301</v>
      </c>
      <c r="C168" s="1" t="n">
        <v>45925</v>
      </c>
      <c r="D168" t="inlineStr">
        <is>
          <t>KALMAR LÄN</t>
        </is>
      </c>
      <c r="E168" t="inlineStr">
        <is>
          <t>VÄSTERVIK</t>
        </is>
      </c>
      <c r="G168" t="n">
        <v>3.7</v>
      </c>
      <c r="H168" t="n">
        <v>1</v>
      </c>
      <c r="I168" t="n">
        <v>1</v>
      </c>
      <c r="J168" t="n">
        <v>1</v>
      </c>
      <c r="K168" t="n">
        <v>0</v>
      </c>
      <c r="L168" t="n">
        <v>0</v>
      </c>
      <c r="M168" t="n">
        <v>0</v>
      </c>
      <c r="N168" t="n">
        <v>0</v>
      </c>
      <c r="O168" t="n">
        <v>1</v>
      </c>
      <c r="P168" t="n">
        <v>0</v>
      </c>
      <c r="Q168" t="n">
        <v>2</v>
      </c>
      <c r="R168" s="2" t="inlineStr">
        <is>
          <t>Spillkråka
Grovticka</t>
        </is>
      </c>
      <c r="S168">
        <f>HYPERLINK("https://klasma.github.io/Logging_0883/artfynd/A 932-2024 artfynd.xlsx", "A 932-2024")</f>
        <v/>
      </c>
      <c r="T168">
        <f>HYPERLINK("https://klasma.github.io/Logging_0883/kartor/A 932-2024 karta.png", "A 932-2024")</f>
        <v/>
      </c>
      <c r="V168">
        <f>HYPERLINK("https://klasma.github.io/Logging_0883/klagomål/A 932-2024 FSC-klagomål.docx", "A 932-2024")</f>
        <v/>
      </c>
      <c r="W168">
        <f>HYPERLINK("https://klasma.github.io/Logging_0883/klagomålsmail/A 932-2024 FSC-klagomål mail.docx", "A 932-2024")</f>
        <v/>
      </c>
      <c r="X168">
        <f>HYPERLINK("https://klasma.github.io/Logging_0883/tillsyn/A 932-2024 tillsynsbegäran.docx", "A 932-2024")</f>
        <v/>
      </c>
      <c r="Y168">
        <f>HYPERLINK("https://klasma.github.io/Logging_0883/tillsynsmail/A 932-2024 tillsynsbegäran mail.docx", "A 932-2024")</f>
        <v/>
      </c>
      <c r="Z168">
        <f>HYPERLINK("https://klasma.github.io/Logging_0883/fåglar/A 932-2024 prioriterade fågelarter.docx", "A 932-2024")</f>
        <v/>
      </c>
    </row>
    <row r="169" ht="15" customHeight="1">
      <c r="A169" t="inlineStr">
        <is>
          <t>A 941-2024</t>
        </is>
      </c>
      <c r="B169" s="1" t="n">
        <v>45301</v>
      </c>
      <c r="C169" s="1" t="n">
        <v>45925</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911-2024</t>
        </is>
      </c>
      <c r="B170" s="1" t="n">
        <v>45301</v>
      </c>
      <c r="C170" s="1" t="n">
        <v>45925</v>
      </c>
      <c r="D170" t="inlineStr">
        <is>
          <t>KALMAR LÄN</t>
        </is>
      </c>
      <c r="E170" t="inlineStr">
        <is>
          <t>VÄSTERVIK</t>
        </is>
      </c>
      <c r="G170" t="n">
        <v>5.6</v>
      </c>
      <c r="H170" t="n">
        <v>1</v>
      </c>
      <c r="I170" t="n">
        <v>1</v>
      </c>
      <c r="J170" t="n">
        <v>1</v>
      </c>
      <c r="K170" t="n">
        <v>0</v>
      </c>
      <c r="L170" t="n">
        <v>0</v>
      </c>
      <c r="M170" t="n">
        <v>0</v>
      </c>
      <c r="N170" t="n">
        <v>0</v>
      </c>
      <c r="O170" t="n">
        <v>1</v>
      </c>
      <c r="P170" t="n">
        <v>0</v>
      </c>
      <c r="Q170" t="n">
        <v>2</v>
      </c>
      <c r="R170" s="2" t="inlineStr">
        <is>
          <t>Talltita
Blodticka</t>
        </is>
      </c>
      <c r="S170">
        <f>HYPERLINK("https://klasma.github.io/Logging_0883/artfynd/A 911-2024 artfynd.xlsx", "A 911-2024")</f>
        <v/>
      </c>
      <c r="T170">
        <f>HYPERLINK("https://klasma.github.io/Logging_0883/kartor/A 911-2024 karta.png", "A 911-2024")</f>
        <v/>
      </c>
      <c r="V170">
        <f>HYPERLINK("https://klasma.github.io/Logging_0883/klagomål/A 911-2024 FSC-klagomål.docx", "A 911-2024")</f>
        <v/>
      </c>
      <c r="W170">
        <f>HYPERLINK("https://klasma.github.io/Logging_0883/klagomålsmail/A 911-2024 FSC-klagomål mail.docx", "A 911-2024")</f>
        <v/>
      </c>
      <c r="X170">
        <f>HYPERLINK("https://klasma.github.io/Logging_0883/tillsyn/A 911-2024 tillsynsbegäran.docx", "A 911-2024")</f>
        <v/>
      </c>
      <c r="Y170">
        <f>HYPERLINK("https://klasma.github.io/Logging_0883/tillsynsmail/A 911-2024 tillsynsbegäran mail.docx", "A 911-2024")</f>
        <v/>
      </c>
      <c r="Z170">
        <f>HYPERLINK("https://klasma.github.io/Logging_0883/fåglar/A 911-2024 prioriterade fågelarter.docx", "A 911-2024")</f>
        <v/>
      </c>
    </row>
    <row r="171" ht="15" customHeight="1">
      <c r="A171" t="inlineStr">
        <is>
          <t>A 69632-2020</t>
        </is>
      </c>
      <c r="B171" s="1" t="n">
        <v>44195</v>
      </c>
      <c r="C171" s="1" t="n">
        <v>45925</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52831-2021</t>
        </is>
      </c>
      <c r="B172" s="1" t="n">
        <v>44467</v>
      </c>
      <c r="C172" s="1" t="n">
        <v>45925</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11195-2024</t>
        </is>
      </c>
      <c r="B173" s="1" t="n">
        <v>45371</v>
      </c>
      <c r="C173" s="1" t="n">
        <v>45925</v>
      </c>
      <c r="D173" t="inlineStr">
        <is>
          <t>KALMAR LÄN</t>
        </is>
      </c>
      <c r="E173" t="inlineStr">
        <is>
          <t>VÄSTERVIK</t>
        </is>
      </c>
      <c r="G173" t="n">
        <v>1.9</v>
      </c>
      <c r="H173" t="n">
        <v>1</v>
      </c>
      <c r="I173" t="n">
        <v>0</v>
      </c>
      <c r="J173" t="n">
        <v>0</v>
      </c>
      <c r="K173" t="n">
        <v>1</v>
      </c>
      <c r="L173" t="n">
        <v>0</v>
      </c>
      <c r="M173" t="n">
        <v>0</v>
      </c>
      <c r="N173" t="n">
        <v>0</v>
      </c>
      <c r="O173" t="n">
        <v>1</v>
      </c>
      <c r="P173" t="n">
        <v>1</v>
      </c>
      <c r="Q173" t="n">
        <v>1</v>
      </c>
      <c r="R173" s="2" t="inlineStr">
        <is>
          <t>Knärot</t>
        </is>
      </c>
      <c r="S173">
        <f>HYPERLINK("https://klasma.github.io/Logging_0883/artfynd/A 11195-2024 artfynd.xlsx", "A 11195-2024")</f>
        <v/>
      </c>
      <c r="T173">
        <f>HYPERLINK("https://klasma.github.io/Logging_0883/kartor/A 11195-2024 karta.png", "A 11195-2024")</f>
        <v/>
      </c>
      <c r="U173">
        <f>HYPERLINK("https://klasma.github.io/Logging_0883/knärot/A 11195-2024 karta knärot.png", "A 11195-2024")</f>
        <v/>
      </c>
      <c r="V173">
        <f>HYPERLINK("https://klasma.github.io/Logging_0883/klagomål/A 11195-2024 FSC-klagomål.docx", "A 11195-2024")</f>
        <v/>
      </c>
      <c r="W173">
        <f>HYPERLINK("https://klasma.github.io/Logging_0883/klagomålsmail/A 11195-2024 FSC-klagomål mail.docx", "A 11195-2024")</f>
        <v/>
      </c>
      <c r="X173">
        <f>HYPERLINK("https://klasma.github.io/Logging_0883/tillsyn/A 11195-2024 tillsynsbegäran.docx", "A 11195-2024")</f>
        <v/>
      </c>
      <c r="Y173">
        <f>HYPERLINK("https://klasma.github.io/Logging_0883/tillsynsmail/A 11195-2024 tillsynsbegäran mail.docx", "A 11195-2024")</f>
        <v/>
      </c>
    </row>
    <row r="174" ht="15" customHeight="1">
      <c r="A174" t="inlineStr">
        <is>
          <t>A 47112-2023</t>
        </is>
      </c>
      <c r="B174" s="1" t="n">
        <v>45201</v>
      </c>
      <c r="C174" s="1" t="n">
        <v>45925</v>
      </c>
      <c r="D174" t="inlineStr">
        <is>
          <t>KALMAR LÄN</t>
        </is>
      </c>
      <c r="E174" t="inlineStr">
        <is>
          <t>VÄSTERVIK</t>
        </is>
      </c>
      <c r="G174" t="n">
        <v>1</v>
      </c>
      <c r="H174" t="n">
        <v>0</v>
      </c>
      <c r="I174" t="n">
        <v>0</v>
      </c>
      <c r="J174" t="n">
        <v>1</v>
      </c>
      <c r="K174" t="n">
        <v>0</v>
      </c>
      <c r="L174" t="n">
        <v>0</v>
      </c>
      <c r="M174" t="n">
        <v>0</v>
      </c>
      <c r="N174" t="n">
        <v>0</v>
      </c>
      <c r="O174" t="n">
        <v>1</v>
      </c>
      <c r="P174" t="n">
        <v>0</v>
      </c>
      <c r="Q174" t="n">
        <v>1</v>
      </c>
      <c r="R174" s="2" t="inlineStr">
        <is>
          <t>Tallticka</t>
        </is>
      </c>
      <c r="S174">
        <f>HYPERLINK("https://klasma.github.io/Logging_0883/artfynd/A 47112-2023 artfynd.xlsx", "A 47112-2023")</f>
        <v/>
      </c>
      <c r="T174">
        <f>HYPERLINK("https://klasma.github.io/Logging_0883/kartor/A 47112-2023 karta.png", "A 47112-2023")</f>
        <v/>
      </c>
      <c r="V174">
        <f>HYPERLINK("https://klasma.github.io/Logging_0883/klagomål/A 47112-2023 FSC-klagomål.docx", "A 47112-2023")</f>
        <v/>
      </c>
      <c r="W174">
        <f>HYPERLINK("https://klasma.github.io/Logging_0883/klagomålsmail/A 47112-2023 FSC-klagomål mail.docx", "A 47112-2023")</f>
        <v/>
      </c>
      <c r="X174">
        <f>HYPERLINK("https://klasma.github.io/Logging_0883/tillsyn/A 47112-2023 tillsynsbegäran.docx", "A 47112-2023")</f>
        <v/>
      </c>
      <c r="Y174">
        <f>HYPERLINK("https://klasma.github.io/Logging_0883/tillsynsmail/A 47112-2023 tillsynsbegäran mail.docx", "A 47112-2023")</f>
        <v/>
      </c>
    </row>
    <row r="175" ht="15" customHeight="1">
      <c r="A175" t="inlineStr">
        <is>
          <t>A 31315-2021</t>
        </is>
      </c>
      <c r="B175" s="1" t="n">
        <v>44368</v>
      </c>
      <c r="C175" s="1" t="n">
        <v>45925</v>
      </c>
      <c r="D175" t="inlineStr">
        <is>
          <t>KALMAR LÄN</t>
        </is>
      </c>
      <c r="E175" t="inlineStr">
        <is>
          <t>VÄSTERVIK</t>
        </is>
      </c>
      <c r="G175" t="n">
        <v>3.3</v>
      </c>
      <c r="H175" t="n">
        <v>1</v>
      </c>
      <c r="I175" t="n">
        <v>0</v>
      </c>
      <c r="J175" t="n">
        <v>0</v>
      </c>
      <c r="K175" t="n">
        <v>1</v>
      </c>
      <c r="L175" t="n">
        <v>0</v>
      </c>
      <c r="M175" t="n">
        <v>0</v>
      </c>
      <c r="N175" t="n">
        <v>0</v>
      </c>
      <c r="O175" t="n">
        <v>1</v>
      </c>
      <c r="P175" t="n">
        <v>1</v>
      </c>
      <c r="Q175" t="n">
        <v>1</v>
      </c>
      <c r="R175" s="2" t="inlineStr">
        <is>
          <t>Knärot</t>
        </is>
      </c>
      <c r="S175">
        <f>HYPERLINK("https://klasma.github.io/Logging_0883/artfynd/A 31315-2021 artfynd.xlsx", "A 31315-2021")</f>
        <v/>
      </c>
      <c r="T175">
        <f>HYPERLINK("https://klasma.github.io/Logging_0883/kartor/A 31315-2021 karta.png", "A 31315-2021")</f>
        <v/>
      </c>
      <c r="U175">
        <f>HYPERLINK("https://klasma.github.io/Logging_0883/knärot/A 31315-2021 karta knärot.png", "A 31315-2021")</f>
        <v/>
      </c>
      <c r="V175">
        <f>HYPERLINK("https://klasma.github.io/Logging_0883/klagomål/A 31315-2021 FSC-klagomål.docx", "A 31315-2021")</f>
        <v/>
      </c>
      <c r="W175">
        <f>HYPERLINK("https://klasma.github.io/Logging_0883/klagomålsmail/A 31315-2021 FSC-klagomål mail.docx", "A 31315-2021")</f>
        <v/>
      </c>
      <c r="X175">
        <f>HYPERLINK("https://klasma.github.io/Logging_0883/tillsyn/A 31315-2021 tillsynsbegäran.docx", "A 31315-2021")</f>
        <v/>
      </c>
      <c r="Y175">
        <f>HYPERLINK("https://klasma.github.io/Logging_0883/tillsynsmail/A 31315-2021 tillsynsbegäran mail.docx", "A 31315-2021")</f>
        <v/>
      </c>
    </row>
    <row r="176" ht="15" customHeight="1">
      <c r="A176" t="inlineStr">
        <is>
          <t>A 46556-2022</t>
        </is>
      </c>
      <c r="B176" s="1" t="n">
        <v>44848</v>
      </c>
      <c r="C176" s="1" t="n">
        <v>45925</v>
      </c>
      <c r="D176" t="inlineStr">
        <is>
          <t>KALMAR LÄN</t>
        </is>
      </c>
      <c r="E176" t="inlineStr">
        <is>
          <t>VÄSTERVIK</t>
        </is>
      </c>
      <c r="F176" t="inlineStr">
        <is>
          <t>Sveaskog</t>
        </is>
      </c>
      <c r="G176" t="n">
        <v>1.5</v>
      </c>
      <c r="H176" t="n">
        <v>0</v>
      </c>
      <c r="I176" t="n">
        <v>1</v>
      </c>
      <c r="J176" t="n">
        <v>0</v>
      </c>
      <c r="K176" t="n">
        <v>0</v>
      </c>
      <c r="L176" t="n">
        <v>0</v>
      </c>
      <c r="M176" t="n">
        <v>0</v>
      </c>
      <c r="N176" t="n">
        <v>0</v>
      </c>
      <c r="O176" t="n">
        <v>0</v>
      </c>
      <c r="P176" t="n">
        <v>0</v>
      </c>
      <c r="Q176" t="n">
        <v>1</v>
      </c>
      <c r="R176" s="2" t="inlineStr">
        <is>
          <t>Fjällig taggsvamp s.str.</t>
        </is>
      </c>
      <c r="S176">
        <f>HYPERLINK("https://klasma.github.io/Logging_0883/artfynd/A 46556-2022 artfynd.xlsx", "A 46556-2022")</f>
        <v/>
      </c>
      <c r="T176">
        <f>HYPERLINK("https://klasma.github.io/Logging_0883/kartor/A 46556-2022 karta.png", "A 46556-2022")</f>
        <v/>
      </c>
      <c r="V176">
        <f>HYPERLINK("https://klasma.github.io/Logging_0883/klagomål/A 46556-2022 FSC-klagomål.docx", "A 46556-2022")</f>
        <v/>
      </c>
      <c r="W176">
        <f>HYPERLINK("https://klasma.github.io/Logging_0883/klagomålsmail/A 46556-2022 FSC-klagomål mail.docx", "A 46556-2022")</f>
        <v/>
      </c>
      <c r="X176">
        <f>HYPERLINK("https://klasma.github.io/Logging_0883/tillsyn/A 46556-2022 tillsynsbegäran.docx", "A 46556-2022")</f>
        <v/>
      </c>
      <c r="Y176">
        <f>HYPERLINK("https://klasma.github.io/Logging_0883/tillsynsmail/A 46556-2022 tillsynsbegäran mail.docx", "A 46556-2022")</f>
        <v/>
      </c>
    </row>
    <row r="177" ht="15" customHeight="1">
      <c r="A177" t="inlineStr">
        <is>
          <t>A 26056-2022</t>
        </is>
      </c>
      <c r="B177" s="1" t="n">
        <v>44734</v>
      </c>
      <c r="C177" s="1" t="n">
        <v>45925</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51024-2022</t>
        </is>
      </c>
      <c r="B178" s="1" t="n">
        <v>44867</v>
      </c>
      <c r="C178" s="1" t="n">
        <v>45925</v>
      </c>
      <c r="D178" t="inlineStr">
        <is>
          <t>KALMAR LÄN</t>
        </is>
      </c>
      <c r="E178" t="inlineStr">
        <is>
          <t>VÄSTERVIK</t>
        </is>
      </c>
      <c r="F178" t="inlineStr">
        <is>
          <t>Holmen skog AB</t>
        </is>
      </c>
      <c r="G178" t="n">
        <v>7.6</v>
      </c>
      <c r="H178" t="n">
        <v>1</v>
      </c>
      <c r="I178" t="n">
        <v>0</v>
      </c>
      <c r="J178" t="n">
        <v>1</v>
      </c>
      <c r="K178" t="n">
        <v>0</v>
      </c>
      <c r="L178" t="n">
        <v>0</v>
      </c>
      <c r="M178" t="n">
        <v>0</v>
      </c>
      <c r="N178" t="n">
        <v>0</v>
      </c>
      <c r="O178" t="n">
        <v>1</v>
      </c>
      <c r="P178" t="n">
        <v>0</v>
      </c>
      <c r="Q178" t="n">
        <v>1</v>
      </c>
      <c r="R178" s="2" t="inlineStr">
        <is>
          <t>Talltita</t>
        </is>
      </c>
      <c r="S178">
        <f>HYPERLINK("https://klasma.github.io/Logging_0883/artfynd/A 51024-2022 artfynd.xlsx", "A 51024-2022")</f>
        <v/>
      </c>
      <c r="T178">
        <f>HYPERLINK("https://klasma.github.io/Logging_0883/kartor/A 51024-2022 karta.png", "A 51024-2022")</f>
        <v/>
      </c>
      <c r="V178">
        <f>HYPERLINK("https://klasma.github.io/Logging_0883/klagomål/A 51024-2022 FSC-klagomål.docx", "A 51024-2022")</f>
        <v/>
      </c>
      <c r="W178">
        <f>HYPERLINK("https://klasma.github.io/Logging_0883/klagomålsmail/A 51024-2022 FSC-klagomål mail.docx", "A 51024-2022")</f>
        <v/>
      </c>
      <c r="X178">
        <f>HYPERLINK("https://klasma.github.io/Logging_0883/tillsyn/A 51024-2022 tillsynsbegäran.docx", "A 51024-2022")</f>
        <v/>
      </c>
      <c r="Y178">
        <f>HYPERLINK("https://klasma.github.io/Logging_0883/tillsynsmail/A 51024-2022 tillsynsbegäran mail.docx", "A 51024-2022")</f>
        <v/>
      </c>
      <c r="Z178">
        <f>HYPERLINK("https://klasma.github.io/Logging_0883/fåglar/A 51024-2022 prioriterade fågelarter.docx", "A 51024-2022")</f>
        <v/>
      </c>
    </row>
    <row r="179" ht="15" customHeight="1">
      <c r="A179" t="inlineStr">
        <is>
          <t>A 61806-2023</t>
        </is>
      </c>
      <c r="B179" s="1" t="n">
        <v>45266.27928240741</v>
      </c>
      <c r="C179" s="1" t="n">
        <v>45925</v>
      </c>
      <c r="D179" t="inlineStr">
        <is>
          <t>KALMAR LÄN</t>
        </is>
      </c>
      <c r="E179" t="inlineStr">
        <is>
          <t>VÄSTERVIK</t>
        </is>
      </c>
      <c r="G179" t="n">
        <v>1.1</v>
      </c>
      <c r="H179" t="n">
        <v>0</v>
      </c>
      <c r="I179" t="n">
        <v>0</v>
      </c>
      <c r="J179" t="n">
        <v>1</v>
      </c>
      <c r="K179" t="n">
        <v>0</v>
      </c>
      <c r="L179" t="n">
        <v>0</v>
      </c>
      <c r="M179" t="n">
        <v>0</v>
      </c>
      <c r="N179" t="n">
        <v>0</v>
      </c>
      <c r="O179" t="n">
        <v>1</v>
      </c>
      <c r="P179" t="n">
        <v>0</v>
      </c>
      <c r="Q179" t="n">
        <v>1</v>
      </c>
      <c r="R179" s="2" t="inlineStr">
        <is>
          <t>Veckticka</t>
        </is>
      </c>
      <c r="S179">
        <f>HYPERLINK("https://klasma.github.io/Logging_0883/artfynd/A 61806-2023 artfynd.xlsx", "A 61806-2023")</f>
        <v/>
      </c>
      <c r="T179">
        <f>HYPERLINK("https://klasma.github.io/Logging_0883/kartor/A 61806-2023 karta.png", "A 61806-2023")</f>
        <v/>
      </c>
      <c r="V179">
        <f>HYPERLINK("https://klasma.github.io/Logging_0883/klagomål/A 61806-2023 FSC-klagomål.docx", "A 61806-2023")</f>
        <v/>
      </c>
      <c r="W179">
        <f>HYPERLINK("https://klasma.github.io/Logging_0883/klagomålsmail/A 61806-2023 FSC-klagomål mail.docx", "A 61806-2023")</f>
        <v/>
      </c>
      <c r="X179">
        <f>HYPERLINK("https://klasma.github.io/Logging_0883/tillsyn/A 61806-2023 tillsynsbegäran.docx", "A 61806-2023")</f>
        <v/>
      </c>
      <c r="Y179">
        <f>HYPERLINK("https://klasma.github.io/Logging_0883/tillsynsmail/A 61806-2023 tillsynsbegäran mail.docx", "A 61806-2023")</f>
        <v/>
      </c>
    </row>
    <row r="180" ht="15" customHeight="1">
      <c r="A180" t="inlineStr">
        <is>
          <t>A 9261-2025</t>
        </is>
      </c>
      <c r="B180" s="1" t="n">
        <v>45714.60472222222</v>
      </c>
      <c r="C180" s="1" t="n">
        <v>45925</v>
      </c>
      <c r="D180" t="inlineStr">
        <is>
          <t>KALMAR LÄN</t>
        </is>
      </c>
      <c r="E180" t="inlineStr">
        <is>
          <t>VÄSTERVIK</t>
        </is>
      </c>
      <c r="F180" t="inlineStr">
        <is>
          <t>Sveaskog</t>
        </is>
      </c>
      <c r="G180" t="n">
        <v>4.9</v>
      </c>
      <c r="H180" t="n">
        <v>1</v>
      </c>
      <c r="I180" t="n">
        <v>0</v>
      </c>
      <c r="J180" t="n">
        <v>1</v>
      </c>
      <c r="K180" t="n">
        <v>0</v>
      </c>
      <c r="L180" t="n">
        <v>0</v>
      </c>
      <c r="M180" t="n">
        <v>0</v>
      </c>
      <c r="N180" t="n">
        <v>0</v>
      </c>
      <c r="O180" t="n">
        <v>1</v>
      </c>
      <c r="P180" t="n">
        <v>0</v>
      </c>
      <c r="Q180" t="n">
        <v>1</v>
      </c>
      <c r="R180" s="2" t="inlineStr">
        <is>
          <t>Havsörn</t>
        </is>
      </c>
      <c r="S180">
        <f>HYPERLINK("https://klasma.github.io/Logging_0883/artfynd/A 9261-2025 artfynd.xlsx", "A 9261-2025")</f>
        <v/>
      </c>
      <c r="T180">
        <f>HYPERLINK("https://klasma.github.io/Logging_0883/kartor/A 9261-2025 karta.png", "A 9261-2025")</f>
        <v/>
      </c>
      <c r="V180">
        <f>HYPERLINK("https://klasma.github.io/Logging_0883/klagomål/A 9261-2025 FSC-klagomål.docx", "A 9261-2025")</f>
        <v/>
      </c>
      <c r="W180">
        <f>HYPERLINK("https://klasma.github.io/Logging_0883/klagomålsmail/A 9261-2025 FSC-klagomål mail.docx", "A 9261-2025")</f>
        <v/>
      </c>
      <c r="X180">
        <f>HYPERLINK("https://klasma.github.io/Logging_0883/tillsyn/A 9261-2025 tillsynsbegäran.docx", "A 9261-2025")</f>
        <v/>
      </c>
      <c r="Y180">
        <f>HYPERLINK("https://klasma.github.io/Logging_0883/tillsynsmail/A 9261-2025 tillsynsbegäran mail.docx", "A 9261-2025")</f>
        <v/>
      </c>
      <c r="Z180">
        <f>HYPERLINK("https://klasma.github.io/Logging_0883/fåglar/A 9261-2025 prioriterade fågelarter.docx", "A 9261-2025")</f>
        <v/>
      </c>
    </row>
    <row r="181" ht="15" customHeight="1">
      <c r="A181" t="inlineStr">
        <is>
          <t>A 55616-2024</t>
        </is>
      </c>
      <c r="B181" s="1" t="n">
        <v>45622.5916087963</v>
      </c>
      <c r="C181" s="1" t="n">
        <v>45925</v>
      </c>
      <c r="D181" t="inlineStr">
        <is>
          <t>KALMAR LÄN</t>
        </is>
      </c>
      <c r="E181" t="inlineStr">
        <is>
          <t>VÄSTERVIK</t>
        </is>
      </c>
      <c r="G181" t="n">
        <v>0.5</v>
      </c>
      <c r="H181" t="n">
        <v>1</v>
      </c>
      <c r="I181" t="n">
        <v>0</v>
      </c>
      <c r="J181" t="n">
        <v>1</v>
      </c>
      <c r="K181" t="n">
        <v>0</v>
      </c>
      <c r="L181" t="n">
        <v>0</v>
      </c>
      <c r="M181" t="n">
        <v>0</v>
      </c>
      <c r="N181" t="n">
        <v>0</v>
      </c>
      <c r="O181" t="n">
        <v>1</v>
      </c>
      <c r="P181" t="n">
        <v>0</v>
      </c>
      <c r="Q181" t="n">
        <v>1</v>
      </c>
      <c r="R181" s="2" t="inlineStr">
        <is>
          <t>Entita</t>
        </is>
      </c>
      <c r="S181">
        <f>HYPERLINK("https://klasma.github.io/Logging_0883/artfynd/A 55616-2024 artfynd.xlsx", "A 55616-2024")</f>
        <v/>
      </c>
      <c r="T181">
        <f>HYPERLINK("https://klasma.github.io/Logging_0883/kartor/A 55616-2024 karta.png", "A 55616-2024")</f>
        <v/>
      </c>
      <c r="V181">
        <f>HYPERLINK("https://klasma.github.io/Logging_0883/klagomål/A 55616-2024 FSC-klagomål.docx", "A 55616-2024")</f>
        <v/>
      </c>
      <c r="W181">
        <f>HYPERLINK("https://klasma.github.io/Logging_0883/klagomålsmail/A 55616-2024 FSC-klagomål mail.docx", "A 55616-2024")</f>
        <v/>
      </c>
      <c r="X181">
        <f>HYPERLINK("https://klasma.github.io/Logging_0883/tillsyn/A 55616-2024 tillsynsbegäran.docx", "A 55616-2024")</f>
        <v/>
      </c>
      <c r="Y181">
        <f>HYPERLINK("https://klasma.github.io/Logging_0883/tillsynsmail/A 55616-2024 tillsynsbegäran mail.docx", "A 55616-2024")</f>
        <v/>
      </c>
      <c r="Z181">
        <f>HYPERLINK("https://klasma.github.io/Logging_0883/fåglar/A 55616-2024 prioriterade fågelarter.docx", "A 55616-2024")</f>
        <v/>
      </c>
    </row>
    <row r="182" ht="15" customHeight="1">
      <c r="A182" t="inlineStr">
        <is>
          <t>A 66752-2020</t>
        </is>
      </c>
      <c r="B182" s="1" t="n">
        <v>44175</v>
      </c>
      <c r="C182" s="1" t="n">
        <v>45925</v>
      </c>
      <c r="D182" t="inlineStr">
        <is>
          <t>KALMAR LÄN</t>
        </is>
      </c>
      <c r="E182" t="inlineStr">
        <is>
          <t>VÄSTERVIK</t>
        </is>
      </c>
      <c r="G182" t="n">
        <v>0.7</v>
      </c>
      <c r="H182" t="n">
        <v>0</v>
      </c>
      <c r="I182" t="n">
        <v>0</v>
      </c>
      <c r="J182" t="n">
        <v>1</v>
      </c>
      <c r="K182" t="n">
        <v>0</v>
      </c>
      <c r="L182" t="n">
        <v>0</v>
      </c>
      <c r="M182" t="n">
        <v>0</v>
      </c>
      <c r="N182" t="n">
        <v>0</v>
      </c>
      <c r="O182" t="n">
        <v>1</v>
      </c>
      <c r="P182" t="n">
        <v>0</v>
      </c>
      <c r="Q182" t="n">
        <v>1</v>
      </c>
      <c r="R182" s="2" t="inlineStr">
        <is>
          <t>Tallticka</t>
        </is>
      </c>
      <c r="S182">
        <f>HYPERLINK("https://klasma.github.io/Logging_0883/artfynd/A 66752-2020 artfynd.xlsx", "A 66752-2020")</f>
        <v/>
      </c>
      <c r="T182">
        <f>HYPERLINK("https://klasma.github.io/Logging_0883/kartor/A 66752-2020 karta.png", "A 66752-2020")</f>
        <v/>
      </c>
      <c r="V182">
        <f>HYPERLINK("https://klasma.github.io/Logging_0883/klagomål/A 66752-2020 FSC-klagomål.docx", "A 66752-2020")</f>
        <v/>
      </c>
      <c r="W182">
        <f>HYPERLINK("https://klasma.github.io/Logging_0883/klagomålsmail/A 66752-2020 FSC-klagomål mail.docx", "A 66752-2020")</f>
        <v/>
      </c>
      <c r="X182">
        <f>HYPERLINK("https://klasma.github.io/Logging_0883/tillsyn/A 66752-2020 tillsynsbegäran.docx", "A 66752-2020")</f>
        <v/>
      </c>
      <c r="Y182">
        <f>HYPERLINK("https://klasma.github.io/Logging_0883/tillsynsmail/A 66752-2020 tillsynsbegäran mail.docx", "A 66752-2020")</f>
        <v/>
      </c>
    </row>
    <row r="183" ht="15" customHeight="1">
      <c r="A183" t="inlineStr">
        <is>
          <t>A 25436-2023</t>
        </is>
      </c>
      <c r="B183" s="1" t="n">
        <v>45089</v>
      </c>
      <c r="C183" s="1" t="n">
        <v>45925</v>
      </c>
      <c r="D183" t="inlineStr">
        <is>
          <t>KALMAR LÄN</t>
        </is>
      </c>
      <c r="E183" t="inlineStr">
        <is>
          <t>VÄSTERVIK</t>
        </is>
      </c>
      <c r="G183" t="n">
        <v>1.6</v>
      </c>
      <c r="H183" t="n">
        <v>1</v>
      </c>
      <c r="I183" t="n">
        <v>0</v>
      </c>
      <c r="J183" t="n">
        <v>0</v>
      </c>
      <c r="K183" t="n">
        <v>1</v>
      </c>
      <c r="L183" t="n">
        <v>0</v>
      </c>
      <c r="M183" t="n">
        <v>0</v>
      </c>
      <c r="N183" t="n">
        <v>0</v>
      </c>
      <c r="O183" t="n">
        <v>1</v>
      </c>
      <c r="P183" t="n">
        <v>1</v>
      </c>
      <c r="Q183" t="n">
        <v>1</v>
      </c>
      <c r="R183" s="2" t="inlineStr">
        <is>
          <t>Knärot</t>
        </is>
      </c>
      <c r="S183">
        <f>HYPERLINK("https://klasma.github.io/Logging_0883/artfynd/A 25436-2023 artfynd.xlsx", "A 25436-2023")</f>
        <v/>
      </c>
      <c r="T183">
        <f>HYPERLINK("https://klasma.github.io/Logging_0883/kartor/A 25436-2023 karta.png", "A 25436-2023")</f>
        <v/>
      </c>
      <c r="U183">
        <f>HYPERLINK("https://klasma.github.io/Logging_0883/knärot/A 25436-2023 karta knärot.png", "A 25436-2023")</f>
        <v/>
      </c>
      <c r="V183">
        <f>HYPERLINK("https://klasma.github.io/Logging_0883/klagomål/A 25436-2023 FSC-klagomål.docx", "A 25436-2023")</f>
        <v/>
      </c>
      <c r="W183">
        <f>HYPERLINK("https://klasma.github.io/Logging_0883/klagomålsmail/A 25436-2023 FSC-klagomål mail.docx", "A 25436-2023")</f>
        <v/>
      </c>
      <c r="X183">
        <f>HYPERLINK("https://klasma.github.io/Logging_0883/tillsyn/A 25436-2023 tillsynsbegäran.docx", "A 25436-2023")</f>
        <v/>
      </c>
      <c r="Y183">
        <f>HYPERLINK("https://klasma.github.io/Logging_0883/tillsynsmail/A 25436-2023 tillsynsbegäran mail.docx", "A 25436-2023")</f>
        <v/>
      </c>
    </row>
    <row r="184" ht="15" customHeight="1">
      <c r="A184" t="inlineStr">
        <is>
          <t>A 11609-2022</t>
        </is>
      </c>
      <c r="B184" s="1" t="n">
        <v>44631</v>
      </c>
      <c r="C184" s="1" t="n">
        <v>45925</v>
      </c>
      <c r="D184" t="inlineStr">
        <is>
          <t>KALMAR LÄN</t>
        </is>
      </c>
      <c r="E184" t="inlineStr">
        <is>
          <t>VÄSTERVIK</t>
        </is>
      </c>
      <c r="F184" t="inlineStr">
        <is>
          <t>Holmen skog AB</t>
        </is>
      </c>
      <c r="G184" t="n">
        <v>3.2</v>
      </c>
      <c r="H184" t="n">
        <v>0</v>
      </c>
      <c r="I184" t="n">
        <v>0</v>
      </c>
      <c r="J184" t="n">
        <v>1</v>
      </c>
      <c r="K184" t="n">
        <v>0</v>
      </c>
      <c r="L184" t="n">
        <v>0</v>
      </c>
      <c r="M184" t="n">
        <v>0</v>
      </c>
      <c r="N184" t="n">
        <v>0</v>
      </c>
      <c r="O184" t="n">
        <v>1</v>
      </c>
      <c r="P184" t="n">
        <v>0</v>
      </c>
      <c r="Q184" t="n">
        <v>1</v>
      </c>
      <c r="R184" s="2" t="inlineStr">
        <is>
          <t>Tallticka</t>
        </is>
      </c>
      <c r="S184">
        <f>HYPERLINK("https://klasma.github.io/Logging_0883/artfynd/A 11609-2022 artfynd.xlsx", "A 11609-2022")</f>
        <v/>
      </c>
      <c r="T184">
        <f>HYPERLINK("https://klasma.github.io/Logging_0883/kartor/A 11609-2022 karta.png", "A 11609-2022")</f>
        <v/>
      </c>
      <c r="U184">
        <f>HYPERLINK("https://klasma.github.io/Logging_0883/knärot/A 11609-2022 karta knärot.png", "A 11609-2022")</f>
        <v/>
      </c>
      <c r="V184">
        <f>HYPERLINK("https://klasma.github.io/Logging_0883/klagomål/A 11609-2022 FSC-klagomål.docx", "A 11609-2022")</f>
        <v/>
      </c>
      <c r="W184">
        <f>HYPERLINK("https://klasma.github.io/Logging_0883/klagomålsmail/A 11609-2022 FSC-klagomål mail.docx", "A 11609-2022")</f>
        <v/>
      </c>
      <c r="X184">
        <f>HYPERLINK("https://klasma.github.io/Logging_0883/tillsyn/A 11609-2022 tillsynsbegäran.docx", "A 11609-2022")</f>
        <v/>
      </c>
      <c r="Y184">
        <f>HYPERLINK("https://klasma.github.io/Logging_0883/tillsynsmail/A 11609-2022 tillsynsbegäran mail.docx", "A 11609-2022")</f>
        <v/>
      </c>
    </row>
    <row r="185" ht="15" customHeight="1">
      <c r="A185" t="inlineStr">
        <is>
          <t>A 29455-2021</t>
        </is>
      </c>
      <c r="B185" s="1" t="n">
        <v>44361</v>
      </c>
      <c r="C185" s="1" t="n">
        <v>45925</v>
      </c>
      <c r="D185" t="inlineStr">
        <is>
          <t>KALMAR LÄN</t>
        </is>
      </c>
      <c r="E185" t="inlineStr">
        <is>
          <t>VÄSTERVIK</t>
        </is>
      </c>
      <c r="F185" t="inlineStr">
        <is>
          <t>Övriga Aktiebolag</t>
        </is>
      </c>
      <c r="G185" t="n">
        <v>3.1</v>
      </c>
      <c r="H185" t="n">
        <v>1</v>
      </c>
      <c r="I185" t="n">
        <v>0</v>
      </c>
      <c r="J185" t="n">
        <v>0</v>
      </c>
      <c r="K185" t="n">
        <v>1</v>
      </c>
      <c r="L185" t="n">
        <v>0</v>
      </c>
      <c r="M185" t="n">
        <v>0</v>
      </c>
      <c r="N185" t="n">
        <v>0</v>
      </c>
      <c r="O185" t="n">
        <v>1</v>
      </c>
      <c r="P185" t="n">
        <v>1</v>
      </c>
      <c r="Q185" t="n">
        <v>1</v>
      </c>
      <c r="R185" s="2" t="inlineStr">
        <is>
          <t>Knärot</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row>
    <row r="186" ht="15" customHeight="1">
      <c r="A186" t="inlineStr">
        <is>
          <t>A 42900-2025</t>
        </is>
      </c>
      <c r="B186" s="1" t="n">
        <v>45908.67556712963</v>
      </c>
      <c r="C186" s="1" t="n">
        <v>45925</v>
      </c>
      <c r="D186" t="inlineStr">
        <is>
          <t>KALMAR LÄN</t>
        </is>
      </c>
      <c r="E186" t="inlineStr">
        <is>
          <t>VÄSTERVIK</t>
        </is>
      </c>
      <c r="F186" t="inlineStr">
        <is>
          <t>Holmen skog AB</t>
        </is>
      </c>
      <c r="G186" t="n">
        <v>2.6</v>
      </c>
      <c r="H186" t="n">
        <v>1</v>
      </c>
      <c r="I186" t="n">
        <v>0</v>
      </c>
      <c r="J186" t="n">
        <v>1</v>
      </c>
      <c r="K186" t="n">
        <v>0</v>
      </c>
      <c r="L186" t="n">
        <v>0</v>
      </c>
      <c r="M186" t="n">
        <v>0</v>
      </c>
      <c r="N186" t="n">
        <v>0</v>
      </c>
      <c r="O186" t="n">
        <v>1</v>
      </c>
      <c r="P186" t="n">
        <v>0</v>
      </c>
      <c r="Q186" t="n">
        <v>1</v>
      </c>
      <c r="R186" s="2" t="inlineStr">
        <is>
          <t>Spillkråka</t>
        </is>
      </c>
      <c r="S186">
        <f>HYPERLINK("https://klasma.github.io/Logging_0883/artfynd/A 42900-2025 artfynd.xlsx", "A 42900-2025")</f>
        <v/>
      </c>
      <c r="T186">
        <f>HYPERLINK("https://klasma.github.io/Logging_0883/kartor/A 42900-2025 karta.png", "A 42900-2025")</f>
        <v/>
      </c>
      <c r="V186">
        <f>HYPERLINK("https://klasma.github.io/Logging_0883/klagomål/A 42900-2025 FSC-klagomål.docx", "A 42900-2025")</f>
        <v/>
      </c>
      <c r="W186">
        <f>HYPERLINK("https://klasma.github.io/Logging_0883/klagomålsmail/A 42900-2025 FSC-klagomål mail.docx", "A 42900-2025")</f>
        <v/>
      </c>
      <c r="X186">
        <f>HYPERLINK("https://klasma.github.io/Logging_0883/tillsyn/A 42900-2025 tillsynsbegäran.docx", "A 42900-2025")</f>
        <v/>
      </c>
      <c r="Y186">
        <f>HYPERLINK("https://klasma.github.io/Logging_0883/tillsynsmail/A 42900-2025 tillsynsbegäran mail.docx", "A 42900-2025")</f>
        <v/>
      </c>
      <c r="Z186">
        <f>HYPERLINK("https://klasma.github.io/Logging_0883/fåglar/A 42900-2025 prioriterade fågelarter.docx", "A 42900-2025")</f>
        <v/>
      </c>
    </row>
    <row r="187" ht="15" customHeight="1">
      <c r="A187" t="inlineStr">
        <is>
          <t>A 19900-2022</t>
        </is>
      </c>
      <c r="B187" s="1" t="n">
        <v>44697</v>
      </c>
      <c r="C187" s="1" t="n">
        <v>45925</v>
      </c>
      <c r="D187" t="inlineStr">
        <is>
          <t>KALMAR LÄN</t>
        </is>
      </c>
      <c r="E187" t="inlineStr">
        <is>
          <t>VÄSTERVIK</t>
        </is>
      </c>
      <c r="G187" t="n">
        <v>2.4</v>
      </c>
      <c r="H187" t="n">
        <v>1</v>
      </c>
      <c r="I187" t="n">
        <v>0</v>
      </c>
      <c r="J187" t="n">
        <v>0</v>
      </c>
      <c r="K187" t="n">
        <v>1</v>
      </c>
      <c r="L187" t="n">
        <v>0</v>
      </c>
      <c r="M187" t="n">
        <v>0</v>
      </c>
      <c r="N187" t="n">
        <v>0</v>
      </c>
      <c r="O187" t="n">
        <v>1</v>
      </c>
      <c r="P187" t="n">
        <v>1</v>
      </c>
      <c r="Q187" t="n">
        <v>1</v>
      </c>
      <c r="R187" s="2" t="inlineStr">
        <is>
          <t>Knärot</t>
        </is>
      </c>
      <c r="S187">
        <f>HYPERLINK("https://klasma.github.io/Logging_0883/artfynd/A 19900-2022 artfynd.xlsx", "A 19900-2022")</f>
        <v/>
      </c>
      <c r="T187">
        <f>HYPERLINK("https://klasma.github.io/Logging_0883/kartor/A 19900-2022 karta.png", "A 19900-2022")</f>
        <v/>
      </c>
      <c r="U187">
        <f>HYPERLINK("https://klasma.github.io/Logging_0883/knärot/A 19900-2022 karta knärot.png", "A 19900-2022")</f>
        <v/>
      </c>
      <c r="V187">
        <f>HYPERLINK("https://klasma.github.io/Logging_0883/klagomål/A 19900-2022 FSC-klagomål.docx", "A 19900-2022")</f>
        <v/>
      </c>
      <c r="W187">
        <f>HYPERLINK("https://klasma.github.io/Logging_0883/klagomålsmail/A 19900-2022 FSC-klagomål mail.docx", "A 19900-2022")</f>
        <v/>
      </c>
      <c r="X187">
        <f>HYPERLINK("https://klasma.github.io/Logging_0883/tillsyn/A 19900-2022 tillsynsbegäran.docx", "A 19900-2022")</f>
        <v/>
      </c>
      <c r="Y187">
        <f>HYPERLINK("https://klasma.github.io/Logging_0883/tillsynsmail/A 19900-2022 tillsynsbegäran mail.docx", "A 19900-2022")</f>
        <v/>
      </c>
    </row>
    <row r="188" ht="15" customHeight="1">
      <c r="A188" t="inlineStr">
        <is>
          <t>A 27708-2024</t>
        </is>
      </c>
      <c r="B188" s="1" t="n">
        <v>45475</v>
      </c>
      <c r="C188" s="1" t="n">
        <v>45925</v>
      </c>
      <c r="D188" t="inlineStr">
        <is>
          <t>KALMAR LÄN</t>
        </is>
      </c>
      <c r="E188" t="inlineStr">
        <is>
          <t>VÄSTERVIK</t>
        </is>
      </c>
      <c r="F188" t="inlineStr">
        <is>
          <t>Holmen skog AB</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HYPERLINK("https://klasma.github.io/Logging_0883/artfynd/A 27708-2024 artfynd.xlsx", "A 27708-2024")</f>
        <v/>
      </c>
      <c r="T188">
        <f>HYPERLINK("https://klasma.github.io/Logging_0883/kartor/A 27708-2024 karta.png", "A 27708-2024")</f>
        <v/>
      </c>
      <c r="V188">
        <f>HYPERLINK("https://klasma.github.io/Logging_0883/klagomål/A 27708-2024 FSC-klagomål.docx", "A 27708-2024")</f>
        <v/>
      </c>
      <c r="W188">
        <f>HYPERLINK("https://klasma.github.io/Logging_0883/klagomålsmail/A 27708-2024 FSC-klagomål mail.docx", "A 27708-2024")</f>
        <v/>
      </c>
      <c r="X188">
        <f>HYPERLINK("https://klasma.github.io/Logging_0883/tillsyn/A 27708-2024 tillsynsbegäran.docx", "A 27708-2024")</f>
        <v/>
      </c>
      <c r="Y188">
        <f>HYPERLINK("https://klasma.github.io/Logging_0883/tillsynsmail/A 27708-2024 tillsynsbegäran mail.docx", "A 27708-2024")</f>
        <v/>
      </c>
      <c r="Z188">
        <f>HYPERLINK("https://klasma.github.io/Logging_0883/fåglar/A 27708-2024 prioriterade fågelarter.docx", "A 27708-2024")</f>
        <v/>
      </c>
    </row>
    <row r="189" ht="15" customHeight="1">
      <c r="A189" t="inlineStr">
        <is>
          <t>A 46559-2022</t>
        </is>
      </c>
      <c r="B189" s="1" t="n">
        <v>44848</v>
      </c>
      <c r="C189" s="1" t="n">
        <v>45925</v>
      </c>
      <c r="D189" t="inlineStr">
        <is>
          <t>KALMAR LÄN</t>
        </is>
      </c>
      <c r="E189" t="inlineStr">
        <is>
          <t>VÄSTERVIK</t>
        </is>
      </c>
      <c r="F189" t="inlineStr">
        <is>
          <t>Sveaskog</t>
        </is>
      </c>
      <c r="G189" t="n">
        <v>2.2</v>
      </c>
      <c r="H189" t="n">
        <v>1</v>
      </c>
      <c r="I189" t="n">
        <v>0</v>
      </c>
      <c r="J189" t="n">
        <v>0</v>
      </c>
      <c r="K189" t="n">
        <v>0</v>
      </c>
      <c r="L189" t="n">
        <v>0</v>
      </c>
      <c r="M189" t="n">
        <v>0</v>
      </c>
      <c r="N189" t="n">
        <v>0</v>
      </c>
      <c r="O189" t="n">
        <v>0</v>
      </c>
      <c r="P189" t="n">
        <v>0</v>
      </c>
      <c r="Q189" t="n">
        <v>1</v>
      </c>
      <c r="R189" s="2" t="inlineStr">
        <is>
          <t>Blåsippa</t>
        </is>
      </c>
      <c r="S189">
        <f>HYPERLINK("https://klasma.github.io/Logging_0883/artfynd/A 46559-2022 artfynd.xlsx", "A 46559-2022")</f>
        <v/>
      </c>
      <c r="T189">
        <f>HYPERLINK("https://klasma.github.io/Logging_0883/kartor/A 46559-2022 karta.png", "A 46559-2022")</f>
        <v/>
      </c>
      <c r="V189">
        <f>HYPERLINK("https://klasma.github.io/Logging_0883/klagomål/A 46559-2022 FSC-klagomål.docx", "A 46559-2022")</f>
        <v/>
      </c>
      <c r="W189">
        <f>HYPERLINK("https://klasma.github.io/Logging_0883/klagomålsmail/A 46559-2022 FSC-klagomål mail.docx", "A 46559-2022")</f>
        <v/>
      </c>
      <c r="X189">
        <f>HYPERLINK("https://klasma.github.io/Logging_0883/tillsyn/A 46559-2022 tillsynsbegäran.docx", "A 46559-2022")</f>
        <v/>
      </c>
      <c r="Y189">
        <f>HYPERLINK("https://klasma.github.io/Logging_0883/tillsynsmail/A 46559-2022 tillsynsbegäran mail.docx", "A 46559-2022")</f>
        <v/>
      </c>
    </row>
    <row r="190" ht="15" customHeight="1">
      <c r="A190" t="inlineStr">
        <is>
          <t>A 1024-2023</t>
        </is>
      </c>
      <c r="B190" s="1" t="n">
        <v>44935</v>
      </c>
      <c r="C190" s="1" t="n">
        <v>45925</v>
      </c>
      <c r="D190" t="inlineStr">
        <is>
          <t>KALMAR LÄN</t>
        </is>
      </c>
      <c r="E190" t="inlineStr">
        <is>
          <t>VÄSTERVIK</t>
        </is>
      </c>
      <c r="F190" t="inlineStr">
        <is>
          <t>Holmen skog AB</t>
        </is>
      </c>
      <c r="G190" t="n">
        <v>1.9</v>
      </c>
      <c r="H190" t="n">
        <v>0</v>
      </c>
      <c r="I190" t="n">
        <v>0</v>
      </c>
      <c r="J190" t="n">
        <v>1</v>
      </c>
      <c r="K190" t="n">
        <v>0</v>
      </c>
      <c r="L190" t="n">
        <v>0</v>
      </c>
      <c r="M190" t="n">
        <v>0</v>
      </c>
      <c r="N190" t="n">
        <v>0</v>
      </c>
      <c r="O190" t="n">
        <v>1</v>
      </c>
      <c r="P190" t="n">
        <v>0</v>
      </c>
      <c r="Q190" t="n">
        <v>1</v>
      </c>
      <c r="R190" s="2" t="inlineStr">
        <is>
          <t>Ekticka</t>
        </is>
      </c>
      <c r="S190">
        <f>HYPERLINK("https://klasma.github.io/Logging_0883/artfynd/A 1024-2023 artfynd.xlsx", "A 1024-2023")</f>
        <v/>
      </c>
      <c r="T190">
        <f>HYPERLINK("https://klasma.github.io/Logging_0883/kartor/A 1024-2023 karta.png", "A 1024-2023")</f>
        <v/>
      </c>
      <c r="V190">
        <f>HYPERLINK("https://klasma.github.io/Logging_0883/klagomål/A 1024-2023 FSC-klagomål.docx", "A 1024-2023")</f>
        <v/>
      </c>
      <c r="W190">
        <f>HYPERLINK("https://klasma.github.io/Logging_0883/klagomålsmail/A 1024-2023 FSC-klagomål mail.docx", "A 1024-2023")</f>
        <v/>
      </c>
      <c r="X190">
        <f>HYPERLINK("https://klasma.github.io/Logging_0883/tillsyn/A 1024-2023 tillsynsbegäran.docx", "A 1024-2023")</f>
        <v/>
      </c>
      <c r="Y190">
        <f>HYPERLINK("https://klasma.github.io/Logging_0883/tillsynsmail/A 1024-2023 tillsynsbegäran mail.docx", "A 1024-2023")</f>
        <v/>
      </c>
    </row>
    <row r="191" ht="15" customHeight="1">
      <c r="A191" t="inlineStr">
        <is>
          <t>A 25594-2021</t>
        </is>
      </c>
      <c r="B191" s="1" t="n">
        <v>44343</v>
      </c>
      <c r="C191" s="1" t="n">
        <v>45925</v>
      </c>
      <c r="D191" t="inlineStr">
        <is>
          <t>KALMAR LÄN</t>
        </is>
      </c>
      <c r="E191" t="inlineStr">
        <is>
          <t>VÄSTERVIK</t>
        </is>
      </c>
      <c r="F191" t="inlineStr">
        <is>
          <t>Holmen skog AB</t>
        </is>
      </c>
      <c r="G191" t="n">
        <v>3.2</v>
      </c>
      <c r="H191" t="n">
        <v>1</v>
      </c>
      <c r="I191" t="n">
        <v>0</v>
      </c>
      <c r="J191" t="n">
        <v>0</v>
      </c>
      <c r="K191" t="n">
        <v>1</v>
      </c>
      <c r="L191" t="n">
        <v>0</v>
      </c>
      <c r="M191" t="n">
        <v>0</v>
      </c>
      <c r="N191" t="n">
        <v>0</v>
      </c>
      <c r="O191" t="n">
        <v>1</v>
      </c>
      <c r="P191" t="n">
        <v>1</v>
      </c>
      <c r="Q191" t="n">
        <v>1</v>
      </c>
      <c r="R191" s="2" t="inlineStr">
        <is>
          <t>Knärot</t>
        </is>
      </c>
      <c r="S191">
        <f>HYPERLINK("https://klasma.github.io/Logging_0883/artfynd/A 25594-2021 artfynd.xlsx", "A 25594-2021")</f>
        <v/>
      </c>
      <c r="T191">
        <f>HYPERLINK("https://klasma.github.io/Logging_0883/kartor/A 25594-2021 karta.png", "A 25594-2021")</f>
        <v/>
      </c>
      <c r="U191">
        <f>HYPERLINK("https://klasma.github.io/Logging_0883/knärot/A 25594-2021 karta knärot.png", "A 25594-2021")</f>
        <v/>
      </c>
      <c r="V191">
        <f>HYPERLINK("https://klasma.github.io/Logging_0883/klagomål/A 25594-2021 FSC-klagomål.docx", "A 25594-2021")</f>
        <v/>
      </c>
      <c r="W191">
        <f>HYPERLINK("https://klasma.github.io/Logging_0883/klagomålsmail/A 25594-2021 FSC-klagomål mail.docx", "A 25594-2021")</f>
        <v/>
      </c>
      <c r="X191">
        <f>HYPERLINK("https://klasma.github.io/Logging_0883/tillsyn/A 25594-2021 tillsynsbegäran.docx", "A 25594-2021")</f>
        <v/>
      </c>
      <c r="Y191">
        <f>HYPERLINK("https://klasma.github.io/Logging_0883/tillsynsmail/A 25594-2021 tillsynsbegäran mail.docx", "A 25594-2021")</f>
        <v/>
      </c>
    </row>
    <row r="192" ht="15" customHeight="1">
      <c r="A192" t="inlineStr">
        <is>
          <t>A 12292-2025</t>
        </is>
      </c>
      <c r="B192" s="1" t="n">
        <v>45729.68322916667</v>
      </c>
      <c r="C192" s="1" t="n">
        <v>45925</v>
      </c>
      <c r="D192" t="inlineStr">
        <is>
          <t>KALMAR LÄN</t>
        </is>
      </c>
      <c r="E192" t="inlineStr">
        <is>
          <t>VÄSTERVIK</t>
        </is>
      </c>
      <c r="G192" t="n">
        <v>1.7</v>
      </c>
      <c r="H192" t="n">
        <v>1</v>
      </c>
      <c r="I192" t="n">
        <v>0</v>
      </c>
      <c r="J192" t="n">
        <v>0</v>
      </c>
      <c r="K192" t="n">
        <v>1</v>
      </c>
      <c r="L192" t="n">
        <v>0</v>
      </c>
      <c r="M192" t="n">
        <v>0</v>
      </c>
      <c r="N192" t="n">
        <v>0</v>
      </c>
      <c r="O192" t="n">
        <v>1</v>
      </c>
      <c r="P192" t="n">
        <v>1</v>
      </c>
      <c r="Q192" t="n">
        <v>1</v>
      </c>
      <c r="R192" s="2" t="inlineStr">
        <is>
          <t>Knärot</t>
        </is>
      </c>
      <c r="S192">
        <f>HYPERLINK("https://klasma.github.io/Logging_0883/artfynd/A 12292-2025 artfynd.xlsx", "A 12292-2025")</f>
        <v/>
      </c>
      <c r="T192">
        <f>HYPERLINK("https://klasma.github.io/Logging_0883/kartor/A 12292-2025 karta.png", "A 12292-2025")</f>
        <v/>
      </c>
      <c r="U192">
        <f>HYPERLINK("https://klasma.github.io/Logging_0883/knärot/A 12292-2025 karta knärot.png", "A 12292-2025")</f>
        <v/>
      </c>
      <c r="V192">
        <f>HYPERLINK("https://klasma.github.io/Logging_0883/klagomål/A 12292-2025 FSC-klagomål.docx", "A 12292-2025")</f>
        <v/>
      </c>
      <c r="W192">
        <f>HYPERLINK("https://klasma.github.io/Logging_0883/klagomålsmail/A 12292-2025 FSC-klagomål mail.docx", "A 12292-2025")</f>
        <v/>
      </c>
      <c r="X192">
        <f>HYPERLINK("https://klasma.github.io/Logging_0883/tillsyn/A 12292-2025 tillsynsbegäran.docx", "A 12292-2025")</f>
        <v/>
      </c>
      <c r="Y192">
        <f>HYPERLINK("https://klasma.github.io/Logging_0883/tillsynsmail/A 12292-2025 tillsynsbegäran mail.docx", "A 12292-2025")</f>
        <v/>
      </c>
    </row>
    <row r="193" ht="15" customHeight="1">
      <c r="A193" t="inlineStr">
        <is>
          <t>A 34563-2023</t>
        </is>
      </c>
      <c r="B193" s="1" t="n">
        <v>45140.52086805556</v>
      </c>
      <c r="C193" s="1" t="n">
        <v>45925</v>
      </c>
      <c r="D193" t="inlineStr">
        <is>
          <t>KALMAR LÄN</t>
        </is>
      </c>
      <c r="E193" t="inlineStr">
        <is>
          <t>VÄSTERVIK</t>
        </is>
      </c>
      <c r="G193" t="n">
        <v>1.4</v>
      </c>
      <c r="H193" t="n">
        <v>0</v>
      </c>
      <c r="I193" t="n">
        <v>1</v>
      </c>
      <c r="J193" t="n">
        <v>0</v>
      </c>
      <c r="K193" t="n">
        <v>0</v>
      </c>
      <c r="L193" t="n">
        <v>0</v>
      </c>
      <c r="M193" t="n">
        <v>0</v>
      </c>
      <c r="N193" t="n">
        <v>0</v>
      </c>
      <c r="O193" t="n">
        <v>0</v>
      </c>
      <c r="P193" t="n">
        <v>0</v>
      </c>
      <c r="Q193" t="n">
        <v>1</v>
      </c>
      <c r="R193" s="2" t="inlineStr">
        <is>
          <t>Fjällig taggsvamp s.str.</t>
        </is>
      </c>
      <c r="S193">
        <f>HYPERLINK("https://klasma.github.io/Logging_0883/artfynd/A 34563-2023 artfynd.xlsx", "A 34563-2023")</f>
        <v/>
      </c>
      <c r="T193">
        <f>HYPERLINK("https://klasma.github.io/Logging_0883/kartor/A 34563-2023 karta.png", "A 34563-2023")</f>
        <v/>
      </c>
      <c r="U193">
        <f>HYPERLINK("https://klasma.github.io/Logging_0883/knärot/A 34563-2023 karta knärot.png", "A 34563-2023")</f>
        <v/>
      </c>
      <c r="V193">
        <f>HYPERLINK("https://klasma.github.io/Logging_0883/klagomål/A 34563-2023 FSC-klagomål.docx", "A 34563-2023")</f>
        <v/>
      </c>
      <c r="W193">
        <f>HYPERLINK("https://klasma.github.io/Logging_0883/klagomålsmail/A 34563-2023 FSC-klagomål mail.docx", "A 34563-2023")</f>
        <v/>
      </c>
      <c r="X193">
        <f>HYPERLINK("https://klasma.github.io/Logging_0883/tillsyn/A 34563-2023 tillsynsbegäran.docx", "A 34563-2023")</f>
        <v/>
      </c>
      <c r="Y193">
        <f>HYPERLINK("https://klasma.github.io/Logging_0883/tillsynsmail/A 34563-2023 tillsynsbegäran mail.docx", "A 34563-2023")</f>
        <v/>
      </c>
    </row>
    <row r="194" ht="15" customHeight="1">
      <c r="A194" t="inlineStr">
        <is>
          <t>A 25447-2021</t>
        </is>
      </c>
      <c r="B194" s="1" t="n">
        <v>44342</v>
      </c>
      <c r="C194" s="1" t="n">
        <v>45925</v>
      </c>
      <c r="D194" t="inlineStr">
        <is>
          <t>KALMAR LÄN</t>
        </is>
      </c>
      <c r="E194" t="inlineStr">
        <is>
          <t>VÄSTERVIK</t>
        </is>
      </c>
      <c r="F194" t="inlineStr">
        <is>
          <t>Holmen skog AB</t>
        </is>
      </c>
      <c r="G194" t="n">
        <v>9</v>
      </c>
      <c r="H194" t="n">
        <v>1</v>
      </c>
      <c r="I194" t="n">
        <v>0</v>
      </c>
      <c r="J194" t="n">
        <v>0</v>
      </c>
      <c r="K194" t="n">
        <v>1</v>
      </c>
      <c r="L194" t="n">
        <v>0</v>
      </c>
      <c r="M194" t="n">
        <v>0</v>
      </c>
      <c r="N194" t="n">
        <v>0</v>
      </c>
      <c r="O194" t="n">
        <v>1</v>
      </c>
      <c r="P194" t="n">
        <v>1</v>
      </c>
      <c r="Q194" t="n">
        <v>1</v>
      </c>
      <c r="R194" s="2" t="inlineStr">
        <is>
          <t>Knärot</t>
        </is>
      </c>
      <c r="S194">
        <f>HYPERLINK("https://klasma.github.io/Logging_0883/artfynd/A 25447-2021 artfynd.xlsx", "A 25447-2021")</f>
        <v/>
      </c>
      <c r="T194">
        <f>HYPERLINK("https://klasma.github.io/Logging_0883/kartor/A 25447-2021 karta.png", "A 25447-2021")</f>
        <v/>
      </c>
      <c r="U194">
        <f>HYPERLINK("https://klasma.github.io/Logging_0883/knärot/A 25447-2021 karta knärot.png", "A 25447-2021")</f>
        <v/>
      </c>
      <c r="V194">
        <f>HYPERLINK("https://klasma.github.io/Logging_0883/klagomål/A 25447-2021 FSC-klagomål.docx", "A 25447-2021")</f>
        <v/>
      </c>
      <c r="W194">
        <f>HYPERLINK("https://klasma.github.io/Logging_0883/klagomålsmail/A 25447-2021 FSC-klagomål mail.docx", "A 25447-2021")</f>
        <v/>
      </c>
      <c r="X194">
        <f>HYPERLINK("https://klasma.github.io/Logging_0883/tillsyn/A 25447-2021 tillsynsbegäran.docx", "A 25447-2021")</f>
        <v/>
      </c>
      <c r="Y194">
        <f>HYPERLINK("https://klasma.github.io/Logging_0883/tillsynsmail/A 25447-2021 tillsynsbegäran mail.docx", "A 25447-2021")</f>
        <v/>
      </c>
    </row>
    <row r="195" ht="15" customHeight="1">
      <c r="A195" t="inlineStr">
        <is>
          <t>A 36595-2025</t>
        </is>
      </c>
      <c r="B195" s="1" t="n">
        <v>45870.513125</v>
      </c>
      <c r="C195" s="1" t="n">
        <v>45925</v>
      </c>
      <c r="D195" t="inlineStr">
        <is>
          <t>KALMAR LÄN</t>
        </is>
      </c>
      <c r="E195" t="inlineStr">
        <is>
          <t>VÄSTERVIK</t>
        </is>
      </c>
      <c r="G195" t="n">
        <v>1.5</v>
      </c>
      <c r="H195" t="n">
        <v>1</v>
      </c>
      <c r="I195" t="n">
        <v>0</v>
      </c>
      <c r="J195" t="n">
        <v>1</v>
      </c>
      <c r="K195" t="n">
        <v>0</v>
      </c>
      <c r="L195" t="n">
        <v>0</v>
      </c>
      <c r="M195" t="n">
        <v>0</v>
      </c>
      <c r="N195" t="n">
        <v>0</v>
      </c>
      <c r="O195" t="n">
        <v>1</v>
      </c>
      <c r="P195" t="n">
        <v>0</v>
      </c>
      <c r="Q195" t="n">
        <v>1</v>
      </c>
      <c r="R195" s="2" t="inlineStr">
        <is>
          <t>Talltita</t>
        </is>
      </c>
      <c r="S195">
        <f>HYPERLINK("https://klasma.github.io/Logging_0883/artfynd/A 36595-2025 artfynd.xlsx", "A 36595-2025")</f>
        <v/>
      </c>
      <c r="T195">
        <f>HYPERLINK("https://klasma.github.io/Logging_0883/kartor/A 36595-2025 karta.png", "A 36595-2025")</f>
        <v/>
      </c>
      <c r="V195">
        <f>HYPERLINK("https://klasma.github.io/Logging_0883/klagomål/A 36595-2025 FSC-klagomål.docx", "A 36595-2025")</f>
        <v/>
      </c>
      <c r="W195">
        <f>HYPERLINK("https://klasma.github.io/Logging_0883/klagomålsmail/A 36595-2025 FSC-klagomål mail.docx", "A 36595-2025")</f>
        <v/>
      </c>
      <c r="X195">
        <f>HYPERLINK("https://klasma.github.io/Logging_0883/tillsyn/A 36595-2025 tillsynsbegäran.docx", "A 36595-2025")</f>
        <v/>
      </c>
      <c r="Y195">
        <f>HYPERLINK("https://klasma.github.io/Logging_0883/tillsynsmail/A 36595-2025 tillsynsbegäran mail.docx", "A 36595-2025")</f>
        <v/>
      </c>
      <c r="Z195">
        <f>HYPERLINK("https://klasma.github.io/Logging_0883/fåglar/A 36595-2025 prioriterade fågelarter.docx", "A 36595-2025")</f>
        <v/>
      </c>
    </row>
    <row r="196" ht="15" customHeight="1">
      <c r="A196" t="inlineStr">
        <is>
          <t>A 10768-2025</t>
        </is>
      </c>
      <c r="B196" s="1" t="n">
        <v>45722.46649305556</v>
      </c>
      <c r="C196" s="1" t="n">
        <v>45925</v>
      </c>
      <c r="D196" t="inlineStr">
        <is>
          <t>KALMAR LÄN</t>
        </is>
      </c>
      <c r="E196" t="inlineStr">
        <is>
          <t>VÄSTERVIK</t>
        </is>
      </c>
      <c r="G196" t="n">
        <v>0.9</v>
      </c>
      <c r="H196" t="n">
        <v>1</v>
      </c>
      <c r="I196" t="n">
        <v>0</v>
      </c>
      <c r="J196" t="n">
        <v>1</v>
      </c>
      <c r="K196" t="n">
        <v>0</v>
      </c>
      <c r="L196" t="n">
        <v>0</v>
      </c>
      <c r="M196" t="n">
        <v>0</v>
      </c>
      <c r="N196" t="n">
        <v>0</v>
      </c>
      <c r="O196" t="n">
        <v>1</v>
      </c>
      <c r="P196" t="n">
        <v>0</v>
      </c>
      <c r="Q196" t="n">
        <v>1</v>
      </c>
      <c r="R196" s="2" t="inlineStr">
        <is>
          <t>Talltita</t>
        </is>
      </c>
      <c r="S196">
        <f>HYPERLINK("https://klasma.github.io/Logging_0883/artfynd/A 10768-2025 artfynd.xlsx", "A 10768-2025")</f>
        <v/>
      </c>
      <c r="T196">
        <f>HYPERLINK("https://klasma.github.io/Logging_0883/kartor/A 10768-2025 karta.png", "A 10768-2025")</f>
        <v/>
      </c>
      <c r="V196">
        <f>HYPERLINK("https://klasma.github.io/Logging_0883/klagomål/A 10768-2025 FSC-klagomål.docx", "A 10768-2025")</f>
        <v/>
      </c>
      <c r="W196">
        <f>HYPERLINK("https://klasma.github.io/Logging_0883/klagomålsmail/A 10768-2025 FSC-klagomål mail.docx", "A 10768-2025")</f>
        <v/>
      </c>
      <c r="X196">
        <f>HYPERLINK("https://klasma.github.io/Logging_0883/tillsyn/A 10768-2025 tillsynsbegäran.docx", "A 10768-2025")</f>
        <v/>
      </c>
      <c r="Y196">
        <f>HYPERLINK("https://klasma.github.io/Logging_0883/tillsynsmail/A 10768-2025 tillsynsbegäran mail.docx", "A 10768-2025")</f>
        <v/>
      </c>
      <c r="Z196">
        <f>HYPERLINK("https://klasma.github.io/Logging_0883/fåglar/A 10768-2025 prioriterade fågelarter.docx", "A 10768-2025")</f>
        <v/>
      </c>
    </row>
    <row r="197" ht="15" customHeight="1">
      <c r="A197" t="inlineStr">
        <is>
          <t>A 24048-2021</t>
        </is>
      </c>
      <c r="B197" s="1" t="n">
        <v>44336</v>
      </c>
      <c r="C197" s="1" t="n">
        <v>45925</v>
      </c>
      <c r="D197" t="inlineStr">
        <is>
          <t>KALMAR LÄN</t>
        </is>
      </c>
      <c r="E197" t="inlineStr">
        <is>
          <t>VÄSTERVIK</t>
        </is>
      </c>
      <c r="G197" t="n">
        <v>3.5</v>
      </c>
      <c r="H197" t="n">
        <v>1</v>
      </c>
      <c r="I197" t="n">
        <v>0</v>
      </c>
      <c r="J197" t="n">
        <v>0</v>
      </c>
      <c r="K197" t="n">
        <v>1</v>
      </c>
      <c r="L197" t="n">
        <v>0</v>
      </c>
      <c r="M197" t="n">
        <v>0</v>
      </c>
      <c r="N197" t="n">
        <v>0</v>
      </c>
      <c r="O197" t="n">
        <v>1</v>
      </c>
      <c r="P197" t="n">
        <v>1</v>
      </c>
      <c r="Q197" t="n">
        <v>1</v>
      </c>
      <c r="R197" s="2" t="inlineStr">
        <is>
          <t>Knärot</t>
        </is>
      </c>
      <c r="S197">
        <f>HYPERLINK("https://klasma.github.io/Logging_0883/artfynd/A 24048-2021 artfynd.xlsx", "A 24048-2021")</f>
        <v/>
      </c>
      <c r="T197">
        <f>HYPERLINK("https://klasma.github.io/Logging_0883/kartor/A 24048-2021 karta.png", "A 24048-2021")</f>
        <v/>
      </c>
      <c r="U197">
        <f>HYPERLINK("https://klasma.github.io/Logging_0883/knärot/A 24048-2021 karta knärot.png", "A 24048-2021")</f>
        <v/>
      </c>
      <c r="V197">
        <f>HYPERLINK("https://klasma.github.io/Logging_0883/klagomål/A 24048-2021 FSC-klagomål.docx", "A 24048-2021")</f>
        <v/>
      </c>
      <c r="W197">
        <f>HYPERLINK("https://klasma.github.io/Logging_0883/klagomålsmail/A 24048-2021 FSC-klagomål mail.docx", "A 24048-2021")</f>
        <v/>
      </c>
      <c r="X197">
        <f>HYPERLINK("https://klasma.github.io/Logging_0883/tillsyn/A 24048-2021 tillsynsbegäran.docx", "A 24048-2021")</f>
        <v/>
      </c>
      <c r="Y197">
        <f>HYPERLINK("https://klasma.github.io/Logging_0883/tillsynsmail/A 24048-2021 tillsynsbegäran mail.docx", "A 24048-2021")</f>
        <v/>
      </c>
    </row>
    <row r="198" ht="15" customHeight="1">
      <c r="A198" t="inlineStr">
        <is>
          <t>A 14089-2025</t>
        </is>
      </c>
      <c r="B198" s="1" t="n">
        <v>45740.44363425926</v>
      </c>
      <c r="C198" s="1" t="n">
        <v>45925</v>
      </c>
      <c r="D198" t="inlineStr">
        <is>
          <t>KALMAR LÄN</t>
        </is>
      </c>
      <c r="E198" t="inlineStr">
        <is>
          <t>VÄSTERVIK</t>
        </is>
      </c>
      <c r="F198" t="inlineStr">
        <is>
          <t>Sveaskog</t>
        </is>
      </c>
      <c r="G198" t="n">
        <v>1.3</v>
      </c>
      <c r="H198" t="n">
        <v>1</v>
      </c>
      <c r="I198" t="n">
        <v>0</v>
      </c>
      <c r="J198" t="n">
        <v>1</v>
      </c>
      <c r="K198" t="n">
        <v>0</v>
      </c>
      <c r="L198" t="n">
        <v>0</v>
      </c>
      <c r="M198" t="n">
        <v>0</v>
      </c>
      <c r="N198" t="n">
        <v>0</v>
      </c>
      <c r="O198" t="n">
        <v>1</v>
      </c>
      <c r="P198" t="n">
        <v>0</v>
      </c>
      <c r="Q198" t="n">
        <v>1</v>
      </c>
      <c r="R198" s="2" t="inlineStr">
        <is>
          <t>Spillkråka</t>
        </is>
      </c>
      <c r="S198">
        <f>HYPERLINK("https://klasma.github.io/Logging_0883/artfynd/A 14089-2025 artfynd.xlsx", "A 14089-2025")</f>
        <v/>
      </c>
      <c r="T198">
        <f>HYPERLINK("https://klasma.github.io/Logging_0883/kartor/A 14089-2025 karta.png", "A 14089-2025")</f>
        <v/>
      </c>
      <c r="V198">
        <f>HYPERLINK("https://klasma.github.io/Logging_0883/klagomål/A 14089-2025 FSC-klagomål.docx", "A 14089-2025")</f>
        <v/>
      </c>
      <c r="W198">
        <f>HYPERLINK("https://klasma.github.io/Logging_0883/klagomålsmail/A 14089-2025 FSC-klagomål mail.docx", "A 14089-2025")</f>
        <v/>
      </c>
      <c r="X198">
        <f>HYPERLINK("https://klasma.github.io/Logging_0883/tillsyn/A 14089-2025 tillsynsbegäran.docx", "A 14089-2025")</f>
        <v/>
      </c>
      <c r="Y198">
        <f>HYPERLINK("https://klasma.github.io/Logging_0883/tillsynsmail/A 14089-2025 tillsynsbegäran mail.docx", "A 14089-2025")</f>
        <v/>
      </c>
      <c r="Z198">
        <f>HYPERLINK("https://klasma.github.io/Logging_0883/fåglar/A 14089-2025 prioriterade fågelarter.docx", "A 14089-2025")</f>
        <v/>
      </c>
    </row>
    <row r="199" ht="15" customHeight="1">
      <c r="A199" t="inlineStr">
        <is>
          <t>A 54272-2023</t>
        </is>
      </c>
      <c r="B199" s="1" t="n">
        <v>45232</v>
      </c>
      <c r="C199" s="1" t="n">
        <v>45925</v>
      </c>
      <c r="D199" t="inlineStr">
        <is>
          <t>KALMAR LÄN</t>
        </is>
      </c>
      <c r="E199" t="inlineStr">
        <is>
          <t>VÄSTERVIK</t>
        </is>
      </c>
      <c r="G199" t="n">
        <v>1</v>
      </c>
      <c r="H199" t="n">
        <v>0</v>
      </c>
      <c r="I199" t="n">
        <v>1</v>
      </c>
      <c r="J199" t="n">
        <v>0</v>
      </c>
      <c r="K199" t="n">
        <v>0</v>
      </c>
      <c r="L199" t="n">
        <v>0</v>
      </c>
      <c r="M199" t="n">
        <v>0</v>
      </c>
      <c r="N199" t="n">
        <v>0</v>
      </c>
      <c r="O199" t="n">
        <v>0</v>
      </c>
      <c r="P199" t="n">
        <v>0</v>
      </c>
      <c r="Q199" t="n">
        <v>1</v>
      </c>
      <c r="R199" s="2" t="inlineStr">
        <is>
          <t>Aprikosfingersvamp</t>
        </is>
      </c>
      <c r="S199">
        <f>HYPERLINK("https://klasma.github.io/Logging_0883/artfynd/A 54272-2023 artfynd.xlsx", "A 54272-2023")</f>
        <v/>
      </c>
      <c r="T199">
        <f>HYPERLINK("https://klasma.github.io/Logging_0883/kartor/A 54272-2023 karta.png", "A 54272-2023")</f>
        <v/>
      </c>
      <c r="V199">
        <f>HYPERLINK("https://klasma.github.io/Logging_0883/klagomål/A 54272-2023 FSC-klagomål.docx", "A 54272-2023")</f>
        <v/>
      </c>
      <c r="W199">
        <f>HYPERLINK("https://klasma.github.io/Logging_0883/klagomålsmail/A 54272-2023 FSC-klagomål mail.docx", "A 54272-2023")</f>
        <v/>
      </c>
      <c r="X199">
        <f>HYPERLINK("https://klasma.github.io/Logging_0883/tillsyn/A 54272-2023 tillsynsbegäran.docx", "A 54272-2023")</f>
        <v/>
      </c>
      <c r="Y199">
        <f>HYPERLINK("https://klasma.github.io/Logging_0883/tillsynsmail/A 54272-2023 tillsynsbegäran mail.docx", "A 54272-2023")</f>
        <v/>
      </c>
    </row>
    <row r="200" ht="15" customHeight="1">
      <c r="A200" t="inlineStr">
        <is>
          <t>A 1370-2024</t>
        </is>
      </c>
      <c r="B200" s="1" t="n">
        <v>45303</v>
      </c>
      <c r="C200" s="1" t="n">
        <v>45925</v>
      </c>
      <c r="D200" t="inlineStr">
        <is>
          <t>KALMAR LÄN</t>
        </is>
      </c>
      <c r="E200" t="inlineStr">
        <is>
          <t>VÄSTERVIK</t>
        </is>
      </c>
      <c r="G200" t="n">
        <v>0.4</v>
      </c>
      <c r="H200" t="n">
        <v>0</v>
      </c>
      <c r="I200" t="n">
        <v>1</v>
      </c>
      <c r="J200" t="n">
        <v>0</v>
      </c>
      <c r="K200" t="n">
        <v>0</v>
      </c>
      <c r="L200" t="n">
        <v>0</v>
      </c>
      <c r="M200" t="n">
        <v>0</v>
      </c>
      <c r="N200" t="n">
        <v>0</v>
      </c>
      <c r="O200" t="n">
        <v>0</v>
      </c>
      <c r="P200" t="n">
        <v>0</v>
      </c>
      <c r="Q200" t="n">
        <v>1</v>
      </c>
      <c r="R200" s="2" t="inlineStr">
        <is>
          <t>Brandticka</t>
        </is>
      </c>
      <c r="S200">
        <f>HYPERLINK("https://klasma.github.io/Logging_0883/artfynd/A 1370-2024 artfynd.xlsx", "A 1370-2024")</f>
        <v/>
      </c>
      <c r="T200">
        <f>HYPERLINK("https://klasma.github.io/Logging_0883/kartor/A 1370-2024 karta.png", "A 1370-2024")</f>
        <v/>
      </c>
      <c r="V200">
        <f>HYPERLINK("https://klasma.github.io/Logging_0883/klagomål/A 1370-2024 FSC-klagomål.docx", "A 1370-2024")</f>
        <v/>
      </c>
      <c r="W200">
        <f>HYPERLINK("https://klasma.github.io/Logging_0883/klagomålsmail/A 1370-2024 FSC-klagomål mail.docx", "A 1370-2024")</f>
        <v/>
      </c>
      <c r="X200">
        <f>HYPERLINK("https://klasma.github.io/Logging_0883/tillsyn/A 1370-2024 tillsynsbegäran.docx", "A 1370-2024")</f>
        <v/>
      </c>
      <c r="Y200">
        <f>HYPERLINK("https://klasma.github.io/Logging_0883/tillsynsmail/A 1370-2024 tillsynsbegäran mail.docx", "A 1370-2024")</f>
        <v/>
      </c>
    </row>
    <row r="201" ht="15" customHeight="1">
      <c r="A201" t="inlineStr">
        <is>
          <t>A 53075-2024</t>
        </is>
      </c>
      <c r="B201" s="1" t="n">
        <v>45611</v>
      </c>
      <c r="C201" s="1" t="n">
        <v>45925</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44618-2025</t>
        </is>
      </c>
      <c r="B202" s="1" t="n">
        <v>45917.46385416666</v>
      </c>
      <c r="C202" s="1" t="n">
        <v>45925</v>
      </c>
      <c r="D202" t="inlineStr">
        <is>
          <t>KALMAR LÄN</t>
        </is>
      </c>
      <c r="E202" t="inlineStr">
        <is>
          <t>VÄSTERVIK</t>
        </is>
      </c>
      <c r="F202" t="inlineStr">
        <is>
          <t>Övriga Aktiebolag</t>
        </is>
      </c>
      <c r="G202" t="n">
        <v>6.9</v>
      </c>
      <c r="H202" t="n">
        <v>1</v>
      </c>
      <c r="I202" t="n">
        <v>0</v>
      </c>
      <c r="J202" t="n">
        <v>1</v>
      </c>
      <c r="K202" t="n">
        <v>0</v>
      </c>
      <c r="L202" t="n">
        <v>0</v>
      </c>
      <c r="M202" t="n">
        <v>0</v>
      </c>
      <c r="N202" t="n">
        <v>0</v>
      </c>
      <c r="O202" t="n">
        <v>1</v>
      </c>
      <c r="P202" t="n">
        <v>0</v>
      </c>
      <c r="Q202" t="n">
        <v>1</v>
      </c>
      <c r="R202" s="2" t="inlineStr">
        <is>
          <t>Havsörn</t>
        </is>
      </c>
      <c r="S202">
        <f>HYPERLINK("https://klasma.github.io/Logging_0883/artfynd/A 44618-2025 artfynd.xlsx", "A 44618-2025")</f>
        <v/>
      </c>
      <c r="T202">
        <f>HYPERLINK("https://klasma.github.io/Logging_0883/kartor/A 44618-2025 karta.png", "A 44618-2025")</f>
        <v/>
      </c>
      <c r="V202">
        <f>HYPERLINK("https://klasma.github.io/Logging_0883/klagomål/A 44618-2025 FSC-klagomål.docx", "A 44618-2025")</f>
        <v/>
      </c>
      <c r="W202">
        <f>HYPERLINK("https://klasma.github.io/Logging_0883/klagomålsmail/A 44618-2025 FSC-klagomål mail.docx", "A 44618-2025")</f>
        <v/>
      </c>
      <c r="X202">
        <f>HYPERLINK("https://klasma.github.io/Logging_0883/tillsyn/A 44618-2025 tillsynsbegäran.docx", "A 44618-2025")</f>
        <v/>
      </c>
      <c r="Y202">
        <f>HYPERLINK("https://klasma.github.io/Logging_0883/tillsynsmail/A 44618-2025 tillsynsbegäran mail.docx", "A 44618-2025")</f>
        <v/>
      </c>
      <c r="Z202">
        <f>HYPERLINK("https://klasma.github.io/Logging_0883/fåglar/A 44618-2025 prioriterade fågelarter.docx", "A 44618-2025")</f>
        <v/>
      </c>
    </row>
    <row r="203" ht="15" customHeight="1">
      <c r="A203" t="inlineStr">
        <is>
          <t>A 44865-2025</t>
        </is>
      </c>
      <c r="B203" s="1" t="n">
        <v>45918.46114583333</v>
      </c>
      <c r="C203" s="1" t="n">
        <v>45925</v>
      </c>
      <c r="D203" t="inlineStr">
        <is>
          <t>KALMAR LÄN</t>
        </is>
      </c>
      <c r="E203" t="inlineStr">
        <is>
          <t>VÄSTERVIK</t>
        </is>
      </c>
      <c r="G203" t="n">
        <v>1.1</v>
      </c>
      <c r="H203" t="n">
        <v>1</v>
      </c>
      <c r="I203" t="n">
        <v>0</v>
      </c>
      <c r="J203" t="n">
        <v>0</v>
      </c>
      <c r="K203" t="n">
        <v>1</v>
      </c>
      <c r="L203" t="n">
        <v>0</v>
      </c>
      <c r="M203" t="n">
        <v>0</v>
      </c>
      <c r="N203" t="n">
        <v>0</v>
      </c>
      <c r="O203" t="n">
        <v>1</v>
      </c>
      <c r="P203" t="n">
        <v>1</v>
      </c>
      <c r="Q203" t="n">
        <v>1</v>
      </c>
      <c r="R203" s="2" t="inlineStr">
        <is>
          <t>Knärot</t>
        </is>
      </c>
      <c r="S203">
        <f>HYPERLINK("https://klasma.github.io/Logging_0883/artfynd/A 44865-2025 artfynd.xlsx", "A 44865-2025")</f>
        <v/>
      </c>
      <c r="T203">
        <f>HYPERLINK("https://klasma.github.io/Logging_0883/kartor/A 44865-2025 karta.png", "A 44865-2025")</f>
        <v/>
      </c>
      <c r="U203">
        <f>HYPERLINK("https://klasma.github.io/Logging_0883/knärot/A 44865-2025 karta knärot.png", "A 44865-2025")</f>
        <v/>
      </c>
      <c r="V203">
        <f>HYPERLINK("https://klasma.github.io/Logging_0883/klagomål/A 44865-2025 FSC-klagomål.docx", "A 44865-2025")</f>
        <v/>
      </c>
      <c r="W203">
        <f>HYPERLINK("https://klasma.github.io/Logging_0883/klagomålsmail/A 44865-2025 FSC-klagomål mail.docx", "A 44865-2025")</f>
        <v/>
      </c>
      <c r="X203">
        <f>HYPERLINK("https://klasma.github.io/Logging_0883/tillsyn/A 44865-2025 tillsynsbegäran.docx", "A 44865-2025")</f>
        <v/>
      </c>
      <c r="Y203">
        <f>HYPERLINK("https://klasma.github.io/Logging_0883/tillsynsmail/A 44865-2025 tillsynsbegäran mail.docx", "A 44865-2025")</f>
        <v/>
      </c>
    </row>
    <row r="204" ht="15" customHeight="1">
      <c r="A204" t="inlineStr">
        <is>
          <t>A 59178-2022</t>
        </is>
      </c>
      <c r="B204" s="1" t="n">
        <v>44904</v>
      </c>
      <c r="C204" s="1" t="n">
        <v>45925</v>
      </c>
      <c r="D204" t="inlineStr">
        <is>
          <t>KALMAR LÄN</t>
        </is>
      </c>
      <c r="E204" t="inlineStr">
        <is>
          <t>VÄSTERVIK</t>
        </is>
      </c>
      <c r="G204" t="n">
        <v>3.3</v>
      </c>
      <c r="H204" t="n">
        <v>0</v>
      </c>
      <c r="I204" t="n">
        <v>0</v>
      </c>
      <c r="J204" t="n">
        <v>1</v>
      </c>
      <c r="K204" t="n">
        <v>0</v>
      </c>
      <c r="L204" t="n">
        <v>0</v>
      </c>
      <c r="M204" t="n">
        <v>0</v>
      </c>
      <c r="N204" t="n">
        <v>0</v>
      </c>
      <c r="O204" t="n">
        <v>1</v>
      </c>
      <c r="P204" t="n">
        <v>0</v>
      </c>
      <c r="Q204" t="n">
        <v>1</v>
      </c>
      <c r="R204" s="2" t="inlineStr">
        <is>
          <t>Tallticka</t>
        </is>
      </c>
      <c r="S204">
        <f>HYPERLINK("https://klasma.github.io/Logging_0883/artfynd/A 59178-2022 artfynd.xlsx", "A 59178-2022")</f>
        <v/>
      </c>
      <c r="T204">
        <f>HYPERLINK("https://klasma.github.io/Logging_0883/kartor/A 59178-2022 karta.png", "A 59178-2022")</f>
        <v/>
      </c>
      <c r="V204">
        <f>HYPERLINK("https://klasma.github.io/Logging_0883/klagomål/A 59178-2022 FSC-klagomål.docx", "A 59178-2022")</f>
        <v/>
      </c>
      <c r="W204">
        <f>HYPERLINK("https://klasma.github.io/Logging_0883/klagomålsmail/A 59178-2022 FSC-klagomål mail.docx", "A 59178-2022")</f>
        <v/>
      </c>
      <c r="X204">
        <f>HYPERLINK("https://klasma.github.io/Logging_0883/tillsyn/A 59178-2022 tillsynsbegäran.docx", "A 59178-2022")</f>
        <v/>
      </c>
      <c r="Y204">
        <f>HYPERLINK("https://klasma.github.io/Logging_0883/tillsynsmail/A 59178-2022 tillsynsbegäran mail.docx", "A 59178-2022")</f>
        <v/>
      </c>
    </row>
    <row r="205" ht="15" customHeight="1">
      <c r="A205" t="inlineStr">
        <is>
          <t>A 41271-2025</t>
        </is>
      </c>
      <c r="B205" s="1" t="n">
        <v>45898.62226851852</v>
      </c>
      <c r="C205" s="1" t="n">
        <v>45925</v>
      </c>
      <c r="D205" t="inlineStr">
        <is>
          <t>KALMAR LÄN</t>
        </is>
      </c>
      <c r="E205" t="inlineStr">
        <is>
          <t>VÄSTERVIK</t>
        </is>
      </c>
      <c r="G205" t="n">
        <v>1.1</v>
      </c>
      <c r="H205" t="n">
        <v>1</v>
      </c>
      <c r="I205" t="n">
        <v>0</v>
      </c>
      <c r="J205" t="n">
        <v>0</v>
      </c>
      <c r="K205" t="n">
        <v>1</v>
      </c>
      <c r="L205" t="n">
        <v>0</v>
      </c>
      <c r="M205" t="n">
        <v>0</v>
      </c>
      <c r="N205" t="n">
        <v>0</v>
      </c>
      <c r="O205" t="n">
        <v>1</v>
      </c>
      <c r="P205" t="n">
        <v>1</v>
      </c>
      <c r="Q205" t="n">
        <v>1</v>
      </c>
      <c r="R205" s="2" t="inlineStr">
        <is>
          <t>Knärot</t>
        </is>
      </c>
      <c r="S205">
        <f>HYPERLINK("https://klasma.github.io/Logging_0883/artfynd/A 41271-2025 artfynd.xlsx", "A 41271-2025")</f>
        <v/>
      </c>
      <c r="T205">
        <f>HYPERLINK("https://klasma.github.io/Logging_0883/kartor/A 41271-2025 karta.png", "A 41271-2025")</f>
        <v/>
      </c>
      <c r="U205">
        <f>HYPERLINK("https://klasma.github.io/Logging_0883/knärot/A 41271-2025 karta knärot.png", "A 41271-2025")</f>
        <v/>
      </c>
      <c r="V205">
        <f>HYPERLINK("https://klasma.github.io/Logging_0883/klagomål/A 41271-2025 FSC-klagomål.docx", "A 41271-2025")</f>
        <v/>
      </c>
      <c r="W205">
        <f>HYPERLINK("https://klasma.github.io/Logging_0883/klagomålsmail/A 41271-2025 FSC-klagomål mail.docx", "A 41271-2025")</f>
        <v/>
      </c>
      <c r="X205">
        <f>HYPERLINK("https://klasma.github.io/Logging_0883/tillsyn/A 41271-2025 tillsynsbegäran.docx", "A 41271-2025")</f>
        <v/>
      </c>
      <c r="Y205">
        <f>HYPERLINK("https://klasma.github.io/Logging_0883/tillsynsmail/A 41271-2025 tillsynsbegäran mail.docx", "A 41271-2025")</f>
        <v/>
      </c>
    </row>
    <row r="206" ht="15" customHeight="1">
      <c r="A206" t="inlineStr">
        <is>
          <t>A 12662-2022</t>
        </is>
      </c>
      <c r="B206" s="1" t="n">
        <v>44641</v>
      </c>
      <c r="C206" s="1" t="n">
        <v>45925</v>
      </c>
      <c r="D206" t="inlineStr">
        <is>
          <t>KALMAR LÄN</t>
        </is>
      </c>
      <c r="E206" t="inlineStr">
        <is>
          <t>VÄSTERVIK</t>
        </is>
      </c>
      <c r="G206" t="n">
        <v>2.1</v>
      </c>
      <c r="H206" t="n">
        <v>0</v>
      </c>
      <c r="I206" t="n">
        <v>1</v>
      </c>
      <c r="J206" t="n">
        <v>0</v>
      </c>
      <c r="K206" t="n">
        <v>0</v>
      </c>
      <c r="L206" t="n">
        <v>0</v>
      </c>
      <c r="M206" t="n">
        <v>0</v>
      </c>
      <c r="N206" t="n">
        <v>0</v>
      </c>
      <c r="O206" t="n">
        <v>0</v>
      </c>
      <c r="P206" t="n">
        <v>0</v>
      </c>
      <c r="Q206" t="n">
        <v>1</v>
      </c>
      <c r="R206" s="2" t="inlineStr">
        <is>
          <t>Blåmossa</t>
        </is>
      </c>
      <c r="S206">
        <f>HYPERLINK("https://klasma.github.io/Logging_0883/artfynd/A 12662-2022 artfynd.xlsx", "A 12662-2022")</f>
        <v/>
      </c>
      <c r="T206">
        <f>HYPERLINK("https://klasma.github.io/Logging_0883/kartor/A 12662-2022 karta.png", "A 12662-2022")</f>
        <v/>
      </c>
      <c r="V206">
        <f>HYPERLINK("https://klasma.github.io/Logging_0883/klagomål/A 12662-2022 FSC-klagomål.docx", "A 12662-2022")</f>
        <v/>
      </c>
      <c r="W206">
        <f>HYPERLINK("https://klasma.github.io/Logging_0883/klagomålsmail/A 12662-2022 FSC-klagomål mail.docx", "A 12662-2022")</f>
        <v/>
      </c>
      <c r="X206">
        <f>HYPERLINK("https://klasma.github.io/Logging_0883/tillsyn/A 12662-2022 tillsynsbegäran.docx", "A 12662-2022")</f>
        <v/>
      </c>
      <c r="Y206">
        <f>HYPERLINK("https://klasma.github.io/Logging_0883/tillsynsmail/A 12662-2022 tillsynsbegäran mail.docx", "A 12662-2022")</f>
        <v/>
      </c>
    </row>
    <row r="207" ht="15" customHeight="1">
      <c r="A207" t="inlineStr">
        <is>
          <t>A 5575-2021</t>
        </is>
      </c>
      <c r="B207" s="1" t="n">
        <v>44230</v>
      </c>
      <c r="C207" s="1" t="n">
        <v>45925</v>
      </c>
      <c r="D207" t="inlineStr">
        <is>
          <t>KALMAR LÄN</t>
        </is>
      </c>
      <c r="E207" t="inlineStr">
        <is>
          <t>VÄSTERVIK</t>
        </is>
      </c>
      <c r="G207" t="n">
        <v>2.6</v>
      </c>
      <c r="H207" t="n">
        <v>1</v>
      </c>
      <c r="I207" t="n">
        <v>1</v>
      </c>
      <c r="J207" t="n">
        <v>0</v>
      </c>
      <c r="K207" t="n">
        <v>0</v>
      </c>
      <c r="L207" t="n">
        <v>0</v>
      </c>
      <c r="M207" t="n">
        <v>0</v>
      </c>
      <c r="N207" t="n">
        <v>0</v>
      </c>
      <c r="O207" t="n">
        <v>0</v>
      </c>
      <c r="P207" t="n">
        <v>0</v>
      </c>
      <c r="Q207" t="n">
        <v>1</v>
      </c>
      <c r="R207" s="2" t="inlineStr">
        <is>
          <t>Ekoxe</t>
        </is>
      </c>
      <c r="S207">
        <f>HYPERLINK("https://klasma.github.io/Logging_0883/artfynd/A 5575-2021 artfynd.xlsx", "A 5575-2021")</f>
        <v/>
      </c>
      <c r="T207">
        <f>HYPERLINK("https://klasma.github.io/Logging_0883/kartor/A 5575-2021 karta.png", "A 5575-2021")</f>
        <v/>
      </c>
      <c r="V207">
        <f>HYPERLINK("https://klasma.github.io/Logging_0883/klagomål/A 5575-2021 FSC-klagomål.docx", "A 5575-2021")</f>
        <v/>
      </c>
      <c r="W207">
        <f>HYPERLINK("https://klasma.github.io/Logging_0883/klagomålsmail/A 5575-2021 FSC-klagomål mail.docx", "A 5575-2021")</f>
        <v/>
      </c>
      <c r="X207">
        <f>HYPERLINK("https://klasma.github.io/Logging_0883/tillsyn/A 5575-2021 tillsynsbegäran.docx", "A 5575-2021")</f>
        <v/>
      </c>
      <c r="Y207">
        <f>HYPERLINK("https://klasma.github.io/Logging_0883/tillsynsmail/A 5575-2021 tillsynsbegäran mail.docx", "A 5575-2021")</f>
        <v/>
      </c>
    </row>
    <row r="208" ht="15" customHeight="1">
      <c r="A208" t="inlineStr">
        <is>
          <t>A 14131-2025</t>
        </is>
      </c>
      <c r="B208" s="1" t="n">
        <v>45740.47480324074</v>
      </c>
      <c r="C208" s="1" t="n">
        <v>45925</v>
      </c>
      <c r="D208" t="inlineStr">
        <is>
          <t>KALMAR LÄN</t>
        </is>
      </c>
      <c r="E208" t="inlineStr">
        <is>
          <t>VÄSTERVIK</t>
        </is>
      </c>
      <c r="F208" t="inlineStr">
        <is>
          <t>Sveaskog</t>
        </is>
      </c>
      <c r="G208" t="n">
        <v>0.7</v>
      </c>
      <c r="H208" t="n">
        <v>1</v>
      </c>
      <c r="I208" t="n">
        <v>0</v>
      </c>
      <c r="J208" t="n">
        <v>0</v>
      </c>
      <c r="K208" t="n">
        <v>0</v>
      </c>
      <c r="L208" t="n">
        <v>0</v>
      </c>
      <c r="M208" t="n">
        <v>0</v>
      </c>
      <c r="N208" t="n">
        <v>0</v>
      </c>
      <c r="O208" t="n">
        <v>0</v>
      </c>
      <c r="P208" t="n">
        <v>0</v>
      </c>
      <c r="Q208" t="n">
        <v>1</v>
      </c>
      <c r="R208" s="2" t="inlineStr">
        <is>
          <t>Blåsippa</t>
        </is>
      </c>
      <c r="S208">
        <f>HYPERLINK("https://klasma.github.io/Logging_0883/artfynd/A 14131-2025 artfynd.xlsx", "A 14131-2025")</f>
        <v/>
      </c>
      <c r="T208">
        <f>HYPERLINK("https://klasma.github.io/Logging_0883/kartor/A 14131-2025 karta.png", "A 14131-2025")</f>
        <v/>
      </c>
      <c r="V208">
        <f>HYPERLINK("https://klasma.github.io/Logging_0883/klagomål/A 14131-2025 FSC-klagomål.docx", "A 14131-2025")</f>
        <v/>
      </c>
      <c r="W208">
        <f>HYPERLINK("https://klasma.github.io/Logging_0883/klagomålsmail/A 14131-2025 FSC-klagomål mail.docx", "A 14131-2025")</f>
        <v/>
      </c>
      <c r="X208">
        <f>HYPERLINK("https://klasma.github.io/Logging_0883/tillsyn/A 14131-2025 tillsynsbegäran.docx", "A 14131-2025")</f>
        <v/>
      </c>
      <c r="Y208">
        <f>HYPERLINK("https://klasma.github.io/Logging_0883/tillsynsmail/A 14131-2025 tillsynsbegäran mail.docx", "A 14131-2025")</f>
        <v/>
      </c>
    </row>
    <row r="209" ht="15" customHeight="1">
      <c r="A209" t="inlineStr">
        <is>
          <t>A 6657-2025</t>
        </is>
      </c>
      <c r="B209" s="1" t="n">
        <v>45700</v>
      </c>
      <c r="C209" s="1" t="n">
        <v>45925</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4750-2025</t>
        </is>
      </c>
      <c r="B210" s="1" t="n">
        <v>45688</v>
      </c>
      <c r="C210" s="1" t="n">
        <v>45925</v>
      </c>
      <c r="D210" t="inlineStr">
        <is>
          <t>KALMAR LÄN</t>
        </is>
      </c>
      <c r="E210" t="inlineStr">
        <is>
          <t>VÄSTERVIK</t>
        </is>
      </c>
      <c r="F210" t="inlineStr">
        <is>
          <t>Holmen skog AB</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HYPERLINK("https://klasma.github.io/Logging_0883/artfynd/A 4750-2025 artfynd.xlsx", "A 4750-2025")</f>
        <v/>
      </c>
      <c r="T210">
        <f>HYPERLINK("https://klasma.github.io/Logging_0883/kartor/A 4750-2025 karta.png", "A 4750-2025")</f>
        <v/>
      </c>
      <c r="V210">
        <f>HYPERLINK("https://klasma.github.io/Logging_0883/klagomål/A 4750-2025 FSC-klagomål.docx", "A 4750-2025")</f>
        <v/>
      </c>
      <c r="W210">
        <f>HYPERLINK("https://klasma.github.io/Logging_0883/klagomålsmail/A 4750-2025 FSC-klagomål mail.docx", "A 4750-2025")</f>
        <v/>
      </c>
      <c r="X210">
        <f>HYPERLINK("https://klasma.github.io/Logging_0883/tillsyn/A 4750-2025 tillsynsbegäran.docx", "A 4750-2025")</f>
        <v/>
      </c>
      <c r="Y210">
        <f>HYPERLINK("https://klasma.github.io/Logging_0883/tillsynsmail/A 4750-2025 tillsynsbegäran mail.docx", "A 4750-2025")</f>
        <v/>
      </c>
      <c r="Z210">
        <f>HYPERLINK("https://klasma.github.io/Logging_0883/fåglar/A 4750-2025 prioriterade fågelarter.docx", "A 4750-2025")</f>
        <v/>
      </c>
    </row>
    <row r="211" ht="15" customHeight="1">
      <c r="A211" t="inlineStr">
        <is>
          <t>A 3057-2025</t>
        </is>
      </c>
      <c r="B211" s="1" t="n">
        <v>45678</v>
      </c>
      <c r="C211" s="1" t="n">
        <v>45925</v>
      </c>
      <c r="D211" t="inlineStr">
        <is>
          <t>KALMAR LÄN</t>
        </is>
      </c>
      <c r="E211" t="inlineStr">
        <is>
          <t>VÄSTERVIK</t>
        </is>
      </c>
      <c r="G211" t="n">
        <v>1</v>
      </c>
      <c r="H211" t="n">
        <v>1</v>
      </c>
      <c r="I211" t="n">
        <v>0</v>
      </c>
      <c r="J211" t="n">
        <v>0</v>
      </c>
      <c r="K211" t="n">
        <v>1</v>
      </c>
      <c r="L211" t="n">
        <v>0</v>
      </c>
      <c r="M211" t="n">
        <v>0</v>
      </c>
      <c r="N211" t="n">
        <v>0</v>
      </c>
      <c r="O211" t="n">
        <v>1</v>
      </c>
      <c r="P211" t="n">
        <v>1</v>
      </c>
      <c r="Q211" t="n">
        <v>1</v>
      </c>
      <c r="R211" s="2" t="inlineStr">
        <is>
          <t>Knärot</t>
        </is>
      </c>
      <c r="S211">
        <f>HYPERLINK("https://klasma.github.io/Logging_0883/artfynd/A 3057-2025 artfynd.xlsx", "A 3057-2025")</f>
        <v/>
      </c>
      <c r="T211">
        <f>HYPERLINK("https://klasma.github.io/Logging_0883/kartor/A 3057-2025 karta.png", "A 3057-2025")</f>
        <v/>
      </c>
      <c r="U211">
        <f>HYPERLINK("https://klasma.github.io/Logging_0883/knärot/A 3057-2025 karta knärot.png", "A 3057-2025")</f>
        <v/>
      </c>
      <c r="V211">
        <f>HYPERLINK("https://klasma.github.io/Logging_0883/klagomål/A 3057-2025 FSC-klagomål.docx", "A 3057-2025")</f>
        <v/>
      </c>
      <c r="W211">
        <f>HYPERLINK("https://klasma.github.io/Logging_0883/klagomålsmail/A 3057-2025 FSC-klagomål mail.docx", "A 3057-2025")</f>
        <v/>
      </c>
      <c r="X211">
        <f>HYPERLINK("https://klasma.github.io/Logging_0883/tillsyn/A 3057-2025 tillsynsbegäran.docx", "A 3057-2025")</f>
        <v/>
      </c>
      <c r="Y211">
        <f>HYPERLINK("https://klasma.github.io/Logging_0883/tillsynsmail/A 3057-2025 tillsynsbegäran mail.docx", "A 3057-2025")</f>
        <v/>
      </c>
    </row>
    <row r="212" ht="15" customHeight="1">
      <c r="A212" t="inlineStr">
        <is>
          <t>A 51514-2024</t>
        </is>
      </c>
      <c r="B212" s="1" t="n">
        <v>45604.5640625</v>
      </c>
      <c r="C212" s="1" t="n">
        <v>45925</v>
      </c>
      <c r="D212" t="inlineStr">
        <is>
          <t>KALMAR LÄN</t>
        </is>
      </c>
      <c r="E212" t="inlineStr">
        <is>
          <t>VÄSTERVIK</t>
        </is>
      </c>
      <c r="F212" t="inlineStr">
        <is>
          <t>Övriga Aktiebolag</t>
        </is>
      </c>
      <c r="G212" t="n">
        <v>2.4</v>
      </c>
      <c r="H212" t="n">
        <v>1</v>
      </c>
      <c r="I212" t="n">
        <v>0</v>
      </c>
      <c r="J212" t="n">
        <v>1</v>
      </c>
      <c r="K212" t="n">
        <v>0</v>
      </c>
      <c r="L212" t="n">
        <v>0</v>
      </c>
      <c r="M212" t="n">
        <v>0</v>
      </c>
      <c r="N212" t="n">
        <v>0</v>
      </c>
      <c r="O212" t="n">
        <v>1</v>
      </c>
      <c r="P212" t="n">
        <v>0</v>
      </c>
      <c r="Q212" t="n">
        <v>1</v>
      </c>
      <c r="R212" s="2" t="inlineStr">
        <is>
          <t>Havsörn</t>
        </is>
      </c>
      <c r="S212">
        <f>HYPERLINK("https://klasma.github.io/Logging_0883/artfynd/A 51514-2024 artfynd.xlsx", "A 51514-2024")</f>
        <v/>
      </c>
      <c r="T212">
        <f>HYPERLINK("https://klasma.github.io/Logging_0883/kartor/A 51514-2024 karta.png", "A 51514-2024")</f>
        <v/>
      </c>
      <c r="V212">
        <f>HYPERLINK("https://klasma.github.io/Logging_0883/klagomål/A 51514-2024 FSC-klagomål.docx", "A 51514-2024")</f>
        <v/>
      </c>
      <c r="W212">
        <f>HYPERLINK("https://klasma.github.io/Logging_0883/klagomålsmail/A 51514-2024 FSC-klagomål mail.docx", "A 51514-2024")</f>
        <v/>
      </c>
      <c r="X212">
        <f>HYPERLINK("https://klasma.github.io/Logging_0883/tillsyn/A 51514-2024 tillsynsbegäran.docx", "A 51514-2024")</f>
        <v/>
      </c>
      <c r="Y212">
        <f>HYPERLINK("https://klasma.github.io/Logging_0883/tillsynsmail/A 51514-2024 tillsynsbegäran mail.docx", "A 51514-2024")</f>
        <v/>
      </c>
      <c r="Z212">
        <f>HYPERLINK("https://klasma.github.io/Logging_0883/fåglar/A 51514-2024 prioriterade fågelarter.docx", "A 51514-2024")</f>
        <v/>
      </c>
    </row>
    <row r="213" ht="15" customHeight="1">
      <c r="A213" t="inlineStr">
        <is>
          <t>A 975-2023</t>
        </is>
      </c>
      <c r="B213" s="1" t="n">
        <v>44935</v>
      </c>
      <c r="C213" s="1" t="n">
        <v>45925</v>
      </c>
      <c r="D213" t="inlineStr">
        <is>
          <t>KALMAR LÄN</t>
        </is>
      </c>
      <c r="E213" t="inlineStr">
        <is>
          <t>VÄSTERVIK</t>
        </is>
      </c>
      <c r="G213" t="n">
        <v>1.7</v>
      </c>
      <c r="H213" t="n">
        <v>1</v>
      </c>
      <c r="I213" t="n">
        <v>0</v>
      </c>
      <c r="J213" t="n">
        <v>0</v>
      </c>
      <c r="K213" t="n">
        <v>1</v>
      </c>
      <c r="L213" t="n">
        <v>0</v>
      </c>
      <c r="M213" t="n">
        <v>0</v>
      </c>
      <c r="N213" t="n">
        <v>0</v>
      </c>
      <c r="O213" t="n">
        <v>1</v>
      </c>
      <c r="P213" t="n">
        <v>1</v>
      </c>
      <c r="Q213" t="n">
        <v>1</v>
      </c>
      <c r="R213" s="2" t="inlineStr">
        <is>
          <t>Läderbagge</t>
        </is>
      </c>
      <c r="S213">
        <f>HYPERLINK("https://klasma.github.io/Logging_0883/artfynd/A 975-2023 artfynd.xlsx", "A 975-2023")</f>
        <v/>
      </c>
      <c r="T213">
        <f>HYPERLINK("https://klasma.github.io/Logging_0883/kartor/A 975-2023 karta.png", "A 975-2023")</f>
        <v/>
      </c>
      <c r="V213">
        <f>HYPERLINK("https://klasma.github.io/Logging_0883/klagomål/A 975-2023 FSC-klagomål.docx", "A 975-2023")</f>
        <v/>
      </c>
      <c r="W213">
        <f>HYPERLINK("https://klasma.github.io/Logging_0883/klagomålsmail/A 975-2023 FSC-klagomål mail.docx", "A 975-2023")</f>
        <v/>
      </c>
      <c r="X213">
        <f>HYPERLINK("https://klasma.github.io/Logging_0883/tillsyn/A 975-2023 tillsynsbegäran.docx", "A 975-2023")</f>
        <v/>
      </c>
      <c r="Y213">
        <f>HYPERLINK("https://klasma.github.io/Logging_0883/tillsynsmail/A 975-2023 tillsynsbegäran mail.docx", "A 975-2023")</f>
        <v/>
      </c>
    </row>
    <row r="214" ht="15" customHeight="1">
      <c r="A214" t="inlineStr">
        <is>
          <t>A 16695-2025</t>
        </is>
      </c>
      <c r="B214" s="1" t="n">
        <v>45754.46579861111</v>
      </c>
      <c r="C214" s="1" t="n">
        <v>45925</v>
      </c>
      <c r="D214" t="inlineStr">
        <is>
          <t>KALMAR LÄN</t>
        </is>
      </c>
      <c r="E214" t="inlineStr">
        <is>
          <t>VÄSTERVIK</t>
        </is>
      </c>
      <c r="F214" t="inlineStr">
        <is>
          <t>Sveaskog</t>
        </is>
      </c>
      <c r="G214" t="n">
        <v>1.8</v>
      </c>
      <c r="H214" t="n">
        <v>1</v>
      </c>
      <c r="I214" t="n">
        <v>0</v>
      </c>
      <c r="J214" t="n">
        <v>0</v>
      </c>
      <c r="K214" t="n">
        <v>0</v>
      </c>
      <c r="L214" t="n">
        <v>0</v>
      </c>
      <c r="M214" t="n">
        <v>0</v>
      </c>
      <c r="N214" t="n">
        <v>0</v>
      </c>
      <c r="O214" t="n">
        <v>0</v>
      </c>
      <c r="P214" t="n">
        <v>0</v>
      </c>
      <c r="Q214" t="n">
        <v>1</v>
      </c>
      <c r="R214" s="2" t="inlineStr">
        <is>
          <t>Kungsfågel</t>
        </is>
      </c>
      <c r="S214">
        <f>HYPERLINK("https://klasma.github.io/Logging_0883/artfynd/A 16695-2025 artfynd.xlsx", "A 16695-2025")</f>
        <v/>
      </c>
      <c r="T214">
        <f>HYPERLINK("https://klasma.github.io/Logging_0883/kartor/A 16695-2025 karta.png", "A 16695-2025")</f>
        <v/>
      </c>
      <c r="V214">
        <f>HYPERLINK("https://klasma.github.io/Logging_0883/klagomål/A 16695-2025 FSC-klagomål.docx", "A 16695-2025")</f>
        <v/>
      </c>
      <c r="W214">
        <f>HYPERLINK("https://klasma.github.io/Logging_0883/klagomålsmail/A 16695-2025 FSC-klagomål mail.docx", "A 16695-2025")</f>
        <v/>
      </c>
      <c r="X214">
        <f>HYPERLINK("https://klasma.github.io/Logging_0883/tillsyn/A 16695-2025 tillsynsbegäran.docx", "A 16695-2025")</f>
        <v/>
      </c>
      <c r="Y214">
        <f>HYPERLINK("https://klasma.github.io/Logging_0883/tillsynsmail/A 16695-2025 tillsynsbegäran mail.docx", "A 16695-2025")</f>
        <v/>
      </c>
      <c r="Z214">
        <f>HYPERLINK("https://klasma.github.io/Logging_0883/fåglar/A 16695-2025 prioriterade fågelarter.docx", "A 16695-2025")</f>
        <v/>
      </c>
    </row>
    <row r="215" ht="15" customHeight="1">
      <c r="A215" t="inlineStr">
        <is>
          <t>A 16697-2025</t>
        </is>
      </c>
      <c r="B215" s="1" t="n">
        <v>45754.46709490741</v>
      </c>
      <c r="C215" s="1" t="n">
        <v>45925</v>
      </c>
      <c r="D215" t="inlineStr">
        <is>
          <t>KALMAR LÄN</t>
        </is>
      </c>
      <c r="E215" t="inlineStr">
        <is>
          <t>VÄSTERVIK</t>
        </is>
      </c>
      <c r="F215" t="inlineStr">
        <is>
          <t>Sveaskog</t>
        </is>
      </c>
      <c r="G215" t="n">
        <v>1.3</v>
      </c>
      <c r="H215" t="n">
        <v>1</v>
      </c>
      <c r="I215" t="n">
        <v>0</v>
      </c>
      <c r="J215" t="n">
        <v>1</v>
      </c>
      <c r="K215" t="n">
        <v>0</v>
      </c>
      <c r="L215" t="n">
        <v>0</v>
      </c>
      <c r="M215" t="n">
        <v>0</v>
      </c>
      <c r="N215" t="n">
        <v>0</v>
      </c>
      <c r="O215" t="n">
        <v>1</v>
      </c>
      <c r="P215" t="n">
        <v>0</v>
      </c>
      <c r="Q215" t="n">
        <v>1</v>
      </c>
      <c r="R215" s="2" t="inlineStr">
        <is>
          <t>Spillkråka</t>
        </is>
      </c>
      <c r="S215">
        <f>HYPERLINK("https://klasma.github.io/Logging_0883/artfynd/A 16697-2025 artfynd.xlsx", "A 16697-2025")</f>
        <v/>
      </c>
      <c r="T215">
        <f>HYPERLINK("https://klasma.github.io/Logging_0883/kartor/A 16697-2025 karta.png", "A 16697-2025")</f>
        <v/>
      </c>
      <c r="V215">
        <f>HYPERLINK("https://klasma.github.io/Logging_0883/klagomål/A 16697-2025 FSC-klagomål.docx", "A 16697-2025")</f>
        <v/>
      </c>
      <c r="W215">
        <f>HYPERLINK("https://klasma.github.io/Logging_0883/klagomålsmail/A 16697-2025 FSC-klagomål mail.docx", "A 16697-2025")</f>
        <v/>
      </c>
      <c r="X215">
        <f>HYPERLINK("https://klasma.github.io/Logging_0883/tillsyn/A 16697-2025 tillsynsbegäran.docx", "A 16697-2025")</f>
        <v/>
      </c>
      <c r="Y215">
        <f>HYPERLINK("https://klasma.github.io/Logging_0883/tillsynsmail/A 16697-2025 tillsynsbegäran mail.docx", "A 16697-2025")</f>
        <v/>
      </c>
      <c r="Z215">
        <f>HYPERLINK("https://klasma.github.io/Logging_0883/fåglar/A 16697-2025 prioriterade fågelarter.docx", "A 16697-2025")</f>
        <v/>
      </c>
    </row>
    <row r="216" ht="15" customHeight="1">
      <c r="A216" t="inlineStr">
        <is>
          <t>A 61319-2021</t>
        </is>
      </c>
      <c r="B216" s="1" t="n">
        <v>44498</v>
      </c>
      <c r="C216" s="1" t="n">
        <v>45925</v>
      </c>
      <c r="D216" t="inlineStr">
        <is>
          <t>KALMAR LÄN</t>
        </is>
      </c>
      <c r="E216" t="inlineStr">
        <is>
          <t>VÄSTERVIK</t>
        </is>
      </c>
      <c r="G216" t="n">
        <v>2.2</v>
      </c>
      <c r="H216" t="n">
        <v>1</v>
      </c>
      <c r="I216" t="n">
        <v>1</v>
      </c>
      <c r="J216" t="n">
        <v>0</v>
      </c>
      <c r="K216" t="n">
        <v>0</v>
      </c>
      <c r="L216" t="n">
        <v>0</v>
      </c>
      <c r="M216" t="n">
        <v>0</v>
      </c>
      <c r="N216" t="n">
        <v>0</v>
      </c>
      <c r="O216" t="n">
        <v>0</v>
      </c>
      <c r="P216" t="n">
        <v>0</v>
      </c>
      <c r="Q216" t="n">
        <v>1</v>
      </c>
      <c r="R216" s="2" t="inlineStr">
        <is>
          <t>Ekoxe</t>
        </is>
      </c>
      <c r="S216">
        <f>HYPERLINK("https://klasma.github.io/Logging_0883/artfynd/A 61319-2021 artfynd.xlsx", "A 61319-2021")</f>
        <v/>
      </c>
      <c r="T216">
        <f>HYPERLINK("https://klasma.github.io/Logging_0883/kartor/A 61319-2021 karta.png", "A 61319-2021")</f>
        <v/>
      </c>
      <c r="V216">
        <f>HYPERLINK("https://klasma.github.io/Logging_0883/klagomål/A 61319-2021 FSC-klagomål.docx", "A 61319-2021")</f>
        <v/>
      </c>
      <c r="W216">
        <f>HYPERLINK("https://klasma.github.io/Logging_0883/klagomålsmail/A 61319-2021 FSC-klagomål mail.docx", "A 61319-2021")</f>
        <v/>
      </c>
      <c r="X216">
        <f>HYPERLINK("https://klasma.github.io/Logging_0883/tillsyn/A 61319-2021 tillsynsbegäran.docx", "A 61319-2021")</f>
        <v/>
      </c>
      <c r="Y216">
        <f>HYPERLINK("https://klasma.github.io/Logging_0883/tillsynsmail/A 61319-2021 tillsynsbegäran mail.docx", "A 61319-2021")</f>
        <v/>
      </c>
    </row>
    <row r="217" ht="15" customHeight="1">
      <c r="A217" t="inlineStr">
        <is>
          <t>A 17952-2025</t>
        </is>
      </c>
      <c r="B217" s="1" t="n">
        <v>45760.85842592592</v>
      </c>
      <c r="C217" s="1" t="n">
        <v>45925</v>
      </c>
      <c r="D217" t="inlineStr">
        <is>
          <t>KALMAR LÄN</t>
        </is>
      </c>
      <c r="E217" t="inlineStr">
        <is>
          <t>VÄSTERVIK</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HYPERLINK("https://klasma.github.io/Logging_0883/artfynd/A 17952-2025 artfynd.xlsx", "A 17952-2025")</f>
        <v/>
      </c>
      <c r="T217">
        <f>HYPERLINK("https://klasma.github.io/Logging_0883/kartor/A 17952-2025 karta.png", "A 17952-2025")</f>
        <v/>
      </c>
      <c r="V217">
        <f>HYPERLINK("https://klasma.github.io/Logging_0883/klagomål/A 17952-2025 FSC-klagomål.docx", "A 17952-2025")</f>
        <v/>
      </c>
      <c r="W217">
        <f>HYPERLINK("https://klasma.github.io/Logging_0883/klagomålsmail/A 17952-2025 FSC-klagomål mail.docx", "A 17952-2025")</f>
        <v/>
      </c>
      <c r="X217">
        <f>HYPERLINK("https://klasma.github.io/Logging_0883/tillsyn/A 17952-2025 tillsynsbegäran.docx", "A 17952-2025")</f>
        <v/>
      </c>
      <c r="Y217">
        <f>HYPERLINK("https://klasma.github.io/Logging_0883/tillsynsmail/A 17952-2025 tillsynsbegäran mail.docx", "A 17952-2025")</f>
        <v/>
      </c>
    </row>
    <row r="218" ht="15" customHeight="1">
      <c r="A218" t="inlineStr">
        <is>
          <t>A 9265-2025</t>
        </is>
      </c>
      <c r="B218" s="1" t="n">
        <v>45714.61153935185</v>
      </c>
      <c r="C218" s="1" t="n">
        <v>45925</v>
      </c>
      <c r="D218" t="inlineStr">
        <is>
          <t>KALMAR LÄN</t>
        </is>
      </c>
      <c r="E218" t="inlineStr">
        <is>
          <t>VÄSTERVIK</t>
        </is>
      </c>
      <c r="F218" t="inlineStr">
        <is>
          <t>Sveaskog</t>
        </is>
      </c>
      <c r="G218" t="n">
        <v>2.2</v>
      </c>
      <c r="H218" t="n">
        <v>1</v>
      </c>
      <c r="I218" t="n">
        <v>0</v>
      </c>
      <c r="J218" t="n">
        <v>1</v>
      </c>
      <c r="K218" t="n">
        <v>0</v>
      </c>
      <c r="L218" t="n">
        <v>0</v>
      </c>
      <c r="M218" t="n">
        <v>0</v>
      </c>
      <c r="N218" t="n">
        <v>0</v>
      </c>
      <c r="O218" t="n">
        <v>1</v>
      </c>
      <c r="P218" t="n">
        <v>0</v>
      </c>
      <c r="Q218" t="n">
        <v>1</v>
      </c>
      <c r="R218" s="2" t="inlineStr">
        <is>
          <t>Havsörn</t>
        </is>
      </c>
      <c r="S218">
        <f>HYPERLINK("https://klasma.github.io/Logging_0883/artfynd/A 9265-2025 artfynd.xlsx", "A 9265-2025")</f>
        <v/>
      </c>
      <c r="T218">
        <f>HYPERLINK("https://klasma.github.io/Logging_0883/kartor/A 9265-2025 karta.png", "A 9265-2025")</f>
        <v/>
      </c>
      <c r="V218">
        <f>HYPERLINK("https://klasma.github.io/Logging_0883/klagomål/A 9265-2025 FSC-klagomål.docx", "A 9265-2025")</f>
        <v/>
      </c>
      <c r="W218">
        <f>HYPERLINK("https://klasma.github.io/Logging_0883/klagomålsmail/A 9265-2025 FSC-klagomål mail.docx", "A 9265-2025")</f>
        <v/>
      </c>
      <c r="X218">
        <f>HYPERLINK("https://klasma.github.io/Logging_0883/tillsyn/A 9265-2025 tillsynsbegäran.docx", "A 9265-2025")</f>
        <v/>
      </c>
      <c r="Y218">
        <f>HYPERLINK("https://klasma.github.io/Logging_0883/tillsynsmail/A 9265-2025 tillsynsbegäran mail.docx", "A 9265-2025")</f>
        <v/>
      </c>
      <c r="Z218">
        <f>HYPERLINK("https://klasma.github.io/Logging_0883/fåglar/A 9265-2025 prioriterade fågelarter.docx", "A 9265-2025")</f>
        <v/>
      </c>
    </row>
    <row r="219" ht="15" customHeight="1">
      <c r="A219" t="inlineStr">
        <is>
          <t>A 56439-2024</t>
        </is>
      </c>
      <c r="B219" s="1" t="n">
        <v>45625.4175</v>
      </c>
      <c r="C219" s="1" t="n">
        <v>45925</v>
      </c>
      <c r="D219" t="inlineStr">
        <is>
          <t>KALMAR LÄN</t>
        </is>
      </c>
      <c r="E219" t="inlineStr">
        <is>
          <t>VÄSTERVIK</t>
        </is>
      </c>
      <c r="F219" t="inlineStr">
        <is>
          <t>Övriga Aktiebolag</t>
        </is>
      </c>
      <c r="G219" t="n">
        <v>3.3</v>
      </c>
      <c r="H219" t="n">
        <v>0</v>
      </c>
      <c r="I219" t="n">
        <v>1</v>
      </c>
      <c r="J219" t="n">
        <v>0</v>
      </c>
      <c r="K219" t="n">
        <v>0</v>
      </c>
      <c r="L219" t="n">
        <v>0</v>
      </c>
      <c r="M219" t="n">
        <v>0</v>
      </c>
      <c r="N219" t="n">
        <v>0</v>
      </c>
      <c r="O219" t="n">
        <v>0</v>
      </c>
      <c r="P219" t="n">
        <v>0</v>
      </c>
      <c r="Q219" t="n">
        <v>1</v>
      </c>
      <c r="R219" s="2" t="inlineStr">
        <is>
          <t>Hasselticka</t>
        </is>
      </c>
      <c r="S219">
        <f>HYPERLINK("https://klasma.github.io/Logging_0883/artfynd/A 56439-2024 artfynd.xlsx", "A 56439-2024")</f>
        <v/>
      </c>
      <c r="T219">
        <f>HYPERLINK("https://klasma.github.io/Logging_0883/kartor/A 56439-2024 karta.png", "A 56439-2024")</f>
        <v/>
      </c>
      <c r="V219">
        <f>HYPERLINK("https://klasma.github.io/Logging_0883/klagomål/A 56439-2024 FSC-klagomål.docx", "A 56439-2024")</f>
        <v/>
      </c>
      <c r="W219">
        <f>HYPERLINK("https://klasma.github.io/Logging_0883/klagomålsmail/A 56439-2024 FSC-klagomål mail.docx", "A 56439-2024")</f>
        <v/>
      </c>
      <c r="X219">
        <f>HYPERLINK("https://klasma.github.io/Logging_0883/tillsyn/A 56439-2024 tillsynsbegäran.docx", "A 56439-2024")</f>
        <v/>
      </c>
      <c r="Y219">
        <f>HYPERLINK("https://klasma.github.io/Logging_0883/tillsynsmail/A 56439-2024 tillsynsbegäran mail.docx", "A 56439-2024")</f>
        <v/>
      </c>
    </row>
    <row r="220" ht="15" customHeight="1">
      <c r="A220" t="inlineStr">
        <is>
          <t>A 44635-2021</t>
        </is>
      </c>
      <c r="B220" s="1" t="n">
        <v>44437</v>
      </c>
      <c r="C220" s="1" t="n">
        <v>45925</v>
      </c>
      <c r="D220" t="inlineStr">
        <is>
          <t>KALMAR LÄN</t>
        </is>
      </c>
      <c r="E220" t="inlineStr">
        <is>
          <t>VÄSTERVIK</t>
        </is>
      </c>
      <c r="G220" t="n">
        <v>0.9</v>
      </c>
      <c r="H220" t="n">
        <v>0</v>
      </c>
      <c r="I220" t="n">
        <v>1</v>
      </c>
      <c r="J220" t="n">
        <v>0</v>
      </c>
      <c r="K220" t="n">
        <v>0</v>
      </c>
      <c r="L220" t="n">
        <v>0</v>
      </c>
      <c r="M220" t="n">
        <v>0</v>
      </c>
      <c r="N220" t="n">
        <v>0</v>
      </c>
      <c r="O220" t="n">
        <v>0</v>
      </c>
      <c r="P220" t="n">
        <v>0</v>
      </c>
      <c r="Q220" t="n">
        <v>1</v>
      </c>
      <c r="R220" s="2" t="inlineStr">
        <is>
          <t>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row>
    <row r="221" ht="15" customHeight="1">
      <c r="A221" t="inlineStr">
        <is>
          <t>A 28495-2023</t>
        </is>
      </c>
      <c r="B221" s="1" t="n">
        <v>45103</v>
      </c>
      <c r="C221" s="1" t="n">
        <v>45925</v>
      </c>
      <c r="D221" t="inlineStr">
        <is>
          <t>KALMAR LÄN</t>
        </is>
      </c>
      <c r="E221" t="inlineStr">
        <is>
          <t>VÄSTERVIK</t>
        </is>
      </c>
      <c r="G221" t="n">
        <v>3.1</v>
      </c>
      <c r="H221" t="n">
        <v>1</v>
      </c>
      <c r="I221" t="n">
        <v>0</v>
      </c>
      <c r="J221" t="n">
        <v>0</v>
      </c>
      <c r="K221" t="n">
        <v>1</v>
      </c>
      <c r="L221" t="n">
        <v>0</v>
      </c>
      <c r="M221" t="n">
        <v>0</v>
      </c>
      <c r="N221" t="n">
        <v>0</v>
      </c>
      <c r="O221" t="n">
        <v>1</v>
      </c>
      <c r="P221" t="n">
        <v>1</v>
      </c>
      <c r="Q221" t="n">
        <v>1</v>
      </c>
      <c r="R221" s="2" t="inlineStr">
        <is>
          <t>Knärot</t>
        </is>
      </c>
      <c r="S221">
        <f>HYPERLINK("https://klasma.github.io/Logging_0883/artfynd/A 28495-2023 artfynd.xlsx", "A 28495-2023")</f>
        <v/>
      </c>
      <c r="T221">
        <f>HYPERLINK("https://klasma.github.io/Logging_0883/kartor/A 28495-2023 karta.png", "A 28495-2023")</f>
        <v/>
      </c>
      <c r="U221">
        <f>HYPERLINK("https://klasma.github.io/Logging_0883/knärot/A 28495-2023 karta knärot.png", "A 28495-2023")</f>
        <v/>
      </c>
      <c r="V221">
        <f>HYPERLINK("https://klasma.github.io/Logging_0883/klagomål/A 28495-2023 FSC-klagomål.docx", "A 28495-2023")</f>
        <v/>
      </c>
      <c r="W221">
        <f>HYPERLINK("https://klasma.github.io/Logging_0883/klagomålsmail/A 28495-2023 FSC-klagomål mail.docx", "A 28495-2023")</f>
        <v/>
      </c>
      <c r="X221">
        <f>HYPERLINK("https://klasma.github.io/Logging_0883/tillsyn/A 28495-2023 tillsynsbegäran.docx", "A 28495-2023")</f>
        <v/>
      </c>
      <c r="Y221">
        <f>HYPERLINK("https://klasma.github.io/Logging_0883/tillsynsmail/A 28495-2023 tillsynsbegäran mail.docx", "A 28495-2023")</f>
        <v/>
      </c>
    </row>
    <row r="222" ht="15" customHeight="1">
      <c r="A222" t="inlineStr">
        <is>
          <t>A 14103-2025</t>
        </is>
      </c>
      <c r="B222" s="1" t="n">
        <v>45740.45232638889</v>
      </c>
      <c r="C222" s="1" t="n">
        <v>45925</v>
      </c>
      <c r="D222" t="inlineStr">
        <is>
          <t>KALMAR LÄN</t>
        </is>
      </c>
      <c r="E222" t="inlineStr">
        <is>
          <t>VÄSTERVIK</t>
        </is>
      </c>
      <c r="F222" t="inlineStr">
        <is>
          <t>Sveaskog</t>
        </is>
      </c>
      <c r="G222" t="n">
        <v>0.8</v>
      </c>
      <c r="H222" t="n">
        <v>1</v>
      </c>
      <c r="I222" t="n">
        <v>0</v>
      </c>
      <c r="J222" t="n">
        <v>0</v>
      </c>
      <c r="K222" t="n">
        <v>0</v>
      </c>
      <c r="L222" t="n">
        <v>0</v>
      </c>
      <c r="M222" t="n">
        <v>0</v>
      </c>
      <c r="N222" t="n">
        <v>0</v>
      </c>
      <c r="O222" t="n">
        <v>0</v>
      </c>
      <c r="P222" t="n">
        <v>0</v>
      </c>
      <c r="Q222" t="n">
        <v>1</v>
      </c>
      <c r="R222" s="2" t="inlineStr">
        <is>
          <t>Grönvit nattviol</t>
        </is>
      </c>
      <c r="S222">
        <f>HYPERLINK("https://klasma.github.io/Logging_0883/artfynd/A 14103-2025 artfynd.xlsx", "A 14103-2025")</f>
        <v/>
      </c>
      <c r="T222">
        <f>HYPERLINK("https://klasma.github.io/Logging_0883/kartor/A 14103-2025 karta.png", "A 14103-2025")</f>
        <v/>
      </c>
      <c r="V222">
        <f>HYPERLINK("https://klasma.github.io/Logging_0883/klagomål/A 14103-2025 FSC-klagomål.docx", "A 14103-2025")</f>
        <v/>
      </c>
      <c r="W222">
        <f>HYPERLINK("https://klasma.github.io/Logging_0883/klagomålsmail/A 14103-2025 FSC-klagomål mail.docx", "A 14103-2025")</f>
        <v/>
      </c>
      <c r="X222">
        <f>HYPERLINK("https://klasma.github.io/Logging_0883/tillsyn/A 14103-2025 tillsynsbegäran.docx", "A 14103-2025")</f>
        <v/>
      </c>
      <c r="Y222">
        <f>HYPERLINK("https://klasma.github.io/Logging_0883/tillsynsmail/A 14103-2025 tillsynsbegäran mail.docx", "A 14103-2025")</f>
        <v/>
      </c>
    </row>
    <row r="223" ht="15" customHeight="1">
      <c r="A223" t="inlineStr">
        <is>
          <t>A 59368-2023</t>
        </is>
      </c>
      <c r="B223" s="1" t="n">
        <v>45253</v>
      </c>
      <c r="C223" s="1" t="n">
        <v>45925</v>
      </c>
      <c r="D223" t="inlineStr">
        <is>
          <t>KALMAR LÄN</t>
        </is>
      </c>
      <c r="E223" t="inlineStr">
        <is>
          <t>VÄSTERVIK</t>
        </is>
      </c>
      <c r="G223" t="n">
        <v>2.4</v>
      </c>
      <c r="H223" t="n">
        <v>1</v>
      </c>
      <c r="I223" t="n">
        <v>0</v>
      </c>
      <c r="J223" t="n">
        <v>0</v>
      </c>
      <c r="K223" t="n">
        <v>1</v>
      </c>
      <c r="L223" t="n">
        <v>0</v>
      </c>
      <c r="M223" t="n">
        <v>0</v>
      </c>
      <c r="N223" t="n">
        <v>0</v>
      </c>
      <c r="O223" t="n">
        <v>1</v>
      </c>
      <c r="P223" t="n">
        <v>1</v>
      </c>
      <c r="Q223" t="n">
        <v>1</v>
      </c>
      <c r="R223" s="2" t="inlineStr">
        <is>
          <t>Knärot</t>
        </is>
      </c>
      <c r="S223">
        <f>HYPERLINK("https://klasma.github.io/Logging_0883/artfynd/A 59368-2023 artfynd.xlsx", "A 59368-2023")</f>
        <v/>
      </c>
      <c r="T223">
        <f>HYPERLINK("https://klasma.github.io/Logging_0883/kartor/A 59368-2023 karta.png", "A 59368-2023")</f>
        <v/>
      </c>
      <c r="U223">
        <f>HYPERLINK("https://klasma.github.io/Logging_0883/knärot/A 59368-2023 karta knärot.png", "A 59368-2023")</f>
        <v/>
      </c>
      <c r="V223">
        <f>HYPERLINK("https://klasma.github.io/Logging_0883/klagomål/A 59368-2023 FSC-klagomål.docx", "A 59368-2023")</f>
        <v/>
      </c>
      <c r="W223">
        <f>HYPERLINK("https://klasma.github.io/Logging_0883/klagomålsmail/A 59368-2023 FSC-klagomål mail.docx", "A 59368-2023")</f>
        <v/>
      </c>
      <c r="X223">
        <f>HYPERLINK("https://klasma.github.io/Logging_0883/tillsyn/A 59368-2023 tillsynsbegäran.docx", "A 59368-2023")</f>
        <v/>
      </c>
      <c r="Y223">
        <f>HYPERLINK("https://klasma.github.io/Logging_0883/tillsynsmail/A 59368-2023 tillsynsbegäran mail.docx", "A 59368-2023")</f>
        <v/>
      </c>
    </row>
    <row r="224" ht="15" customHeight="1">
      <c r="A224" t="inlineStr">
        <is>
          <t>A 6025-2024</t>
        </is>
      </c>
      <c r="B224" s="1" t="n">
        <v>45336</v>
      </c>
      <c r="C224" s="1" t="n">
        <v>45925</v>
      </c>
      <c r="D224" t="inlineStr">
        <is>
          <t>KALMAR LÄN</t>
        </is>
      </c>
      <c r="E224" t="inlineStr">
        <is>
          <t>VÄSTERVIK</t>
        </is>
      </c>
      <c r="G224" t="n">
        <v>2.8</v>
      </c>
      <c r="H224" t="n">
        <v>0</v>
      </c>
      <c r="I224" t="n">
        <v>0</v>
      </c>
      <c r="J224" t="n">
        <v>1</v>
      </c>
      <c r="K224" t="n">
        <v>0</v>
      </c>
      <c r="L224" t="n">
        <v>0</v>
      </c>
      <c r="M224" t="n">
        <v>0</v>
      </c>
      <c r="N224" t="n">
        <v>0</v>
      </c>
      <c r="O224" t="n">
        <v>1</v>
      </c>
      <c r="P224" t="n">
        <v>0</v>
      </c>
      <c r="Q224" t="n">
        <v>1</v>
      </c>
      <c r="R224" s="2" t="inlineStr">
        <is>
          <t>Tallticka</t>
        </is>
      </c>
      <c r="S224">
        <f>HYPERLINK("https://klasma.github.io/Logging_0883/artfynd/A 6025-2024 artfynd.xlsx", "A 6025-2024")</f>
        <v/>
      </c>
      <c r="T224">
        <f>HYPERLINK("https://klasma.github.io/Logging_0883/kartor/A 6025-2024 karta.png", "A 6025-2024")</f>
        <v/>
      </c>
      <c r="V224">
        <f>HYPERLINK("https://klasma.github.io/Logging_0883/klagomål/A 6025-2024 FSC-klagomål.docx", "A 6025-2024")</f>
        <v/>
      </c>
      <c r="W224">
        <f>HYPERLINK("https://klasma.github.io/Logging_0883/klagomålsmail/A 6025-2024 FSC-klagomål mail.docx", "A 6025-2024")</f>
        <v/>
      </c>
      <c r="X224">
        <f>HYPERLINK("https://klasma.github.io/Logging_0883/tillsyn/A 6025-2024 tillsynsbegäran.docx", "A 6025-2024")</f>
        <v/>
      </c>
      <c r="Y224">
        <f>HYPERLINK("https://klasma.github.io/Logging_0883/tillsynsmail/A 6025-2024 tillsynsbegäran mail.docx", "A 6025-2024")</f>
        <v/>
      </c>
    </row>
    <row r="225" ht="15" customHeight="1">
      <c r="A225" t="inlineStr">
        <is>
          <t>A 21409-2025</t>
        </is>
      </c>
      <c r="B225" s="1" t="n">
        <v>45782</v>
      </c>
      <c r="C225" s="1" t="n">
        <v>45925</v>
      </c>
      <c r="D225" t="inlineStr">
        <is>
          <t>KALMAR LÄN</t>
        </is>
      </c>
      <c r="E225" t="inlineStr">
        <is>
          <t>VÄSTERVIK</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21409-2025 artfynd.xlsx", "A 21409-2025")</f>
        <v/>
      </c>
      <c r="T225">
        <f>HYPERLINK("https://klasma.github.io/Logging_0883/kartor/A 21409-2025 karta.png", "A 21409-2025")</f>
        <v/>
      </c>
      <c r="V225">
        <f>HYPERLINK("https://klasma.github.io/Logging_0883/klagomål/A 21409-2025 FSC-klagomål.docx", "A 21409-2025")</f>
        <v/>
      </c>
      <c r="W225">
        <f>HYPERLINK("https://klasma.github.io/Logging_0883/klagomålsmail/A 21409-2025 FSC-klagomål mail.docx", "A 21409-2025")</f>
        <v/>
      </c>
      <c r="X225">
        <f>HYPERLINK("https://klasma.github.io/Logging_0883/tillsyn/A 21409-2025 tillsynsbegäran.docx", "A 21409-2025")</f>
        <v/>
      </c>
      <c r="Y225">
        <f>HYPERLINK("https://klasma.github.io/Logging_0883/tillsynsmail/A 21409-2025 tillsynsbegäran mail.docx", "A 21409-2025")</f>
        <v/>
      </c>
    </row>
    <row r="226" ht="15" customHeight="1">
      <c r="A226" t="inlineStr">
        <is>
          <t>A 32653-2023</t>
        </is>
      </c>
      <c r="B226" s="1" t="n">
        <v>45121</v>
      </c>
      <c r="C226" s="1" t="n">
        <v>45925</v>
      </c>
      <c r="D226" t="inlineStr">
        <is>
          <t>KALMAR LÄN</t>
        </is>
      </c>
      <c r="E226" t="inlineStr">
        <is>
          <t>VÄSTERVIK</t>
        </is>
      </c>
      <c r="G226" t="n">
        <v>1.4</v>
      </c>
      <c r="H226" t="n">
        <v>1</v>
      </c>
      <c r="I226" t="n">
        <v>0</v>
      </c>
      <c r="J226" t="n">
        <v>0</v>
      </c>
      <c r="K226" t="n">
        <v>1</v>
      </c>
      <c r="L226" t="n">
        <v>0</v>
      </c>
      <c r="M226" t="n">
        <v>0</v>
      </c>
      <c r="N226" t="n">
        <v>0</v>
      </c>
      <c r="O226" t="n">
        <v>1</v>
      </c>
      <c r="P226" t="n">
        <v>1</v>
      </c>
      <c r="Q226" t="n">
        <v>1</v>
      </c>
      <c r="R226" s="2" t="inlineStr">
        <is>
          <t>Knärot</t>
        </is>
      </c>
      <c r="S226">
        <f>HYPERLINK("https://klasma.github.io/Logging_0883/artfynd/A 32653-2023 artfynd.xlsx", "A 32653-2023")</f>
        <v/>
      </c>
      <c r="T226">
        <f>HYPERLINK("https://klasma.github.io/Logging_0883/kartor/A 32653-2023 karta.png", "A 32653-2023")</f>
        <v/>
      </c>
      <c r="U226">
        <f>HYPERLINK("https://klasma.github.io/Logging_0883/knärot/A 32653-2023 karta knärot.png", "A 32653-2023")</f>
        <v/>
      </c>
      <c r="V226">
        <f>HYPERLINK("https://klasma.github.io/Logging_0883/klagomål/A 32653-2023 FSC-klagomål.docx", "A 32653-2023")</f>
        <v/>
      </c>
      <c r="W226">
        <f>HYPERLINK("https://klasma.github.io/Logging_0883/klagomålsmail/A 32653-2023 FSC-klagomål mail.docx", "A 32653-2023")</f>
        <v/>
      </c>
      <c r="X226">
        <f>HYPERLINK("https://klasma.github.io/Logging_0883/tillsyn/A 32653-2023 tillsynsbegäran.docx", "A 32653-2023")</f>
        <v/>
      </c>
      <c r="Y226">
        <f>HYPERLINK("https://klasma.github.io/Logging_0883/tillsynsmail/A 32653-2023 tillsynsbegäran mail.docx", "A 32653-2023")</f>
        <v/>
      </c>
    </row>
    <row r="227" ht="15" customHeight="1">
      <c r="A227" t="inlineStr">
        <is>
          <t>A 21653-2025</t>
        </is>
      </c>
      <c r="B227" s="1" t="n">
        <v>45783.45039351852</v>
      </c>
      <c r="C227" s="1" t="n">
        <v>45925</v>
      </c>
      <c r="D227" t="inlineStr">
        <is>
          <t>KALMAR LÄN</t>
        </is>
      </c>
      <c r="E227" t="inlineStr">
        <is>
          <t>VÄSTERVIK</t>
        </is>
      </c>
      <c r="F227" t="inlineStr">
        <is>
          <t>Sveaskog</t>
        </is>
      </c>
      <c r="G227" t="n">
        <v>2.8</v>
      </c>
      <c r="H227" t="n">
        <v>1</v>
      </c>
      <c r="I227" t="n">
        <v>0</v>
      </c>
      <c r="J227" t="n">
        <v>1</v>
      </c>
      <c r="K227" t="n">
        <v>0</v>
      </c>
      <c r="L227" t="n">
        <v>0</v>
      </c>
      <c r="M227" t="n">
        <v>0</v>
      </c>
      <c r="N227" t="n">
        <v>0</v>
      </c>
      <c r="O227" t="n">
        <v>1</v>
      </c>
      <c r="P227" t="n">
        <v>0</v>
      </c>
      <c r="Q227" t="n">
        <v>1</v>
      </c>
      <c r="R227" s="2" t="inlineStr">
        <is>
          <t>Entita</t>
        </is>
      </c>
      <c r="S227">
        <f>HYPERLINK("https://klasma.github.io/Logging_0883/artfynd/A 21653-2025 artfynd.xlsx", "A 21653-2025")</f>
        <v/>
      </c>
      <c r="T227">
        <f>HYPERLINK("https://klasma.github.io/Logging_0883/kartor/A 21653-2025 karta.png", "A 21653-2025")</f>
        <v/>
      </c>
      <c r="V227">
        <f>HYPERLINK("https://klasma.github.io/Logging_0883/klagomål/A 21653-2025 FSC-klagomål.docx", "A 21653-2025")</f>
        <v/>
      </c>
      <c r="W227">
        <f>HYPERLINK("https://klasma.github.io/Logging_0883/klagomålsmail/A 21653-2025 FSC-klagomål mail.docx", "A 21653-2025")</f>
        <v/>
      </c>
      <c r="X227">
        <f>HYPERLINK("https://klasma.github.io/Logging_0883/tillsyn/A 21653-2025 tillsynsbegäran.docx", "A 21653-2025")</f>
        <v/>
      </c>
      <c r="Y227">
        <f>HYPERLINK("https://klasma.github.io/Logging_0883/tillsynsmail/A 21653-2025 tillsynsbegäran mail.docx", "A 21653-2025")</f>
        <v/>
      </c>
      <c r="Z227">
        <f>HYPERLINK("https://klasma.github.io/Logging_0883/fåglar/A 21653-2025 prioriterade fågelarter.docx", "A 21653-2025")</f>
        <v/>
      </c>
    </row>
    <row r="228" ht="15" customHeight="1">
      <c r="A228" t="inlineStr">
        <is>
          <t>A 11729-2023</t>
        </is>
      </c>
      <c r="B228" s="1" t="n">
        <v>44994</v>
      </c>
      <c r="C228" s="1" t="n">
        <v>45925</v>
      </c>
      <c r="D228" t="inlineStr">
        <is>
          <t>KALMAR LÄN</t>
        </is>
      </c>
      <c r="E228" t="inlineStr">
        <is>
          <t>VÄSTERVIK</t>
        </is>
      </c>
      <c r="F228" t="inlineStr">
        <is>
          <t>Sveaskog</t>
        </is>
      </c>
      <c r="G228" t="n">
        <v>4.1</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HYPERLINK("https://klasma.github.io/Logging_0883/artfynd/A 11729-2023 artfynd.xlsx", "A 11729-2023")</f>
        <v/>
      </c>
      <c r="T228">
        <f>HYPERLINK("https://klasma.github.io/Logging_0883/kartor/A 11729-2023 karta.png", "A 11729-2023")</f>
        <v/>
      </c>
      <c r="V228">
        <f>HYPERLINK("https://klasma.github.io/Logging_0883/klagomål/A 11729-2023 FSC-klagomål.docx", "A 11729-2023")</f>
        <v/>
      </c>
      <c r="W228">
        <f>HYPERLINK("https://klasma.github.io/Logging_0883/klagomålsmail/A 11729-2023 FSC-klagomål mail.docx", "A 11729-2023")</f>
        <v/>
      </c>
      <c r="X228">
        <f>HYPERLINK("https://klasma.github.io/Logging_0883/tillsyn/A 11729-2023 tillsynsbegäran.docx", "A 11729-2023")</f>
        <v/>
      </c>
      <c r="Y228">
        <f>HYPERLINK("https://klasma.github.io/Logging_0883/tillsynsmail/A 11729-2023 tillsynsbegäran mail.docx", "A 11729-2023")</f>
        <v/>
      </c>
    </row>
    <row r="229" ht="15" customHeight="1">
      <c r="A229" t="inlineStr">
        <is>
          <t>A 23186-2025</t>
        </is>
      </c>
      <c r="B229" s="1" t="n">
        <v>45791.44415509259</v>
      </c>
      <c r="C229" s="1" t="n">
        <v>45925</v>
      </c>
      <c r="D229" t="inlineStr">
        <is>
          <t>KALMAR LÄN</t>
        </is>
      </c>
      <c r="E229" t="inlineStr">
        <is>
          <t>VÄSTERVIK</t>
        </is>
      </c>
      <c r="G229" t="n">
        <v>1.4</v>
      </c>
      <c r="H229" t="n">
        <v>0</v>
      </c>
      <c r="I229" t="n">
        <v>0</v>
      </c>
      <c r="J229" t="n">
        <v>1</v>
      </c>
      <c r="K229" t="n">
        <v>0</v>
      </c>
      <c r="L229" t="n">
        <v>0</v>
      </c>
      <c r="M229" t="n">
        <v>0</v>
      </c>
      <c r="N229" t="n">
        <v>0</v>
      </c>
      <c r="O229" t="n">
        <v>1</v>
      </c>
      <c r="P229" t="n">
        <v>0</v>
      </c>
      <c r="Q229" t="n">
        <v>1</v>
      </c>
      <c r="R229" s="2" t="inlineStr">
        <is>
          <t>Krusfrö</t>
        </is>
      </c>
      <c r="S229">
        <f>HYPERLINK("https://klasma.github.io/Logging_0883/artfynd/A 23186-2025 artfynd.xlsx", "A 23186-2025")</f>
        <v/>
      </c>
      <c r="T229">
        <f>HYPERLINK("https://klasma.github.io/Logging_0883/kartor/A 23186-2025 karta.png", "A 23186-2025")</f>
        <v/>
      </c>
      <c r="V229">
        <f>HYPERLINK("https://klasma.github.io/Logging_0883/klagomål/A 23186-2025 FSC-klagomål.docx", "A 23186-2025")</f>
        <v/>
      </c>
      <c r="W229">
        <f>HYPERLINK("https://klasma.github.io/Logging_0883/klagomålsmail/A 23186-2025 FSC-klagomål mail.docx", "A 23186-2025")</f>
        <v/>
      </c>
      <c r="X229">
        <f>HYPERLINK("https://klasma.github.io/Logging_0883/tillsyn/A 23186-2025 tillsynsbegäran.docx", "A 23186-2025")</f>
        <v/>
      </c>
      <c r="Y229">
        <f>HYPERLINK("https://klasma.github.io/Logging_0883/tillsynsmail/A 23186-2025 tillsynsbegäran mail.docx", "A 23186-2025")</f>
        <v/>
      </c>
    </row>
    <row r="230" ht="15" customHeight="1">
      <c r="A230" t="inlineStr">
        <is>
          <t>A 23192-2025</t>
        </is>
      </c>
      <c r="B230" s="1" t="n">
        <v>45791.45371527778</v>
      </c>
      <c r="C230" s="1" t="n">
        <v>45925</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23192-2025 artfynd.xlsx", "A 23192-2025")</f>
        <v/>
      </c>
      <c r="T230">
        <f>HYPERLINK("https://klasma.github.io/Logging_0883/kartor/A 23192-2025 karta.png", "A 23192-2025")</f>
        <v/>
      </c>
      <c r="V230">
        <f>HYPERLINK("https://klasma.github.io/Logging_0883/klagomål/A 23192-2025 FSC-klagomål.docx", "A 23192-2025")</f>
        <v/>
      </c>
      <c r="W230">
        <f>HYPERLINK("https://klasma.github.io/Logging_0883/klagomålsmail/A 23192-2025 FSC-klagomål mail.docx", "A 23192-2025")</f>
        <v/>
      </c>
      <c r="X230">
        <f>HYPERLINK("https://klasma.github.io/Logging_0883/tillsyn/A 23192-2025 tillsynsbegäran.docx", "A 23192-2025")</f>
        <v/>
      </c>
      <c r="Y230">
        <f>HYPERLINK("https://klasma.github.io/Logging_0883/tillsynsmail/A 23192-2025 tillsynsbegäran mail.docx", "A 23192-2025")</f>
        <v/>
      </c>
      <c r="Z230">
        <f>HYPERLINK("https://klasma.github.io/Logging_0883/fåglar/A 23192-2025 prioriterade fågelarter.docx", "A 23192-2025")</f>
        <v/>
      </c>
    </row>
    <row r="231" ht="15" customHeight="1">
      <c r="A231" t="inlineStr">
        <is>
          <t>A 23199-2025</t>
        </is>
      </c>
      <c r="B231" s="1" t="n">
        <v>45791.45887731481</v>
      </c>
      <c r="C231" s="1" t="n">
        <v>45925</v>
      </c>
      <c r="D231" t="inlineStr">
        <is>
          <t>KALMAR LÄN</t>
        </is>
      </c>
      <c r="E231" t="inlineStr">
        <is>
          <t>VÄSTERVIK</t>
        </is>
      </c>
      <c r="G231" t="n">
        <v>2.1</v>
      </c>
      <c r="H231" t="n">
        <v>0</v>
      </c>
      <c r="I231" t="n">
        <v>1</v>
      </c>
      <c r="J231" t="n">
        <v>0</v>
      </c>
      <c r="K231" t="n">
        <v>0</v>
      </c>
      <c r="L231" t="n">
        <v>0</v>
      </c>
      <c r="M231" t="n">
        <v>0</v>
      </c>
      <c r="N231" t="n">
        <v>0</v>
      </c>
      <c r="O231" t="n">
        <v>0</v>
      </c>
      <c r="P231" t="n">
        <v>0</v>
      </c>
      <c r="Q231" t="n">
        <v>1</v>
      </c>
      <c r="R231" s="2" t="inlineStr">
        <is>
          <t>Blåmossa</t>
        </is>
      </c>
      <c r="S231">
        <f>HYPERLINK("https://klasma.github.io/Logging_0883/artfynd/A 23199-2025 artfynd.xlsx", "A 23199-2025")</f>
        <v/>
      </c>
      <c r="T231">
        <f>HYPERLINK("https://klasma.github.io/Logging_0883/kartor/A 23199-2025 karta.png", "A 23199-2025")</f>
        <v/>
      </c>
      <c r="V231">
        <f>HYPERLINK("https://klasma.github.io/Logging_0883/klagomål/A 23199-2025 FSC-klagomål.docx", "A 23199-2025")</f>
        <v/>
      </c>
      <c r="W231">
        <f>HYPERLINK("https://klasma.github.io/Logging_0883/klagomålsmail/A 23199-2025 FSC-klagomål mail.docx", "A 23199-2025")</f>
        <v/>
      </c>
      <c r="X231">
        <f>HYPERLINK("https://klasma.github.io/Logging_0883/tillsyn/A 23199-2025 tillsynsbegäran.docx", "A 23199-2025")</f>
        <v/>
      </c>
      <c r="Y231">
        <f>HYPERLINK("https://klasma.github.io/Logging_0883/tillsynsmail/A 23199-2025 tillsynsbegäran mail.docx", "A 23199-2025")</f>
        <v/>
      </c>
    </row>
    <row r="232" ht="15" customHeight="1">
      <c r="A232" t="inlineStr">
        <is>
          <t>A 33815-2023</t>
        </is>
      </c>
      <c r="B232" s="1" t="n">
        <v>45133.59306712963</v>
      </c>
      <c r="C232" s="1" t="n">
        <v>45925</v>
      </c>
      <c r="D232" t="inlineStr">
        <is>
          <t>KALMAR LÄN</t>
        </is>
      </c>
      <c r="E232" t="inlineStr">
        <is>
          <t>VÄSTERVIK</t>
        </is>
      </c>
      <c r="G232" t="n">
        <v>3.4</v>
      </c>
      <c r="H232" t="n">
        <v>0</v>
      </c>
      <c r="I232" t="n">
        <v>1</v>
      </c>
      <c r="J232" t="n">
        <v>0</v>
      </c>
      <c r="K232" t="n">
        <v>0</v>
      </c>
      <c r="L232" t="n">
        <v>0</v>
      </c>
      <c r="M232" t="n">
        <v>0</v>
      </c>
      <c r="N232" t="n">
        <v>0</v>
      </c>
      <c r="O232" t="n">
        <v>0</v>
      </c>
      <c r="P232" t="n">
        <v>0</v>
      </c>
      <c r="Q232" t="n">
        <v>1</v>
      </c>
      <c r="R232" s="2" t="inlineStr">
        <is>
          <t>Grönpyrola</t>
        </is>
      </c>
      <c r="S232">
        <f>HYPERLINK("https://klasma.github.io/Logging_0883/artfynd/A 33815-2023 artfynd.xlsx", "A 33815-2023")</f>
        <v/>
      </c>
      <c r="T232">
        <f>HYPERLINK("https://klasma.github.io/Logging_0883/kartor/A 33815-2023 karta.png", "A 33815-2023")</f>
        <v/>
      </c>
      <c r="V232">
        <f>HYPERLINK("https://klasma.github.io/Logging_0883/klagomål/A 33815-2023 FSC-klagomål.docx", "A 33815-2023")</f>
        <v/>
      </c>
      <c r="W232">
        <f>HYPERLINK("https://klasma.github.io/Logging_0883/klagomålsmail/A 33815-2023 FSC-klagomål mail.docx", "A 33815-2023")</f>
        <v/>
      </c>
      <c r="X232">
        <f>HYPERLINK("https://klasma.github.io/Logging_0883/tillsyn/A 33815-2023 tillsynsbegäran.docx", "A 33815-2023")</f>
        <v/>
      </c>
      <c r="Y232">
        <f>HYPERLINK("https://klasma.github.io/Logging_0883/tillsynsmail/A 33815-2023 tillsynsbegäran mail.docx", "A 33815-2023")</f>
        <v/>
      </c>
    </row>
    <row r="233" ht="15" customHeight="1">
      <c r="A233" t="inlineStr">
        <is>
          <t>A 33816-2023</t>
        </is>
      </c>
      <c r="B233" s="1" t="n">
        <v>45133.59490740741</v>
      </c>
      <c r="C233" s="1" t="n">
        <v>45925</v>
      </c>
      <c r="D233" t="inlineStr">
        <is>
          <t>KALMAR LÄN</t>
        </is>
      </c>
      <c r="E233" t="inlineStr">
        <is>
          <t>VÄSTERVIK</t>
        </is>
      </c>
      <c r="G233" t="n">
        <v>4.9</v>
      </c>
      <c r="H233" t="n">
        <v>0</v>
      </c>
      <c r="I233" t="n">
        <v>0</v>
      </c>
      <c r="J233" t="n">
        <v>1</v>
      </c>
      <c r="K233" t="n">
        <v>0</v>
      </c>
      <c r="L233" t="n">
        <v>0</v>
      </c>
      <c r="M233" t="n">
        <v>0</v>
      </c>
      <c r="N233" t="n">
        <v>0</v>
      </c>
      <c r="O233" t="n">
        <v>1</v>
      </c>
      <c r="P233" t="n">
        <v>0</v>
      </c>
      <c r="Q233" t="n">
        <v>1</v>
      </c>
      <c r="R233" s="2" t="inlineStr">
        <is>
          <t>Tallticka</t>
        </is>
      </c>
      <c r="S233">
        <f>HYPERLINK("https://klasma.github.io/Logging_0883/artfynd/A 33816-2023 artfynd.xlsx", "A 33816-2023")</f>
        <v/>
      </c>
      <c r="T233">
        <f>HYPERLINK("https://klasma.github.io/Logging_0883/kartor/A 33816-2023 karta.png", "A 33816-2023")</f>
        <v/>
      </c>
      <c r="V233">
        <f>HYPERLINK("https://klasma.github.io/Logging_0883/klagomål/A 33816-2023 FSC-klagomål.docx", "A 33816-2023")</f>
        <v/>
      </c>
      <c r="W233">
        <f>HYPERLINK("https://klasma.github.io/Logging_0883/klagomålsmail/A 33816-2023 FSC-klagomål mail.docx", "A 33816-2023")</f>
        <v/>
      </c>
      <c r="X233">
        <f>HYPERLINK("https://klasma.github.io/Logging_0883/tillsyn/A 33816-2023 tillsynsbegäran.docx", "A 33816-2023")</f>
        <v/>
      </c>
      <c r="Y233">
        <f>HYPERLINK("https://klasma.github.io/Logging_0883/tillsynsmail/A 33816-2023 tillsynsbegäran mail.docx", "A 33816-2023")</f>
        <v/>
      </c>
    </row>
    <row r="234" ht="15" customHeight="1">
      <c r="A234" t="inlineStr">
        <is>
          <t>A 1775-2025</t>
        </is>
      </c>
      <c r="B234" s="1" t="n">
        <v>45671.44059027778</v>
      </c>
      <c r="C234" s="1" t="n">
        <v>45925</v>
      </c>
      <c r="D234" t="inlineStr">
        <is>
          <t>KALMAR LÄN</t>
        </is>
      </c>
      <c r="E234" t="inlineStr">
        <is>
          <t>VÄSTERVIK</t>
        </is>
      </c>
      <c r="G234" t="n">
        <v>0.9</v>
      </c>
      <c r="H234" t="n">
        <v>1</v>
      </c>
      <c r="I234" t="n">
        <v>0</v>
      </c>
      <c r="J234" t="n">
        <v>0</v>
      </c>
      <c r="K234" t="n">
        <v>0</v>
      </c>
      <c r="L234" t="n">
        <v>0</v>
      </c>
      <c r="M234" t="n">
        <v>0</v>
      </c>
      <c r="N234" t="n">
        <v>0</v>
      </c>
      <c r="O234" t="n">
        <v>0</v>
      </c>
      <c r="P234" t="n">
        <v>0</v>
      </c>
      <c r="Q234" t="n">
        <v>1</v>
      </c>
      <c r="R234" s="2" t="inlineStr">
        <is>
          <t>Kungsfågel</t>
        </is>
      </c>
      <c r="S234">
        <f>HYPERLINK("https://klasma.github.io/Logging_0883/artfynd/A 1775-2025 artfynd.xlsx", "A 1775-2025")</f>
        <v/>
      </c>
      <c r="T234">
        <f>HYPERLINK("https://klasma.github.io/Logging_0883/kartor/A 1775-2025 karta.png", "A 1775-2025")</f>
        <v/>
      </c>
      <c r="V234">
        <f>HYPERLINK("https://klasma.github.io/Logging_0883/klagomål/A 1775-2025 FSC-klagomål.docx", "A 1775-2025")</f>
        <v/>
      </c>
      <c r="W234">
        <f>HYPERLINK("https://klasma.github.io/Logging_0883/klagomålsmail/A 1775-2025 FSC-klagomål mail.docx", "A 1775-2025")</f>
        <v/>
      </c>
      <c r="X234">
        <f>HYPERLINK("https://klasma.github.io/Logging_0883/tillsyn/A 1775-2025 tillsynsbegäran.docx", "A 1775-2025")</f>
        <v/>
      </c>
      <c r="Y234">
        <f>HYPERLINK("https://klasma.github.io/Logging_0883/tillsynsmail/A 1775-2025 tillsynsbegäran mail.docx", "A 1775-2025")</f>
        <v/>
      </c>
      <c r="Z234">
        <f>HYPERLINK("https://klasma.github.io/Logging_0883/fåglar/A 1775-2025 prioriterade fågelarter.docx", "A 1775-2025")</f>
        <v/>
      </c>
    </row>
    <row r="235" ht="15" customHeight="1">
      <c r="A235" t="inlineStr">
        <is>
          <t>A 43788-2023</t>
        </is>
      </c>
      <c r="B235" s="1" t="n">
        <v>45187.53707175926</v>
      </c>
      <c r="C235" s="1" t="n">
        <v>45925</v>
      </c>
      <c r="D235" t="inlineStr">
        <is>
          <t>KALMAR LÄN</t>
        </is>
      </c>
      <c r="E235" t="inlineStr">
        <is>
          <t>VÄSTERVIK</t>
        </is>
      </c>
      <c r="G235" t="n">
        <v>4.5</v>
      </c>
      <c r="H235" t="n">
        <v>0</v>
      </c>
      <c r="I235" t="n">
        <v>0</v>
      </c>
      <c r="J235" t="n">
        <v>1</v>
      </c>
      <c r="K235" t="n">
        <v>0</v>
      </c>
      <c r="L235" t="n">
        <v>0</v>
      </c>
      <c r="M235" t="n">
        <v>0</v>
      </c>
      <c r="N235" t="n">
        <v>0</v>
      </c>
      <c r="O235" t="n">
        <v>1</v>
      </c>
      <c r="P235" t="n">
        <v>0</v>
      </c>
      <c r="Q235" t="n">
        <v>1</v>
      </c>
      <c r="R235" s="2" t="inlineStr">
        <is>
          <t>Motaggsvamp</t>
        </is>
      </c>
      <c r="S235">
        <f>HYPERLINK("https://klasma.github.io/Logging_0883/artfynd/A 43788-2023 artfynd.xlsx", "A 43788-2023")</f>
        <v/>
      </c>
      <c r="T235">
        <f>HYPERLINK("https://klasma.github.io/Logging_0883/kartor/A 43788-2023 karta.png", "A 43788-2023")</f>
        <v/>
      </c>
      <c r="V235">
        <f>HYPERLINK("https://klasma.github.io/Logging_0883/klagomål/A 43788-2023 FSC-klagomål.docx", "A 43788-2023")</f>
        <v/>
      </c>
      <c r="W235">
        <f>HYPERLINK("https://klasma.github.io/Logging_0883/klagomålsmail/A 43788-2023 FSC-klagomål mail.docx", "A 43788-2023")</f>
        <v/>
      </c>
      <c r="X235">
        <f>HYPERLINK("https://klasma.github.io/Logging_0883/tillsyn/A 43788-2023 tillsynsbegäran.docx", "A 43788-2023")</f>
        <v/>
      </c>
      <c r="Y235">
        <f>HYPERLINK("https://klasma.github.io/Logging_0883/tillsynsmail/A 43788-2023 tillsynsbegäran mail.docx", "A 43788-2023")</f>
        <v/>
      </c>
    </row>
    <row r="236" ht="15" customHeight="1">
      <c r="A236" t="inlineStr">
        <is>
          <t>A 24884-2025</t>
        </is>
      </c>
      <c r="B236" s="1" t="n">
        <v>45799.50620370371</v>
      </c>
      <c r="C236" s="1" t="n">
        <v>45925</v>
      </c>
      <c r="D236" t="inlineStr">
        <is>
          <t>KALMAR LÄN</t>
        </is>
      </c>
      <c r="E236" t="inlineStr">
        <is>
          <t>VÄSTERVIK</t>
        </is>
      </c>
      <c r="F236" t="inlineStr">
        <is>
          <t>Holmen skog AB</t>
        </is>
      </c>
      <c r="G236" t="n">
        <v>5.1</v>
      </c>
      <c r="H236" t="n">
        <v>0</v>
      </c>
      <c r="I236" t="n">
        <v>1</v>
      </c>
      <c r="J236" t="n">
        <v>0</v>
      </c>
      <c r="K236" t="n">
        <v>0</v>
      </c>
      <c r="L236" t="n">
        <v>0</v>
      </c>
      <c r="M236" t="n">
        <v>0</v>
      </c>
      <c r="N236" t="n">
        <v>0</v>
      </c>
      <c r="O236" t="n">
        <v>0</v>
      </c>
      <c r="P236" t="n">
        <v>0</v>
      </c>
      <c r="Q236" t="n">
        <v>1</v>
      </c>
      <c r="R236" s="2" t="inlineStr">
        <is>
          <t>Strävlosta</t>
        </is>
      </c>
      <c r="S236">
        <f>HYPERLINK("https://klasma.github.io/Logging_0883/artfynd/A 24884-2025 artfynd.xlsx", "A 24884-2025")</f>
        <v/>
      </c>
      <c r="T236">
        <f>HYPERLINK("https://klasma.github.io/Logging_0883/kartor/A 24884-2025 karta.png", "A 24884-2025")</f>
        <v/>
      </c>
      <c r="V236">
        <f>HYPERLINK("https://klasma.github.io/Logging_0883/klagomål/A 24884-2025 FSC-klagomål.docx", "A 24884-2025")</f>
        <v/>
      </c>
      <c r="W236">
        <f>HYPERLINK("https://klasma.github.io/Logging_0883/klagomålsmail/A 24884-2025 FSC-klagomål mail.docx", "A 24884-2025")</f>
        <v/>
      </c>
      <c r="X236">
        <f>HYPERLINK("https://klasma.github.io/Logging_0883/tillsyn/A 24884-2025 tillsynsbegäran.docx", "A 24884-2025")</f>
        <v/>
      </c>
      <c r="Y236">
        <f>HYPERLINK("https://klasma.github.io/Logging_0883/tillsynsmail/A 24884-2025 tillsynsbegäran mail.docx", "A 24884-2025")</f>
        <v/>
      </c>
    </row>
    <row r="237" ht="15" customHeight="1">
      <c r="A237" t="inlineStr">
        <is>
          <t>A 14082-2025</t>
        </is>
      </c>
      <c r="B237" s="1" t="n">
        <v>45740.43934027778</v>
      </c>
      <c r="C237" s="1" t="n">
        <v>45925</v>
      </c>
      <c r="D237" t="inlineStr">
        <is>
          <t>KALMAR LÄN</t>
        </is>
      </c>
      <c r="E237" t="inlineStr">
        <is>
          <t>VÄSTERVIK</t>
        </is>
      </c>
      <c r="F237" t="inlineStr">
        <is>
          <t>Sveaskog</t>
        </is>
      </c>
      <c r="G237" t="n">
        <v>1.2</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HYPERLINK("https://klasma.github.io/Logging_0883/artfynd/A 14082-2025 artfynd.xlsx", "A 14082-2025")</f>
        <v/>
      </c>
      <c r="T237">
        <f>HYPERLINK("https://klasma.github.io/Logging_0883/kartor/A 14082-2025 karta.png", "A 14082-2025")</f>
        <v/>
      </c>
      <c r="V237">
        <f>HYPERLINK("https://klasma.github.io/Logging_0883/klagomål/A 14082-2025 FSC-klagomål.docx", "A 14082-2025")</f>
        <v/>
      </c>
      <c r="W237">
        <f>HYPERLINK("https://klasma.github.io/Logging_0883/klagomålsmail/A 14082-2025 FSC-klagomål mail.docx", "A 14082-2025")</f>
        <v/>
      </c>
      <c r="X237">
        <f>HYPERLINK("https://klasma.github.io/Logging_0883/tillsyn/A 14082-2025 tillsynsbegäran.docx", "A 14082-2025")</f>
        <v/>
      </c>
      <c r="Y237">
        <f>HYPERLINK("https://klasma.github.io/Logging_0883/tillsynsmail/A 14082-2025 tillsynsbegäran mail.docx", "A 14082-2025")</f>
        <v/>
      </c>
    </row>
    <row r="238" ht="15" customHeight="1">
      <c r="A238" t="inlineStr">
        <is>
          <t>A 26516-2025</t>
        </is>
      </c>
      <c r="B238" s="1" t="n">
        <v>45807.55402777778</v>
      </c>
      <c r="C238" s="1" t="n">
        <v>45925</v>
      </c>
      <c r="D238" t="inlineStr">
        <is>
          <t>KALMAR LÄN</t>
        </is>
      </c>
      <c r="E238" t="inlineStr">
        <is>
          <t>VÄSTERVIK</t>
        </is>
      </c>
      <c r="G238" t="n">
        <v>1.3</v>
      </c>
      <c r="H238" t="n">
        <v>1</v>
      </c>
      <c r="I238" t="n">
        <v>0</v>
      </c>
      <c r="J238" t="n">
        <v>1</v>
      </c>
      <c r="K238" t="n">
        <v>0</v>
      </c>
      <c r="L238" t="n">
        <v>0</v>
      </c>
      <c r="M238" t="n">
        <v>0</v>
      </c>
      <c r="N238" t="n">
        <v>0</v>
      </c>
      <c r="O238" t="n">
        <v>1</v>
      </c>
      <c r="P238" t="n">
        <v>0</v>
      </c>
      <c r="Q238" t="n">
        <v>1</v>
      </c>
      <c r="R238" s="2" t="inlineStr">
        <is>
          <t>Grönsångare</t>
        </is>
      </c>
      <c r="S238">
        <f>HYPERLINK("https://klasma.github.io/Logging_0883/artfynd/A 26516-2025 artfynd.xlsx", "A 26516-2025")</f>
        <v/>
      </c>
      <c r="T238">
        <f>HYPERLINK("https://klasma.github.io/Logging_0883/kartor/A 26516-2025 karta.png", "A 26516-2025")</f>
        <v/>
      </c>
      <c r="V238">
        <f>HYPERLINK("https://klasma.github.io/Logging_0883/klagomål/A 26516-2025 FSC-klagomål.docx", "A 26516-2025")</f>
        <v/>
      </c>
      <c r="W238">
        <f>HYPERLINK("https://klasma.github.io/Logging_0883/klagomålsmail/A 26516-2025 FSC-klagomål mail.docx", "A 26516-2025")</f>
        <v/>
      </c>
      <c r="X238">
        <f>HYPERLINK("https://klasma.github.io/Logging_0883/tillsyn/A 26516-2025 tillsynsbegäran.docx", "A 26516-2025")</f>
        <v/>
      </c>
      <c r="Y238">
        <f>HYPERLINK("https://klasma.github.io/Logging_0883/tillsynsmail/A 26516-2025 tillsynsbegäran mail.docx", "A 26516-2025")</f>
        <v/>
      </c>
      <c r="Z238">
        <f>HYPERLINK("https://klasma.github.io/Logging_0883/fåglar/A 26516-2025 prioriterade fågelarter.docx", "A 26516-2025")</f>
        <v/>
      </c>
    </row>
    <row r="239" ht="15" customHeight="1">
      <c r="A239" t="inlineStr">
        <is>
          <t>A 27426-2025</t>
        </is>
      </c>
      <c r="B239" s="1" t="n">
        <v>45813</v>
      </c>
      <c r="C239" s="1" t="n">
        <v>45925</v>
      </c>
      <c r="D239" t="inlineStr">
        <is>
          <t>KALMAR LÄN</t>
        </is>
      </c>
      <c r="E239" t="inlineStr">
        <is>
          <t>VÄSTERVIK</t>
        </is>
      </c>
      <c r="G239" t="n">
        <v>2</v>
      </c>
      <c r="H239" t="n">
        <v>0</v>
      </c>
      <c r="I239" t="n">
        <v>1</v>
      </c>
      <c r="J239" t="n">
        <v>0</v>
      </c>
      <c r="K239" t="n">
        <v>0</v>
      </c>
      <c r="L239" t="n">
        <v>0</v>
      </c>
      <c r="M239" t="n">
        <v>0</v>
      </c>
      <c r="N239" t="n">
        <v>0</v>
      </c>
      <c r="O239" t="n">
        <v>0</v>
      </c>
      <c r="P239" t="n">
        <v>0</v>
      </c>
      <c r="Q239" t="n">
        <v>1</v>
      </c>
      <c r="R239" s="2" t="inlineStr">
        <is>
          <t>Vätteros</t>
        </is>
      </c>
      <c r="S239">
        <f>HYPERLINK("https://klasma.github.io/Logging_0883/artfynd/A 27426-2025 artfynd.xlsx", "A 27426-2025")</f>
        <v/>
      </c>
      <c r="T239">
        <f>HYPERLINK("https://klasma.github.io/Logging_0883/kartor/A 27426-2025 karta.png", "A 27426-2025")</f>
        <v/>
      </c>
      <c r="V239">
        <f>HYPERLINK("https://klasma.github.io/Logging_0883/klagomål/A 27426-2025 FSC-klagomål.docx", "A 27426-2025")</f>
        <v/>
      </c>
      <c r="W239">
        <f>HYPERLINK("https://klasma.github.io/Logging_0883/klagomålsmail/A 27426-2025 FSC-klagomål mail.docx", "A 27426-2025")</f>
        <v/>
      </c>
      <c r="X239">
        <f>HYPERLINK("https://klasma.github.io/Logging_0883/tillsyn/A 27426-2025 tillsynsbegäran.docx", "A 27426-2025")</f>
        <v/>
      </c>
      <c r="Y239">
        <f>HYPERLINK("https://klasma.github.io/Logging_0883/tillsynsmail/A 27426-2025 tillsynsbegäran mail.docx", "A 27426-2025")</f>
        <v/>
      </c>
    </row>
    <row r="240" ht="15" customHeight="1">
      <c r="A240" t="inlineStr">
        <is>
          <t>A 40924-2022</t>
        </is>
      </c>
      <c r="B240" s="1" t="n">
        <v>44825</v>
      </c>
      <c r="C240" s="1" t="n">
        <v>45925</v>
      </c>
      <c r="D240" t="inlineStr">
        <is>
          <t>KALMAR LÄN</t>
        </is>
      </c>
      <c r="E240" t="inlineStr">
        <is>
          <t>VÄSTERVIK</t>
        </is>
      </c>
      <c r="F240" t="inlineStr">
        <is>
          <t>Sveaskog</t>
        </is>
      </c>
      <c r="G240" t="n">
        <v>0.5</v>
      </c>
      <c r="H240" t="n">
        <v>1</v>
      </c>
      <c r="I240" t="n">
        <v>0</v>
      </c>
      <c r="J240" t="n">
        <v>1</v>
      </c>
      <c r="K240" t="n">
        <v>0</v>
      </c>
      <c r="L240" t="n">
        <v>0</v>
      </c>
      <c r="M240" t="n">
        <v>0</v>
      </c>
      <c r="N240" t="n">
        <v>0</v>
      </c>
      <c r="O240" t="n">
        <v>1</v>
      </c>
      <c r="P240" t="n">
        <v>0</v>
      </c>
      <c r="Q240" t="n">
        <v>1</v>
      </c>
      <c r="R240" s="2" t="inlineStr">
        <is>
          <t>Barbastell</t>
        </is>
      </c>
      <c r="S240">
        <f>HYPERLINK("https://klasma.github.io/Logging_0883/artfynd/A 40924-2022 artfynd.xlsx", "A 40924-2022")</f>
        <v/>
      </c>
      <c r="T240">
        <f>HYPERLINK("https://klasma.github.io/Logging_0883/kartor/A 40924-2022 karta.png", "A 40924-2022")</f>
        <v/>
      </c>
      <c r="V240">
        <f>HYPERLINK("https://klasma.github.io/Logging_0883/klagomål/A 40924-2022 FSC-klagomål.docx", "A 40924-2022")</f>
        <v/>
      </c>
      <c r="W240">
        <f>HYPERLINK("https://klasma.github.io/Logging_0883/klagomålsmail/A 40924-2022 FSC-klagomål mail.docx", "A 40924-2022")</f>
        <v/>
      </c>
      <c r="X240">
        <f>HYPERLINK("https://klasma.github.io/Logging_0883/tillsyn/A 40924-2022 tillsynsbegäran.docx", "A 40924-2022")</f>
        <v/>
      </c>
      <c r="Y240">
        <f>HYPERLINK("https://klasma.github.io/Logging_0883/tillsynsmail/A 40924-2022 tillsynsbegäran mail.docx", "A 40924-2022")</f>
        <v/>
      </c>
    </row>
    <row r="241" ht="15" customHeight="1">
      <c r="A241" t="inlineStr">
        <is>
          <t>A 55360-2024</t>
        </is>
      </c>
      <c r="B241" s="1" t="n">
        <v>45621.8252199074</v>
      </c>
      <c r="C241" s="1" t="n">
        <v>45925</v>
      </c>
      <c r="D241" t="inlineStr">
        <is>
          <t>KALMAR LÄN</t>
        </is>
      </c>
      <c r="E241" t="inlineStr">
        <is>
          <t>VÄSTERVIK</t>
        </is>
      </c>
      <c r="F241" t="inlineStr">
        <is>
          <t>Sveaskog</t>
        </is>
      </c>
      <c r="G241" t="n">
        <v>11.1</v>
      </c>
      <c r="H241" t="n">
        <v>0</v>
      </c>
      <c r="I241" t="n">
        <v>0</v>
      </c>
      <c r="J241" t="n">
        <v>1</v>
      </c>
      <c r="K241" t="n">
        <v>0</v>
      </c>
      <c r="L241" t="n">
        <v>0</v>
      </c>
      <c r="M241" t="n">
        <v>0</v>
      </c>
      <c r="N241" t="n">
        <v>0</v>
      </c>
      <c r="O241" t="n">
        <v>1</v>
      </c>
      <c r="P241" t="n">
        <v>0</v>
      </c>
      <c r="Q241" t="n">
        <v>1</v>
      </c>
      <c r="R241" s="2" t="inlineStr">
        <is>
          <t>Vårstarr</t>
        </is>
      </c>
      <c r="S241">
        <f>HYPERLINK("https://klasma.github.io/Logging_0883/artfynd/A 55360-2024 artfynd.xlsx", "A 55360-2024")</f>
        <v/>
      </c>
      <c r="T241">
        <f>HYPERLINK("https://klasma.github.io/Logging_0883/kartor/A 55360-2024 karta.png", "A 55360-2024")</f>
        <v/>
      </c>
      <c r="V241">
        <f>HYPERLINK("https://klasma.github.io/Logging_0883/klagomål/A 55360-2024 FSC-klagomål.docx", "A 55360-2024")</f>
        <v/>
      </c>
      <c r="W241">
        <f>HYPERLINK("https://klasma.github.io/Logging_0883/klagomålsmail/A 55360-2024 FSC-klagomål mail.docx", "A 55360-2024")</f>
        <v/>
      </c>
      <c r="X241">
        <f>HYPERLINK("https://klasma.github.io/Logging_0883/tillsyn/A 55360-2024 tillsynsbegäran.docx", "A 55360-2024")</f>
        <v/>
      </c>
      <c r="Y241">
        <f>HYPERLINK("https://klasma.github.io/Logging_0883/tillsynsmail/A 55360-2024 tillsynsbegäran mail.docx", "A 55360-2024")</f>
        <v/>
      </c>
    </row>
    <row r="242" ht="15" customHeight="1">
      <c r="A242" t="inlineStr">
        <is>
          <t>A 51488-2024</t>
        </is>
      </c>
      <c r="B242" s="1" t="n">
        <v>45604</v>
      </c>
      <c r="C242" s="1" t="n">
        <v>45925</v>
      </c>
      <c r="D242" t="inlineStr">
        <is>
          <t>KALMAR LÄN</t>
        </is>
      </c>
      <c r="E242" t="inlineStr">
        <is>
          <t>VÄSTERVIK</t>
        </is>
      </c>
      <c r="F242" t="inlineStr">
        <is>
          <t>Övriga Aktiebolag</t>
        </is>
      </c>
      <c r="G242" t="n">
        <v>2.9</v>
      </c>
      <c r="H242" t="n">
        <v>1</v>
      </c>
      <c r="I242" t="n">
        <v>0</v>
      </c>
      <c r="J242" t="n">
        <v>1</v>
      </c>
      <c r="K242" t="n">
        <v>0</v>
      </c>
      <c r="L242" t="n">
        <v>0</v>
      </c>
      <c r="M242" t="n">
        <v>0</v>
      </c>
      <c r="N242" t="n">
        <v>0</v>
      </c>
      <c r="O242" t="n">
        <v>1</v>
      </c>
      <c r="P242" t="n">
        <v>0</v>
      </c>
      <c r="Q242" t="n">
        <v>1</v>
      </c>
      <c r="R242" s="2" t="inlineStr">
        <is>
          <t>Entita</t>
        </is>
      </c>
      <c r="S242">
        <f>HYPERLINK("https://klasma.github.io/Logging_0883/artfynd/A 51488-2024 artfynd.xlsx", "A 51488-2024")</f>
        <v/>
      </c>
      <c r="T242">
        <f>HYPERLINK("https://klasma.github.io/Logging_0883/kartor/A 51488-2024 karta.png", "A 51488-2024")</f>
        <v/>
      </c>
      <c r="V242">
        <f>HYPERLINK("https://klasma.github.io/Logging_0883/klagomål/A 51488-2024 FSC-klagomål.docx", "A 51488-2024")</f>
        <v/>
      </c>
      <c r="W242">
        <f>HYPERLINK("https://klasma.github.io/Logging_0883/klagomålsmail/A 51488-2024 FSC-klagomål mail.docx", "A 51488-2024")</f>
        <v/>
      </c>
      <c r="X242">
        <f>HYPERLINK("https://klasma.github.io/Logging_0883/tillsyn/A 51488-2024 tillsynsbegäran.docx", "A 51488-2024")</f>
        <v/>
      </c>
      <c r="Y242">
        <f>HYPERLINK("https://klasma.github.io/Logging_0883/tillsynsmail/A 51488-2024 tillsynsbegäran mail.docx", "A 51488-2024")</f>
        <v/>
      </c>
      <c r="Z242">
        <f>HYPERLINK("https://klasma.github.io/Logging_0883/fåglar/A 51488-2024 prioriterade fågelarter.docx", "A 51488-2024")</f>
        <v/>
      </c>
    </row>
    <row r="243" ht="15" customHeight="1">
      <c r="A243" t="inlineStr">
        <is>
          <t>A 9571-2025</t>
        </is>
      </c>
      <c r="B243" s="1" t="n">
        <v>45715.61996527778</v>
      </c>
      <c r="C243" s="1" t="n">
        <v>45925</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9571-2025 artfynd.xlsx", "A 9571-2025")</f>
        <v/>
      </c>
      <c r="T243">
        <f>HYPERLINK("https://klasma.github.io/Logging_0883/kartor/A 9571-2025 karta.png", "A 9571-2025")</f>
        <v/>
      </c>
      <c r="V243">
        <f>HYPERLINK("https://klasma.github.io/Logging_0883/klagomål/A 9571-2025 FSC-klagomål.docx", "A 9571-2025")</f>
        <v/>
      </c>
      <c r="W243">
        <f>HYPERLINK("https://klasma.github.io/Logging_0883/klagomålsmail/A 9571-2025 FSC-klagomål mail.docx", "A 9571-2025")</f>
        <v/>
      </c>
      <c r="X243">
        <f>HYPERLINK("https://klasma.github.io/Logging_0883/tillsyn/A 9571-2025 tillsynsbegäran.docx", "A 9571-2025")</f>
        <v/>
      </c>
      <c r="Y243">
        <f>HYPERLINK("https://klasma.github.io/Logging_0883/tillsynsmail/A 9571-2025 tillsynsbegäran mail.docx", "A 9571-2025")</f>
        <v/>
      </c>
    </row>
    <row r="244" ht="15" customHeight="1">
      <c r="A244" t="inlineStr">
        <is>
          <t>A 30794-2025</t>
        </is>
      </c>
      <c r="B244" s="1" t="n">
        <v>45831.63834490741</v>
      </c>
      <c r="C244" s="1" t="n">
        <v>45925</v>
      </c>
      <c r="D244" t="inlineStr">
        <is>
          <t>KALMAR LÄN</t>
        </is>
      </c>
      <c r="E244" t="inlineStr">
        <is>
          <t>VÄSTERVIK</t>
        </is>
      </c>
      <c r="G244" t="n">
        <v>4.8</v>
      </c>
      <c r="H244" t="n">
        <v>0</v>
      </c>
      <c r="I244" t="n">
        <v>0</v>
      </c>
      <c r="J244" t="n">
        <v>1</v>
      </c>
      <c r="K244" t="n">
        <v>0</v>
      </c>
      <c r="L244" t="n">
        <v>0</v>
      </c>
      <c r="M244" t="n">
        <v>0</v>
      </c>
      <c r="N244" t="n">
        <v>0</v>
      </c>
      <c r="O244" t="n">
        <v>1</v>
      </c>
      <c r="P244" t="n">
        <v>0</v>
      </c>
      <c r="Q244" t="n">
        <v>1</v>
      </c>
      <c r="R244" s="2" t="inlineStr">
        <is>
          <t>Tallticka</t>
        </is>
      </c>
      <c r="S244">
        <f>HYPERLINK("https://klasma.github.io/Logging_0883/artfynd/A 30794-2025 artfynd.xlsx", "A 30794-2025")</f>
        <v/>
      </c>
      <c r="T244">
        <f>HYPERLINK("https://klasma.github.io/Logging_0883/kartor/A 30794-2025 karta.png", "A 30794-2025")</f>
        <v/>
      </c>
      <c r="V244">
        <f>HYPERLINK("https://klasma.github.io/Logging_0883/klagomål/A 30794-2025 FSC-klagomål.docx", "A 30794-2025")</f>
        <v/>
      </c>
      <c r="W244">
        <f>HYPERLINK("https://klasma.github.io/Logging_0883/klagomålsmail/A 30794-2025 FSC-klagomål mail.docx", "A 30794-2025")</f>
        <v/>
      </c>
      <c r="X244">
        <f>HYPERLINK("https://klasma.github.io/Logging_0883/tillsyn/A 30794-2025 tillsynsbegäran.docx", "A 30794-2025")</f>
        <v/>
      </c>
      <c r="Y244">
        <f>HYPERLINK("https://klasma.github.io/Logging_0883/tillsynsmail/A 30794-2025 tillsynsbegäran mail.docx", "A 30794-2025")</f>
        <v/>
      </c>
    </row>
    <row r="245" ht="15" customHeight="1">
      <c r="A245" t="inlineStr">
        <is>
          <t>A 6634-2025</t>
        </is>
      </c>
      <c r="B245" s="1" t="n">
        <v>45700.38141203704</v>
      </c>
      <c r="C245" s="1" t="n">
        <v>45925</v>
      </c>
      <c r="D245" t="inlineStr">
        <is>
          <t>KALMAR LÄN</t>
        </is>
      </c>
      <c r="E245" t="inlineStr">
        <is>
          <t>VÄSTERVIK</t>
        </is>
      </c>
      <c r="G245" t="n">
        <v>2.2</v>
      </c>
      <c r="H245" t="n">
        <v>0</v>
      </c>
      <c r="I245" t="n">
        <v>1</v>
      </c>
      <c r="J245" t="n">
        <v>0</v>
      </c>
      <c r="K245" t="n">
        <v>0</v>
      </c>
      <c r="L245" t="n">
        <v>0</v>
      </c>
      <c r="M245" t="n">
        <v>0</v>
      </c>
      <c r="N245" t="n">
        <v>0</v>
      </c>
      <c r="O245" t="n">
        <v>0</v>
      </c>
      <c r="P245" t="n">
        <v>0</v>
      </c>
      <c r="Q245" t="n">
        <v>1</v>
      </c>
      <c r="R245" s="2" t="inlineStr">
        <is>
          <t>Ögonpyrola</t>
        </is>
      </c>
      <c r="S245">
        <f>HYPERLINK("https://klasma.github.io/Logging_0883/artfynd/A 6634-2025 artfynd.xlsx", "A 6634-2025")</f>
        <v/>
      </c>
      <c r="T245">
        <f>HYPERLINK("https://klasma.github.io/Logging_0883/kartor/A 6634-2025 karta.png", "A 6634-2025")</f>
        <v/>
      </c>
      <c r="V245">
        <f>HYPERLINK("https://klasma.github.io/Logging_0883/klagomål/A 6634-2025 FSC-klagomål.docx", "A 6634-2025")</f>
        <v/>
      </c>
      <c r="W245">
        <f>HYPERLINK("https://klasma.github.io/Logging_0883/klagomålsmail/A 6634-2025 FSC-klagomål mail.docx", "A 6634-2025")</f>
        <v/>
      </c>
      <c r="X245">
        <f>HYPERLINK("https://klasma.github.io/Logging_0883/tillsyn/A 6634-2025 tillsynsbegäran.docx", "A 6634-2025")</f>
        <v/>
      </c>
      <c r="Y245">
        <f>HYPERLINK("https://klasma.github.io/Logging_0883/tillsynsmail/A 6634-2025 tillsynsbegäran mail.docx", "A 6634-2025")</f>
        <v/>
      </c>
    </row>
    <row r="246" ht="15" customHeight="1">
      <c r="A246" t="inlineStr">
        <is>
          <t>A 46722-2023</t>
        </is>
      </c>
      <c r="B246" s="1" t="n">
        <v>45194</v>
      </c>
      <c r="C246" s="1" t="n">
        <v>45925</v>
      </c>
      <c r="D246" t="inlineStr">
        <is>
          <t>KALMAR LÄN</t>
        </is>
      </c>
      <c r="E246" t="inlineStr">
        <is>
          <t>VÄSTERVIK</t>
        </is>
      </c>
      <c r="G246" t="n">
        <v>0.9</v>
      </c>
      <c r="H246" t="n">
        <v>1</v>
      </c>
      <c r="I246" t="n">
        <v>0</v>
      </c>
      <c r="J246" t="n">
        <v>0</v>
      </c>
      <c r="K246" t="n">
        <v>1</v>
      </c>
      <c r="L246" t="n">
        <v>0</v>
      </c>
      <c r="M246" t="n">
        <v>0</v>
      </c>
      <c r="N246" t="n">
        <v>0</v>
      </c>
      <c r="O246" t="n">
        <v>1</v>
      </c>
      <c r="P246" t="n">
        <v>1</v>
      </c>
      <c r="Q246" t="n">
        <v>1</v>
      </c>
      <c r="R246" s="2" t="inlineStr">
        <is>
          <t>Knärot</t>
        </is>
      </c>
      <c r="S246">
        <f>HYPERLINK("https://klasma.github.io/Logging_0883/artfynd/A 46722-2023 artfynd.xlsx", "A 46722-2023")</f>
        <v/>
      </c>
      <c r="T246">
        <f>HYPERLINK("https://klasma.github.io/Logging_0883/kartor/A 46722-2023 karta.png", "A 46722-2023")</f>
        <v/>
      </c>
      <c r="U246">
        <f>HYPERLINK("https://klasma.github.io/Logging_0883/knärot/A 46722-2023 karta knärot.png", "A 46722-2023")</f>
        <v/>
      </c>
      <c r="V246">
        <f>HYPERLINK("https://klasma.github.io/Logging_0883/klagomål/A 46722-2023 FSC-klagomål.docx", "A 46722-2023")</f>
        <v/>
      </c>
      <c r="W246">
        <f>HYPERLINK("https://klasma.github.io/Logging_0883/klagomålsmail/A 46722-2023 FSC-klagomål mail.docx", "A 46722-2023")</f>
        <v/>
      </c>
      <c r="X246">
        <f>HYPERLINK("https://klasma.github.io/Logging_0883/tillsyn/A 46722-2023 tillsynsbegäran.docx", "A 46722-2023")</f>
        <v/>
      </c>
      <c r="Y246">
        <f>HYPERLINK("https://klasma.github.io/Logging_0883/tillsynsmail/A 46722-2023 tillsynsbegäran mail.docx", "A 46722-2023")</f>
        <v/>
      </c>
    </row>
    <row r="247" ht="15" customHeight="1">
      <c r="A247" t="inlineStr">
        <is>
          <t>A 3600-2025</t>
        </is>
      </c>
      <c r="B247" s="1" t="n">
        <v>45681.34420138889</v>
      </c>
      <c r="C247" s="1" t="n">
        <v>45925</v>
      </c>
      <c r="D247" t="inlineStr">
        <is>
          <t>KALMAR LÄN</t>
        </is>
      </c>
      <c r="E247" t="inlineStr">
        <is>
          <t>VÄSTERVIK</t>
        </is>
      </c>
      <c r="G247" t="n">
        <v>1</v>
      </c>
      <c r="H247" t="n">
        <v>1</v>
      </c>
      <c r="I247" t="n">
        <v>0</v>
      </c>
      <c r="J247" t="n">
        <v>1</v>
      </c>
      <c r="K247" t="n">
        <v>0</v>
      </c>
      <c r="L247" t="n">
        <v>0</v>
      </c>
      <c r="M247" t="n">
        <v>0</v>
      </c>
      <c r="N247" t="n">
        <v>0</v>
      </c>
      <c r="O247" t="n">
        <v>1</v>
      </c>
      <c r="P247" t="n">
        <v>0</v>
      </c>
      <c r="Q247" t="n">
        <v>1</v>
      </c>
      <c r="R247" s="2" t="inlineStr">
        <is>
          <t>Spillkråka</t>
        </is>
      </c>
      <c r="S247">
        <f>HYPERLINK("https://klasma.github.io/Logging_0883/artfynd/A 3600-2025 artfynd.xlsx", "A 3600-2025")</f>
        <v/>
      </c>
      <c r="T247">
        <f>HYPERLINK("https://klasma.github.io/Logging_0883/kartor/A 3600-2025 karta.png", "A 3600-2025")</f>
        <v/>
      </c>
      <c r="V247">
        <f>HYPERLINK("https://klasma.github.io/Logging_0883/klagomål/A 3600-2025 FSC-klagomål.docx", "A 3600-2025")</f>
        <v/>
      </c>
      <c r="W247">
        <f>HYPERLINK("https://klasma.github.io/Logging_0883/klagomålsmail/A 3600-2025 FSC-klagomål mail.docx", "A 3600-2025")</f>
        <v/>
      </c>
      <c r="X247">
        <f>HYPERLINK("https://klasma.github.io/Logging_0883/tillsyn/A 3600-2025 tillsynsbegäran.docx", "A 3600-2025")</f>
        <v/>
      </c>
      <c r="Y247">
        <f>HYPERLINK("https://klasma.github.io/Logging_0883/tillsynsmail/A 3600-2025 tillsynsbegäran mail.docx", "A 3600-2025")</f>
        <v/>
      </c>
      <c r="Z247">
        <f>HYPERLINK("https://klasma.github.io/Logging_0883/fåglar/A 3600-2025 prioriterade fågelarter.docx", "A 3600-2025")</f>
        <v/>
      </c>
    </row>
    <row r="248" ht="15" customHeight="1">
      <c r="A248" t="inlineStr">
        <is>
          <t>A 20233-2021</t>
        </is>
      </c>
      <c r="B248" s="1" t="n">
        <v>44314</v>
      </c>
      <c r="C248" s="1" t="n">
        <v>45925</v>
      </c>
      <c r="D248" t="inlineStr">
        <is>
          <t>KALMAR LÄN</t>
        </is>
      </c>
      <c r="E248" t="inlineStr">
        <is>
          <t>VÄSTERVIK</t>
        </is>
      </c>
      <c r="F248" t="inlineStr">
        <is>
          <t>Holmen skog AB</t>
        </is>
      </c>
      <c r="G248" t="n">
        <v>11.8</v>
      </c>
      <c r="H248" t="n">
        <v>0</v>
      </c>
      <c r="I248" t="n">
        <v>0</v>
      </c>
      <c r="J248" t="n">
        <v>1</v>
      </c>
      <c r="K248" t="n">
        <v>0</v>
      </c>
      <c r="L248" t="n">
        <v>0</v>
      </c>
      <c r="M248" t="n">
        <v>0</v>
      </c>
      <c r="N248" t="n">
        <v>0</v>
      </c>
      <c r="O248" t="n">
        <v>1</v>
      </c>
      <c r="P248" t="n">
        <v>0</v>
      </c>
      <c r="Q248" t="n">
        <v>1</v>
      </c>
      <c r="R248" s="2" t="inlineStr">
        <is>
          <t>Skogsklocka</t>
        </is>
      </c>
      <c r="S248">
        <f>HYPERLINK("https://klasma.github.io/Logging_0883/artfynd/A 20233-2021 artfynd.xlsx", "A 20233-2021")</f>
        <v/>
      </c>
      <c r="T248">
        <f>HYPERLINK("https://klasma.github.io/Logging_0883/kartor/A 20233-2021 karta.png", "A 20233-2021")</f>
        <v/>
      </c>
      <c r="V248">
        <f>HYPERLINK("https://klasma.github.io/Logging_0883/klagomål/A 20233-2021 FSC-klagomål.docx", "A 20233-2021")</f>
        <v/>
      </c>
      <c r="W248">
        <f>HYPERLINK("https://klasma.github.io/Logging_0883/klagomålsmail/A 20233-2021 FSC-klagomål mail.docx", "A 20233-2021")</f>
        <v/>
      </c>
      <c r="X248">
        <f>HYPERLINK("https://klasma.github.io/Logging_0883/tillsyn/A 20233-2021 tillsynsbegäran.docx", "A 20233-2021")</f>
        <v/>
      </c>
      <c r="Y248">
        <f>HYPERLINK("https://klasma.github.io/Logging_0883/tillsynsmail/A 20233-2021 tillsynsbegäran mail.docx", "A 20233-2021")</f>
        <v/>
      </c>
    </row>
    <row r="249" ht="15" customHeight="1">
      <c r="A249" t="inlineStr">
        <is>
          <t>A 33916-2025</t>
        </is>
      </c>
      <c r="B249" s="1" t="n">
        <v>45842.61306712963</v>
      </c>
      <c r="C249" s="1" t="n">
        <v>45925</v>
      </c>
      <c r="D249" t="inlineStr">
        <is>
          <t>KALMAR LÄN</t>
        </is>
      </c>
      <c r="E249" t="inlineStr">
        <is>
          <t>VÄSTERVIK</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HYPERLINK("https://klasma.github.io/Logging_0883/artfynd/A 33916-2025 artfynd.xlsx", "A 33916-2025")</f>
        <v/>
      </c>
      <c r="T249">
        <f>HYPERLINK("https://klasma.github.io/Logging_0883/kartor/A 33916-2025 karta.png", "A 33916-2025")</f>
        <v/>
      </c>
      <c r="V249">
        <f>HYPERLINK("https://klasma.github.io/Logging_0883/klagomål/A 33916-2025 FSC-klagomål.docx", "A 33916-2025")</f>
        <v/>
      </c>
      <c r="W249">
        <f>HYPERLINK("https://klasma.github.io/Logging_0883/klagomålsmail/A 33916-2025 FSC-klagomål mail.docx", "A 33916-2025")</f>
        <v/>
      </c>
      <c r="X249">
        <f>HYPERLINK("https://klasma.github.io/Logging_0883/tillsyn/A 33916-2025 tillsynsbegäran.docx", "A 33916-2025")</f>
        <v/>
      </c>
      <c r="Y249">
        <f>HYPERLINK("https://klasma.github.io/Logging_0883/tillsynsmail/A 33916-2025 tillsynsbegäran mail.docx", "A 33916-2025")</f>
        <v/>
      </c>
      <c r="Z249">
        <f>HYPERLINK("https://klasma.github.io/Logging_0883/fåglar/A 33916-2025 prioriterade fågelarter.docx", "A 33916-2025")</f>
        <v/>
      </c>
    </row>
    <row r="250" ht="15" customHeight="1">
      <c r="A250" t="inlineStr">
        <is>
          <t>A 11165-2024</t>
        </is>
      </c>
      <c r="B250" s="1" t="n">
        <v>45371</v>
      </c>
      <c r="C250" s="1" t="n">
        <v>45925</v>
      </c>
      <c r="D250" t="inlineStr">
        <is>
          <t>KALMAR LÄN</t>
        </is>
      </c>
      <c r="E250" t="inlineStr">
        <is>
          <t>VÄSTERVIK</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HYPERLINK("https://klasma.github.io/Logging_0883/artfynd/A 11165-2024 artfynd.xlsx", "A 11165-2024")</f>
        <v/>
      </c>
      <c r="T250">
        <f>HYPERLINK("https://klasma.github.io/Logging_0883/kartor/A 11165-2024 karta.png", "A 11165-2024")</f>
        <v/>
      </c>
      <c r="V250">
        <f>HYPERLINK("https://klasma.github.io/Logging_0883/klagomål/A 11165-2024 FSC-klagomål.docx", "A 11165-2024")</f>
        <v/>
      </c>
      <c r="W250">
        <f>HYPERLINK("https://klasma.github.io/Logging_0883/klagomålsmail/A 11165-2024 FSC-klagomål mail.docx", "A 11165-2024")</f>
        <v/>
      </c>
      <c r="X250">
        <f>HYPERLINK("https://klasma.github.io/Logging_0883/tillsyn/A 11165-2024 tillsynsbegäran.docx", "A 11165-2024")</f>
        <v/>
      </c>
      <c r="Y250">
        <f>HYPERLINK("https://klasma.github.io/Logging_0883/tillsynsmail/A 11165-2024 tillsynsbegäran mail.docx", "A 11165-2024")</f>
        <v/>
      </c>
      <c r="Z250">
        <f>HYPERLINK("https://klasma.github.io/Logging_0883/fåglar/A 11165-2024 prioriterade fågelarter.docx", "A 11165-2024")</f>
        <v/>
      </c>
    </row>
    <row r="251" ht="15" customHeight="1">
      <c r="A251" t="inlineStr">
        <is>
          <t>A 3673-2025</t>
        </is>
      </c>
      <c r="B251" s="1" t="n">
        <v>45681.43706018518</v>
      </c>
      <c r="C251" s="1" t="n">
        <v>45925</v>
      </c>
      <c r="D251" t="inlineStr">
        <is>
          <t>KALMAR LÄN</t>
        </is>
      </c>
      <c r="E251" t="inlineStr">
        <is>
          <t>VÄSTERVIK</t>
        </is>
      </c>
      <c r="G251" t="n">
        <v>1.1</v>
      </c>
      <c r="H251" t="n">
        <v>0</v>
      </c>
      <c r="I251" t="n">
        <v>1</v>
      </c>
      <c r="J251" t="n">
        <v>0</v>
      </c>
      <c r="K251" t="n">
        <v>0</v>
      </c>
      <c r="L251" t="n">
        <v>0</v>
      </c>
      <c r="M251" t="n">
        <v>0</v>
      </c>
      <c r="N251" t="n">
        <v>0</v>
      </c>
      <c r="O251" t="n">
        <v>0</v>
      </c>
      <c r="P251" t="n">
        <v>0</v>
      </c>
      <c r="Q251" t="n">
        <v>1</v>
      </c>
      <c r="R251" s="2" t="inlineStr">
        <is>
          <t>Blodticka</t>
        </is>
      </c>
      <c r="S251">
        <f>HYPERLINK("https://klasma.github.io/Logging_0883/artfynd/A 3673-2025 artfynd.xlsx", "A 3673-2025")</f>
        <v/>
      </c>
      <c r="T251">
        <f>HYPERLINK("https://klasma.github.io/Logging_0883/kartor/A 3673-2025 karta.png", "A 3673-2025")</f>
        <v/>
      </c>
      <c r="V251">
        <f>HYPERLINK("https://klasma.github.io/Logging_0883/klagomål/A 3673-2025 FSC-klagomål.docx", "A 3673-2025")</f>
        <v/>
      </c>
      <c r="W251">
        <f>HYPERLINK("https://klasma.github.io/Logging_0883/klagomålsmail/A 3673-2025 FSC-klagomål mail.docx", "A 3673-2025")</f>
        <v/>
      </c>
      <c r="X251">
        <f>HYPERLINK("https://klasma.github.io/Logging_0883/tillsyn/A 3673-2025 tillsynsbegäran.docx", "A 3673-2025")</f>
        <v/>
      </c>
      <c r="Y251">
        <f>HYPERLINK("https://klasma.github.io/Logging_0883/tillsynsmail/A 3673-2025 tillsynsbegäran mail.docx", "A 3673-2025")</f>
        <v/>
      </c>
    </row>
    <row r="252" ht="15" customHeight="1">
      <c r="A252" t="inlineStr">
        <is>
          <t>A 34168-2025</t>
        </is>
      </c>
      <c r="B252" s="1" t="n">
        <v>45845.58349537037</v>
      </c>
      <c r="C252" s="1" t="n">
        <v>45925</v>
      </c>
      <c r="D252" t="inlineStr">
        <is>
          <t>KALMAR LÄN</t>
        </is>
      </c>
      <c r="E252" t="inlineStr">
        <is>
          <t>VÄSTERVIK</t>
        </is>
      </c>
      <c r="G252" t="n">
        <v>2.7</v>
      </c>
      <c r="H252" t="n">
        <v>1</v>
      </c>
      <c r="I252" t="n">
        <v>0</v>
      </c>
      <c r="J252" t="n">
        <v>1</v>
      </c>
      <c r="K252" t="n">
        <v>0</v>
      </c>
      <c r="L252" t="n">
        <v>0</v>
      </c>
      <c r="M252" t="n">
        <v>0</v>
      </c>
      <c r="N252" t="n">
        <v>0</v>
      </c>
      <c r="O252" t="n">
        <v>1</v>
      </c>
      <c r="P252" t="n">
        <v>0</v>
      </c>
      <c r="Q252" t="n">
        <v>1</v>
      </c>
      <c r="R252" s="2" t="inlineStr">
        <is>
          <t>Grönsångare</t>
        </is>
      </c>
      <c r="S252">
        <f>HYPERLINK("https://klasma.github.io/Logging_0883/artfynd/A 34168-2025 artfynd.xlsx", "A 34168-2025")</f>
        <v/>
      </c>
      <c r="T252">
        <f>HYPERLINK("https://klasma.github.io/Logging_0883/kartor/A 34168-2025 karta.png", "A 34168-2025")</f>
        <v/>
      </c>
      <c r="V252">
        <f>HYPERLINK("https://klasma.github.io/Logging_0883/klagomål/A 34168-2025 FSC-klagomål.docx", "A 34168-2025")</f>
        <v/>
      </c>
      <c r="W252">
        <f>HYPERLINK("https://klasma.github.io/Logging_0883/klagomålsmail/A 34168-2025 FSC-klagomål mail.docx", "A 34168-2025")</f>
        <v/>
      </c>
      <c r="X252">
        <f>HYPERLINK("https://klasma.github.io/Logging_0883/tillsyn/A 34168-2025 tillsynsbegäran.docx", "A 34168-2025")</f>
        <v/>
      </c>
      <c r="Y252">
        <f>HYPERLINK("https://klasma.github.io/Logging_0883/tillsynsmail/A 34168-2025 tillsynsbegäran mail.docx", "A 34168-2025")</f>
        <v/>
      </c>
      <c r="Z252">
        <f>HYPERLINK("https://klasma.github.io/Logging_0883/fåglar/A 34168-2025 prioriterade fågelarter.docx", "A 34168-2025")</f>
        <v/>
      </c>
    </row>
    <row r="253" ht="15" customHeight="1">
      <c r="A253" t="inlineStr">
        <is>
          <t>A 34166-2025</t>
        </is>
      </c>
      <c r="B253" s="1" t="n">
        <v>45845.5819675926</v>
      </c>
      <c r="C253" s="1" t="n">
        <v>45925</v>
      </c>
      <c r="D253" t="inlineStr">
        <is>
          <t>KALMAR LÄN</t>
        </is>
      </c>
      <c r="E253" t="inlineStr">
        <is>
          <t>VÄSTERVIK</t>
        </is>
      </c>
      <c r="G253" t="n">
        <v>3.5</v>
      </c>
      <c r="H253" t="n">
        <v>0</v>
      </c>
      <c r="I253" t="n">
        <v>0</v>
      </c>
      <c r="J253" t="n">
        <v>0</v>
      </c>
      <c r="K253" t="n">
        <v>0</v>
      </c>
      <c r="L253" t="n">
        <v>0</v>
      </c>
      <c r="M253" t="n">
        <v>1</v>
      </c>
      <c r="N253" t="n">
        <v>0</v>
      </c>
      <c r="O253" t="n">
        <v>1</v>
      </c>
      <c r="P253" t="n">
        <v>1</v>
      </c>
      <c r="Q253" t="n">
        <v>1</v>
      </c>
      <c r="R253" s="2" t="inlineStr">
        <is>
          <t>Skogsalm</t>
        </is>
      </c>
      <c r="S253">
        <f>HYPERLINK("https://klasma.github.io/Logging_0883/artfynd/A 34166-2025 artfynd.xlsx", "A 34166-2025")</f>
        <v/>
      </c>
      <c r="T253">
        <f>HYPERLINK("https://klasma.github.io/Logging_0883/kartor/A 34166-2025 karta.png", "A 34166-2025")</f>
        <v/>
      </c>
      <c r="V253">
        <f>HYPERLINK("https://klasma.github.io/Logging_0883/klagomål/A 34166-2025 FSC-klagomål.docx", "A 34166-2025")</f>
        <v/>
      </c>
      <c r="W253">
        <f>HYPERLINK("https://klasma.github.io/Logging_0883/klagomålsmail/A 34166-2025 FSC-klagomål mail.docx", "A 34166-2025")</f>
        <v/>
      </c>
      <c r="X253">
        <f>HYPERLINK("https://klasma.github.io/Logging_0883/tillsyn/A 34166-2025 tillsynsbegäran.docx", "A 34166-2025")</f>
        <v/>
      </c>
      <c r="Y253">
        <f>HYPERLINK("https://klasma.github.io/Logging_0883/tillsynsmail/A 34166-2025 tillsynsbegäran mail.docx", "A 34166-2025")</f>
        <v/>
      </c>
    </row>
    <row r="254" ht="15" customHeight="1">
      <c r="A254" t="inlineStr">
        <is>
          <t>A 34212-2025</t>
        </is>
      </c>
      <c r="B254" s="1" t="n">
        <v>45845.64383101852</v>
      </c>
      <c r="C254" s="1" t="n">
        <v>45925</v>
      </c>
      <c r="D254" t="inlineStr">
        <is>
          <t>KALMAR LÄN</t>
        </is>
      </c>
      <c r="E254" t="inlineStr">
        <is>
          <t>VÄSTERVIK</t>
        </is>
      </c>
      <c r="G254" t="n">
        <v>6.4</v>
      </c>
      <c r="H254" t="n">
        <v>0</v>
      </c>
      <c r="I254" t="n">
        <v>1</v>
      </c>
      <c r="J254" t="n">
        <v>0</v>
      </c>
      <c r="K254" t="n">
        <v>0</v>
      </c>
      <c r="L254" t="n">
        <v>0</v>
      </c>
      <c r="M254" t="n">
        <v>0</v>
      </c>
      <c r="N254" t="n">
        <v>0</v>
      </c>
      <c r="O254" t="n">
        <v>0</v>
      </c>
      <c r="P254" t="n">
        <v>0</v>
      </c>
      <c r="Q254" t="n">
        <v>1</v>
      </c>
      <c r="R254" s="2" t="inlineStr">
        <is>
          <t>Blåmossa</t>
        </is>
      </c>
      <c r="S254">
        <f>HYPERLINK("https://klasma.github.io/Logging_0883/artfynd/A 34212-2025 artfynd.xlsx", "A 34212-2025")</f>
        <v/>
      </c>
      <c r="T254">
        <f>HYPERLINK("https://klasma.github.io/Logging_0883/kartor/A 34212-2025 karta.png", "A 34212-2025")</f>
        <v/>
      </c>
      <c r="V254">
        <f>HYPERLINK("https://klasma.github.io/Logging_0883/klagomål/A 34212-2025 FSC-klagomål.docx", "A 34212-2025")</f>
        <v/>
      </c>
      <c r="W254">
        <f>HYPERLINK("https://klasma.github.io/Logging_0883/klagomålsmail/A 34212-2025 FSC-klagomål mail.docx", "A 34212-2025")</f>
        <v/>
      </c>
      <c r="X254">
        <f>HYPERLINK("https://klasma.github.io/Logging_0883/tillsyn/A 34212-2025 tillsynsbegäran.docx", "A 34212-2025")</f>
        <v/>
      </c>
      <c r="Y254">
        <f>HYPERLINK("https://klasma.github.io/Logging_0883/tillsynsmail/A 34212-2025 tillsynsbegäran mail.docx", "A 34212-2025")</f>
        <v/>
      </c>
    </row>
    <row r="255" ht="15" customHeight="1">
      <c r="A255" t="inlineStr">
        <is>
          <t>A 1176-2024</t>
        </is>
      </c>
      <c r="B255" s="1" t="n">
        <v>45302</v>
      </c>
      <c r="C255" s="1" t="n">
        <v>45925</v>
      </c>
      <c r="D255" t="inlineStr">
        <is>
          <t>KALMAR LÄN</t>
        </is>
      </c>
      <c r="E255" t="inlineStr">
        <is>
          <t>VÄSTERVIK</t>
        </is>
      </c>
      <c r="G255" t="n">
        <v>2.5</v>
      </c>
      <c r="H255" t="n">
        <v>0</v>
      </c>
      <c r="I255" t="n">
        <v>0</v>
      </c>
      <c r="J255" t="n">
        <v>1</v>
      </c>
      <c r="K255" t="n">
        <v>0</v>
      </c>
      <c r="L255" t="n">
        <v>0</v>
      </c>
      <c r="M255" t="n">
        <v>0</v>
      </c>
      <c r="N255" t="n">
        <v>0</v>
      </c>
      <c r="O255" t="n">
        <v>1</v>
      </c>
      <c r="P255" t="n">
        <v>0</v>
      </c>
      <c r="Q255" t="n">
        <v>1</v>
      </c>
      <c r="R255" s="2" t="inlineStr">
        <is>
          <t>Tallticka</t>
        </is>
      </c>
      <c r="S255">
        <f>HYPERLINK("https://klasma.github.io/Logging_0883/artfynd/A 1176-2024 artfynd.xlsx", "A 1176-2024")</f>
        <v/>
      </c>
      <c r="T255">
        <f>HYPERLINK("https://klasma.github.io/Logging_0883/kartor/A 1176-2024 karta.png", "A 1176-2024")</f>
        <v/>
      </c>
      <c r="V255">
        <f>HYPERLINK("https://klasma.github.io/Logging_0883/klagomål/A 1176-2024 FSC-klagomål.docx", "A 1176-2024")</f>
        <v/>
      </c>
      <c r="W255">
        <f>HYPERLINK("https://klasma.github.io/Logging_0883/klagomålsmail/A 1176-2024 FSC-klagomål mail.docx", "A 1176-2024")</f>
        <v/>
      </c>
      <c r="X255">
        <f>HYPERLINK("https://klasma.github.io/Logging_0883/tillsyn/A 1176-2024 tillsynsbegäran.docx", "A 1176-2024")</f>
        <v/>
      </c>
      <c r="Y255">
        <f>HYPERLINK("https://klasma.github.io/Logging_0883/tillsynsmail/A 1176-2024 tillsynsbegäran mail.docx", "A 1176-2024")</f>
        <v/>
      </c>
    </row>
    <row r="256" ht="15" customHeight="1">
      <c r="A256" t="inlineStr">
        <is>
          <t>A 35028-2024</t>
        </is>
      </c>
      <c r="B256" s="1" t="n">
        <v>45527.60524305556</v>
      </c>
      <c r="C256" s="1" t="n">
        <v>45925</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1959-2021</t>
        </is>
      </c>
      <c r="B257" s="1" t="n">
        <v>44210.65167824074</v>
      </c>
      <c r="C257" s="1" t="n">
        <v>45925</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45925</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45925</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45925</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45925</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45925</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45925</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45925</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45925</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8196-2021</t>
        </is>
      </c>
      <c r="B266" s="1" t="n">
        <v>44244</v>
      </c>
      <c r="C266" s="1" t="n">
        <v>45925</v>
      </c>
      <c r="D266" t="inlineStr">
        <is>
          <t>KALMAR LÄN</t>
        </is>
      </c>
      <c r="E266" t="inlineStr">
        <is>
          <t>VÄSTERVIK</t>
        </is>
      </c>
      <c r="G266" t="n">
        <v>3.5</v>
      </c>
      <c r="H266" t="n">
        <v>0</v>
      </c>
      <c r="I266" t="n">
        <v>0</v>
      </c>
      <c r="J266" t="n">
        <v>0</v>
      </c>
      <c r="K266" t="n">
        <v>0</v>
      </c>
      <c r="L266" t="n">
        <v>0</v>
      </c>
      <c r="M266" t="n">
        <v>0</v>
      </c>
      <c r="N266" t="n">
        <v>0</v>
      </c>
      <c r="O266" t="n">
        <v>0</v>
      </c>
      <c r="P266" t="n">
        <v>0</v>
      </c>
      <c r="Q266" t="n">
        <v>0</v>
      </c>
      <c r="R266" s="2" t="inlineStr"/>
    </row>
    <row r="267" ht="15" customHeight="1">
      <c r="A267" t="inlineStr">
        <is>
          <t>A 42164-2021</t>
        </is>
      </c>
      <c r="B267" s="1" t="n">
        <v>44426</v>
      </c>
      <c r="C267" s="1" t="n">
        <v>45925</v>
      </c>
      <c r="D267" t="inlineStr">
        <is>
          <t>KALMAR LÄN</t>
        </is>
      </c>
      <c r="E267" t="inlineStr">
        <is>
          <t>VÄSTERVIK</t>
        </is>
      </c>
      <c r="G267" t="n">
        <v>5.5</v>
      </c>
      <c r="H267" t="n">
        <v>0</v>
      </c>
      <c r="I267" t="n">
        <v>0</v>
      </c>
      <c r="J267" t="n">
        <v>0</v>
      </c>
      <c r="K267" t="n">
        <v>0</v>
      </c>
      <c r="L267" t="n">
        <v>0</v>
      </c>
      <c r="M267" t="n">
        <v>0</v>
      </c>
      <c r="N267" t="n">
        <v>0</v>
      </c>
      <c r="O267" t="n">
        <v>0</v>
      </c>
      <c r="P267" t="n">
        <v>0</v>
      </c>
      <c r="Q267" t="n">
        <v>0</v>
      </c>
      <c r="R267" s="2" t="inlineStr"/>
      <c r="U267">
        <f>HYPERLINK("https://klasma.github.io/Logging_0883/knärot/A 42164-2021 karta knärot.png", "A 42164-2021")</f>
        <v/>
      </c>
      <c r="V267">
        <f>HYPERLINK("https://klasma.github.io/Logging_0883/klagomål/A 42164-2021 FSC-klagomål.docx", "A 42164-2021")</f>
        <v/>
      </c>
      <c r="W267">
        <f>HYPERLINK("https://klasma.github.io/Logging_0883/klagomålsmail/A 42164-2021 FSC-klagomål mail.docx", "A 42164-2021")</f>
        <v/>
      </c>
      <c r="X267">
        <f>HYPERLINK("https://klasma.github.io/Logging_0883/tillsyn/A 42164-2021 tillsynsbegäran.docx", "A 42164-2021")</f>
        <v/>
      </c>
      <c r="Y267">
        <f>HYPERLINK("https://klasma.github.io/Logging_0883/tillsynsmail/A 42164-2021 tillsynsbegäran mail.docx", "A 42164-2021")</f>
        <v/>
      </c>
    </row>
    <row r="268" ht="15" customHeight="1">
      <c r="A268" t="inlineStr">
        <is>
          <t>A 37748-2021</t>
        </is>
      </c>
      <c r="B268" s="1" t="n">
        <v>44400.63459490741</v>
      </c>
      <c r="C268" s="1" t="n">
        <v>45925</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45925</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45925</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45925</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45925</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45925</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45925</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45925</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45925</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45925</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45925</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45925</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45925</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45925</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45925</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45925</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45925</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45925</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45925</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45925</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45925</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45925</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45925</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45925</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45925</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45925</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45925</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45925</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45925</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45925</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45925</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45925</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45925</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45925</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45925</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45925</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45925</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45925</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45925</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45925</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23997-2021</t>
        </is>
      </c>
      <c r="B308" s="1" t="n">
        <v>44335</v>
      </c>
      <c r="C308" s="1" t="n">
        <v>45925</v>
      </c>
      <c r="D308" t="inlineStr">
        <is>
          <t>KALMAR LÄN</t>
        </is>
      </c>
      <c r="E308" t="inlineStr">
        <is>
          <t>VÄSTERVIK</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45925</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45925</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45925</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45925</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45925</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33206-2022</t>
        </is>
      </c>
      <c r="B314" s="1" t="n">
        <v>44785</v>
      </c>
      <c r="C314" s="1" t="n">
        <v>45925</v>
      </c>
      <c r="D314" t="inlineStr">
        <is>
          <t>KALMAR LÄN</t>
        </is>
      </c>
      <c r="E314" t="inlineStr">
        <is>
          <t>VÄSTERVIK</t>
        </is>
      </c>
      <c r="G314" t="n">
        <v>1.8</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45925</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45925</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45925</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45925</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45925</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45925</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45925</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45925</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45925</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45925</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45925</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45925</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45925</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45925</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45925</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45925</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45925</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45925</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45925</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45925</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45925</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45925</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45925</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45925</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45925</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45925</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45925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45925</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56619-2021</t>
        </is>
      </c>
      <c r="B343" s="1" t="n">
        <v>44480.82696759259</v>
      </c>
      <c r="C343" s="1" t="n">
        <v>45925</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31317-2021</t>
        </is>
      </c>
      <c r="B344" s="1" t="n">
        <v>44368.90879629629</v>
      </c>
      <c r="C344" s="1" t="n">
        <v>45925</v>
      </c>
      <c r="D344" t="inlineStr">
        <is>
          <t>KALMAR LÄN</t>
        </is>
      </c>
      <c r="E344" t="inlineStr">
        <is>
          <t>VÄSTERVIK</t>
        </is>
      </c>
      <c r="G344" t="n">
        <v>2.3</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45925</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45925</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45925</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61799-2020</t>
        </is>
      </c>
      <c r="B348" s="1" t="n">
        <v>44158</v>
      </c>
      <c r="C348" s="1" t="n">
        <v>45925</v>
      </c>
      <c r="D348" t="inlineStr">
        <is>
          <t>KALMAR LÄN</t>
        </is>
      </c>
      <c r="E348" t="inlineStr">
        <is>
          <t>VÄSTERVIK</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13230-2021</t>
        </is>
      </c>
      <c r="B349" s="1" t="n">
        <v>44272</v>
      </c>
      <c r="C349" s="1" t="n">
        <v>45925</v>
      </c>
      <c r="D349" t="inlineStr">
        <is>
          <t>KALMAR LÄN</t>
        </is>
      </c>
      <c r="E349" t="inlineStr">
        <is>
          <t>VÄSTERVIK</t>
        </is>
      </c>
      <c r="G349" t="n">
        <v>7.2</v>
      </c>
      <c r="H349" t="n">
        <v>0</v>
      </c>
      <c r="I349" t="n">
        <v>0</v>
      </c>
      <c r="J349" t="n">
        <v>0</v>
      </c>
      <c r="K349" t="n">
        <v>0</v>
      </c>
      <c r="L349" t="n">
        <v>0</v>
      </c>
      <c r="M349" t="n">
        <v>0</v>
      </c>
      <c r="N349" t="n">
        <v>0</v>
      </c>
      <c r="O349" t="n">
        <v>0</v>
      </c>
      <c r="P349" t="n">
        <v>0</v>
      </c>
      <c r="Q349" t="n">
        <v>0</v>
      </c>
      <c r="R349" s="2" t="inlineStr"/>
    </row>
    <row r="350" ht="15" customHeight="1">
      <c r="A350" t="inlineStr">
        <is>
          <t>A 320-2022</t>
        </is>
      </c>
      <c r="B350" s="1" t="n">
        <v>44565</v>
      </c>
      <c r="C350" s="1" t="n">
        <v>45925</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55240-2020</t>
        </is>
      </c>
      <c r="B351" s="1" t="n">
        <v>44130.63965277778</v>
      </c>
      <c r="C351" s="1" t="n">
        <v>45925</v>
      </c>
      <c r="D351" t="inlineStr">
        <is>
          <t>KALMAR LÄN</t>
        </is>
      </c>
      <c r="E351" t="inlineStr">
        <is>
          <t>VÄSTERVIK</t>
        </is>
      </c>
      <c r="G351" t="n">
        <v>1.2</v>
      </c>
      <c r="H351" t="n">
        <v>0</v>
      </c>
      <c r="I351" t="n">
        <v>0</v>
      </c>
      <c r="J351" t="n">
        <v>0</v>
      </c>
      <c r="K351" t="n">
        <v>0</v>
      </c>
      <c r="L351" t="n">
        <v>0</v>
      </c>
      <c r="M351" t="n">
        <v>0</v>
      </c>
      <c r="N351" t="n">
        <v>0</v>
      </c>
      <c r="O351" t="n">
        <v>0</v>
      </c>
      <c r="P351" t="n">
        <v>0</v>
      </c>
      <c r="Q351" t="n">
        <v>0</v>
      </c>
      <c r="R351" s="2" t="inlineStr"/>
    </row>
    <row r="352" ht="15" customHeight="1">
      <c r="A352" t="inlineStr">
        <is>
          <t>A 48135-2020</t>
        </is>
      </c>
      <c r="B352" s="1" t="n">
        <v>44099</v>
      </c>
      <c r="C352" s="1" t="n">
        <v>45925</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56620-2021</t>
        </is>
      </c>
      <c r="B353" s="1" t="n">
        <v>44480.82778935185</v>
      </c>
      <c r="C353" s="1" t="n">
        <v>45925</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49404-2021</t>
        </is>
      </c>
      <c r="B354" s="1" t="n">
        <v>44454.63494212963</v>
      </c>
      <c r="C354" s="1" t="n">
        <v>45925</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49407-2021</t>
        </is>
      </c>
      <c r="B355" s="1" t="n">
        <v>44454.63644675926</v>
      </c>
      <c r="C355" s="1" t="n">
        <v>45925</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10517-2021</t>
        </is>
      </c>
      <c r="B356" s="1" t="n">
        <v>44258</v>
      </c>
      <c r="C356" s="1" t="n">
        <v>45925</v>
      </c>
      <c r="D356" t="inlineStr">
        <is>
          <t>KALMAR LÄN</t>
        </is>
      </c>
      <c r="E356" t="inlineStr">
        <is>
          <t>VÄSTERVIK</t>
        </is>
      </c>
      <c r="G356" t="n">
        <v>3.6</v>
      </c>
      <c r="H356" t="n">
        <v>0</v>
      </c>
      <c r="I356" t="n">
        <v>0</v>
      </c>
      <c r="J356" t="n">
        <v>0</v>
      </c>
      <c r="K356" t="n">
        <v>0</v>
      </c>
      <c r="L356" t="n">
        <v>0</v>
      </c>
      <c r="M356" t="n">
        <v>0</v>
      </c>
      <c r="N356" t="n">
        <v>0</v>
      </c>
      <c r="O356" t="n">
        <v>0</v>
      </c>
      <c r="P356" t="n">
        <v>0</v>
      </c>
      <c r="Q356" t="n">
        <v>0</v>
      </c>
      <c r="R356" s="2" t="inlineStr"/>
    </row>
    <row r="357" ht="15" customHeight="1">
      <c r="A357" t="inlineStr">
        <is>
          <t>A 61317-2021</t>
        </is>
      </c>
      <c r="B357" s="1" t="n">
        <v>44498.65975694444</v>
      </c>
      <c r="C357" s="1" t="n">
        <v>45925</v>
      </c>
      <c r="D357" t="inlineStr">
        <is>
          <t>KALMAR LÄN</t>
        </is>
      </c>
      <c r="E357" t="inlineStr">
        <is>
          <t>VÄSTERVIK</t>
        </is>
      </c>
      <c r="G357" t="n">
        <v>0.6</v>
      </c>
      <c r="H357" t="n">
        <v>0</v>
      </c>
      <c r="I357" t="n">
        <v>0</v>
      </c>
      <c r="J357" t="n">
        <v>0</v>
      </c>
      <c r="K357" t="n">
        <v>0</v>
      </c>
      <c r="L357" t="n">
        <v>0</v>
      </c>
      <c r="M357" t="n">
        <v>0</v>
      </c>
      <c r="N357" t="n">
        <v>0</v>
      </c>
      <c r="O357" t="n">
        <v>0</v>
      </c>
      <c r="P357" t="n">
        <v>0</v>
      </c>
      <c r="Q357" t="n">
        <v>0</v>
      </c>
      <c r="R357" s="2" t="inlineStr"/>
    </row>
    <row r="358" ht="15" customHeight="1">
      <c r="A358" t="inlineStr">
        <is>
          <t>A 56127-2020</t>
        </is>
      </c>
      <c r="B358" s="1" t="n">
        <v>44132</v>
      </c>
      <c r="C358" s="1" t="n">
        <v>45925</v>
      </c>
      <c r="D358" t="inlineStr">
        <is>
          <t>KALMAR LÄN</t>
        </is>
      </c>
      <c r="E358" t="inlineStr">
        <is>
          <t>VÄSTERVIK</t>
        </is>
      </c>
      <c r="G358" t="n">
        <v>1.6</v>
      </c>
      <c r="H358" t="n">
        <v>0</v>
      </c>
      <c r="I358" t="n">
        <v>0</v>
      </c>
      <c r="J358" t="n">
        <v>0</v>
      </c>
      <c r="K358" t="n">
        <v>0</v>
      </c>
      <c r="L358" t="n">
        <v>0</v>
      </c>
      <c r="M358" t="n">
        <v>0</v>
      </c>
      <c r="N358" t="n">
        <v>0</v>
      </c>
      <c r="O358" t="n">
        <v>0</v>
      </c>
      <c r="P358" t="n">
        <v>0</v>
      </c>
      <c r="Q358" t="n">
        <v>0</v>
      </c>
      <c r="R358" s="2" t="inlineStr"/>
    </row>
    <row r="359" ht="15" customHeight="1">
      <c r="A359" t="inlineStr">
        <is>
          <t>A 51504-2021</t>
        </is>
      </c>
      <c r="B359" s="1" t="n">
        <v>44461</v>
      </c>
      <c r="C359" s="1" t="n">
        <v>45925</v>
      </c>
      <c r="D359" t="inlineStr">
        <is>
          <t>KALMAR LÄN</t>
        </is>
      </c>
      <c r="E359" t="inlineStr">
        <is>
          <t>VÄSTERVIK</t>
        </is>
      </c>
      <c r="G359" t="n">
        <v>6.4</v>
      </c>
      <c r="H359" t="n">
        <v>0</v>
      </c>
      <c r="I359" t="n">
        <v>0</v>
      </c>
      <c r="J359" t="n">
        <v>0</v>
      </c>
      <c r="K359" t="n">
        <v>0</v>
      </c>
      <c r="L359" t="n">
        <v>0</v>
      </c>
      <c r="M359" t="n">
        <v>0</v>
      </c>
      <c r="N359" t="n">
        <v>0</v>
      </c>
      <c r="O359" t="n">
        <v>0</v>
      </c>
      <c r="P359" t="n">
        <v>0</v>
      </c>
      <c r="Q359" t="n">
        <v>0</v>
      </c>
      <c r="R359" s="2" t="inlineStr"/>
    </row>
    <row r="360" ht="15" customHeight="1">
      <c r="A360" t="inlineStr">
        <is>
          <t>A 43759-2021</t>
        </is>
      </c>
      <c r="B360" s="1" t="n">
        <v>44433</v>
      </c>
      <c r="C360" s="1" t="n">
        <v>45925</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43826-2021</t>
        </is>
      </c>
      <c r="B361" s="1" t="n">
        <v>44433</v>
      </c>
      <c r="C361" s="1" t="n">
        <v>45925</v>
      </c>
      <c r="D361" t="inlineStr">
        <is>
          <t>KALMAR LÄN</t>
        </is>
      </c>
      <c r="E361" t="inlineStr">
        <is>
          <t>VÄSTERVIK</t>
        </is>
      </c>
      <c r="G361" t="n">
        <v>4.2</v>
      </c>
      <c r="H361" t="n">
        <v>0</v>
      </c>
      <c r="I361" t="n">
        <v>0</v>
      </c>
      <c r="J361" t="n">
        <v>0</v>
      </c>
      <c r="K361" t="n">
        <v>0</v>
      </c>
      <c r="L361" t="n">
        <v>0</v>
      </c>
      <c r="M361" t="n">
        <v>0</v>
      </c>
      <c r="N361" t="n">
        <v>0</v>
      </c>
      <c r="O361" t="n">
        <v>0</v>
      </c>
      <c r="P361" t="n">
        <v>0</v>
      </c>
      <c r="Q361" t="n">
        <v>0</v>
      </c>
      <c r="R361" s="2" t="inlineStr"/>
    </row>
    <row r="362" ht="15" customHeight="1">
      <c r="A362" t="inlineStr">
        <is>
          <t>A 19660-2021</t>
        </is>
      </c>
      <c r="B362" s="1" t="n">
        <v>44312</v>
      </c>
      <c r="C362" s="1" t="n">
        <v>45925</v>
      </c>
      <c r="D362" t="inlineStr">
        <is>
          <t>KALMAR LÄN</t>
        </is>
      </c>
      <c r="E362" t="inlineStr">
        <is>
          <t>VÄSTERVIK</t>
        </is>
      </c>
      <c r="G362" t="n">
        <v>2.3</v>
      </c>
      <c r="H362" t="n">
        <v>0</v>
      </c>
      <c r="I362" t="n">
        <v>0</v>
      </c>
      <c r="J362" t="n">
        <v>0</v>
      </c>
      <c r="K362" t="n">
        <v>0</v>
      </c>
      <c r="L362" t="n">
        <v>0</v>
      </c>
      <c r="M362" t="n">
        <v>0</v>
      </c>
      <c r="N362" t="n">
        <v>0</v>
      </c>
      <c r="O362" t="n">
        <v>0</v>
      </c>
      <c r="P362" t="n">
        <v>0</v>
      </c>
      <c r="Q362" t="n">
        <v>0</v>
      </c>
      <c r="R362" s="2" t="inlineStr"/>
    </row>
    <row r="363" ht="15" customHeight="1">
      <c r="A363" t="inlineStr">
        <is>
          <t>A 63212-2020</t>
        </is>
      </c>
      <c r="B363" s="1" t="n">
        <v>44163</v>
      </c>
      <c r="C363" s="1" t="n">
        <v>45925</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61682-2020</t>
        </is>
      </c>
      <c r="B364" s="1" t="n">
        <v>44154</v>
      </c>
      <c r="C364" s="1" t="n">
        <v>45925</v>
      </c>
      <c r="D364" t="inlineStr">
        <is>
          <t>KALMAR LÄN</t>
        </is>
      </c>
      <c r="E364" t="inlineStr">
        <is>
          <t>VÄSTERVIK</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66757-2020</t>
        </is>
      </c>
      <c r="B365" s="1" t="n">
        <v>44175</v>
      </c>
      <c r="C365" s="1" t="n">
        <v>45925</v>
      </c>
      <c r="D365" t="inlineStr">
        <is>
          <t>KALMAR LÄN</t>
        </is>
      </c>
      <c r="E365" t="inlineStr">
        <is>
          <t>VÄSTERVIK</t>
        </is>
      </c>
      <c r="G365" t="n">
        <v>1.1</v>
      </c>
      <c r="H365" t="n">
        <v>0</v>
      </c>
      <c r="I365" t="n">
        <v>0</v>
      </c>
      <c r="J365" t="n">
        <v>0</v>
      </c>
      <c r="K365" t="n">
        <v>0</v>
      </c>
      <c r="L365" t="n">
        <v>0</v>
      </c>
      <c r="M365" t="n">
        <v>0</v>
      </c>
      <c r="N365" t="n">
        <v>0</v>
      </c>
      <c r="O365" t="n">
        <v>0</v>
      </c>
      <c r="P365" t="n">
        <v>0</v>
      </c>
      <c r="Q365" t="n">
        <v>0</v>
      </c>
      <c r="R365" s="2" t="inlineStr"/>
    </row>
    <row r="366" ht="15" customHeight="1">
      <c r="A366" t="inlineStr">
        <is>
          <t>A 46527-2022</t>
        </is>
      </c>
      <c r="B366" s="1" t="n">
        <v>44848.59880787037</v>
      </c>
      <c r="C366" s="1" t="n">
        <v>45925</v>
      </c>
      <c r="D366" t="inlineStr">
        <is>
          <t>KALMAR LÄN</t>
        </is>
      </c>
      <c r="E366" t="inlineStr">
        <is>
          <t>VÄSTERVIK</t>
        </is>
      </c>
      <c r="G366" t="n">
        <v>1.7</v>
      </c>
      <c r="H366" t="n">
        <v>0</v>
      </c>
      <c r="I366" t="n">
        <v>0</v>
      </c>
      <c r="J366" t="n">
        <v>0</v>
      </c>
      <c r="K366" t="n">
        <v>0</v>
      </c>
      <c r="L366" t="n">
        <v>0</v>
      </c>
      <c r="M366" t="n">
        <v>0</v>
      </c>
      <c r="N366" t="n">
        <v>0</v>
      </c>
      <c r="O366" t="n">
        <v>0</v>
      </c>
      <c r="P366" t="n">
        <v>0</v>
      </c>
      <c r="Q366" t="n">
        <v>0</v>
      </c>
      <c r="R366" s="2" t="inlineStr"/>
    </row>
    <row r="367" ht="15" customHeight="1">
      <c r="A367" t="inlineStr">
        <is>
          <t>A 959-2022</t>
        </is>
      </c>
      <c r="B367" s="1" t="n">
        <v>44571</v>
      </c>
      <c r="C367" s="1" t="n">
        <v>45925</v>
      </c>
      <c r="D367" t="inlineStr">
        <is>
          <t>KALMAR LÄN</t>
        </is>
      </c>
      <c r="E367" t="inlineStr">
        <is>
          <t>VÄSTERVIK</t>
        </is>
      </c>
      <c r="G367" t="n">
        <v>2.5</v>
      </c>
      <c r="H367" t="n">
        <v>0</v>
      </c>
      <c r="I367" t="n">
        <v>0</v>
      </c>
      <c r="J367" t="n">
        <v>0</v>
      </c>
      <c r="K367" t="n">
        <v>0</v>
      </c>
      <c r="L367" t="n">
        <v>0</v>
      </c>
      <c r="M367" t="n">
        <v>0</v>
      </c>
      <c r="N367" t="n">
        <v>0</v>
      </c>
      <c r="O367" t="n">
        <v>0</v>
      </c>
      <c r="P367" t="n">
        <v>0</v>
      </c>
      <c r="Q367" t="n">
        <v>0</v>
      </c>
      <c r="R367" s="2" t="inlineStr"/>
    </row>
    <row r="368" ht="15" customHeight="1">
      <c r="A368" t="inlineStr">
        <is>
          <t>A 10119-2022</t>
        </is>
      </c>
      <c r="B368" s="1" t="n">
        <v>44621.91652777778</v>
      </c>
      <c r="C368" s="1" t="n">
        <v>45925</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43803-2021</t>
        </is>
      </c>
      <c r="B369" s="1" t="n">
        <v>44433</v>
      </c>
      <c r="C369" s="1" t="n">
        <v>45925</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34836-2022</t>
        </is>
      </c>
      <c r="B370" s="1" t="n">
        <v>44796</v>
      </c>
      <c r="C370" s="1" t="n">
        <v>45925</v>
      </c>
      <c r="D370" t="inlineStr">
        <is>
          <t>KALMAR LÄN</t>
        </is>
      </c>
      <c r="E370" t="inlineStr">
        <is>
          <t>VÄSTERVIK</t>
        </is>
      </c>
      <c r="G370" t="n">
        <v>1.3</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45925</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34118-2021</t>
        </is>
      </c>
      <c r="B372" s="1" t="n">
        <v>44379.45400462963</v>
      </c>
      <c r="C372" s="1" t="n">
        <v>45925</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34125-2021</t>
        </is>
      </c>
      <c r="B373" s="1" t="n">
        <v>44379.4646875</v>
      </c>
      <c r="C373" s="1" t="n">
        <v>45925</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68811-2020</t>
        </is>
      </c>
      <c r="B374" s="1" t="n">
        <v>44187</v>
      </c>
      <c r="C374" s="1" t="n">
        <v>45925</v>
      </c>
      <c r="D374" t="inlineStr">
        <is>
          <t>KALMAR LÄN</t>
        </is>
      </c>
      <c r="E374" t="inlineStr">
        <is>
          <t>VÄSTERVIK</t>
        </is>
      </c>
      <c r="G374" t="n">
        <v>2.3</v>
      </c>
      <c r="H374" t="n">
        <v>0</v>
      </c>
      <c r="I374" t="n">
        <v>0</v>
      </c>
      <c r="J374" t="n">
        <v>0</v>
      </c>
      <c r="K374" t="n">
        <v>0</v>
      </c>
      <c r="L374" t="n">
        <v>0</v>
      </c>
      <c r="M374" t="n">
        <v>0</v>
      </c>
      <c r="N374" t="n">
        <v>0</v>
      </c>
      <c r="O374" t="n">
        <v>0</v>
      </c>
      <c r="P374" t="n">
        <v>0</v>
      </c>
      <c r="Q374" t="n">
        <v>0</v>
      </c>
      <c r="R374" s="2" t="inlineStr"/>
    </row>
    <row r="375" ht="15" customHeight="1">
      <c r="A375" t="inlineStr">
        <is>
          <t>A 34493-2021</t>
        </is>
      </c>
      <c r="B375" s="1" t="n">
        <v>44382</v>
      </c>
      <c r="C375" s="1" t="n">
        <v>45925</v>
      </c>
      <c r="D375" t="inlineStr">
        <is>
          <t>KALMAR LÄN</t>
        </is>
      </c>
      <c r="E375" t="inlineStr">
        <is>
          <t>VÄSTERVIK</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37753-2021</t>
        </is>
      </c>
      <c r="B376" s="1" t="n">
        <v>44400.63810185185</v>
      </c>
      <c r="C376" s="1" t="n">
        <v>45925</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45925</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45925</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31319-2021</t>
        </is>
      </c>
      <c r="B379" s="1" t="n">
        <v>44368.91321759259</v>
      </c>
      <c r="C379" s="1" t="n">
        <v>45925</v>
      </c>
      <c r="D379" t="inlineStr">
        <is>
          <t>KALMAR LÄN</t>
        </is>
      </c>
      <c r="E379" t="inlineStr">
        <is>
          <t>VÄSTERVIK</t>
        </is>
      </c>
      <c r="G379" t="n">
        <v>1.1</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45925</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45925</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57009-2020</t>
        </is>
      </c>
      <c r="B382" s="1" t="n">
        <v>44138</v>
      </c>
      <c r="C382" s="1" t="n">
        <v>45925</v>
      </c>
      <c r="D382" t="inlineStr">
        <is>
          <t>KALMAR LÄN</t>
        </is>
      </c>
      <c r="E382" t="inlineStr">
        <is>
          <t>VÄSTERVIK</t>
        </is>
      </c>
      <c r="F382" t="inlineStr">
        <is>
          <t>Holmen skog AB</t>
        </is>
      </c>
      <c r="G382" t="n">
        <v>1.7</v>
      </c>
      <c r="H382" t="n">
        <v>0</v>
      </c>
      <c r="I382" t="n">
        <v>0</v>
      </c>
      <c r="J382" t="n">
        <v>0</v>
      </c>
      <c r="K382" t="n">
        <v>0</v>
      </c>
      <c r="L382" t="n">
        <v>0</v>
      </c>
      <c r="M382" t="n">
        <v>0</v>
      </c>
      <c r="N382" t="n">
        <v>0</v>
      </c>
      <c r="O382" t="n">
        <v>0</v>
      </c>
      <c r="P382" t="n">
        <v>0</v>
      </c>
      <c r="Q382" t="n">
        <v>0</v>
      </c>
      <c r="R382" s="2" t="inlineStr"/>
      <c r="U382">
        <f>HYPERLINK("https://klasma.github.io/Logging_0883/knärot/A 57009-2020 karta knärot.png", "A 57009-2020")</f>
        <v/>
      </c>
      <c r="V382">
        <f>HYPERLINK("https://klasma.github.io/Logging_0883/klagomål/A 57009-2020 FSC-klagomål.docx", "A 57009-2020")</f>
        <v/>
      </c>
      <c r="W382">
        <f>HYPERLINK("https://klasma.github.io/Logging_0883/klagomålsmail/A 57009-2020 FSC-klagomål mail.docx", "A 57009-2020")</f>
        <v/>
      </c>
      <c r="X382">
        <f>HYPERLINK("https://klasma.github.io/Logging_0883/tillsyn/A 57009-2020 tillsynsbegäran.docx", "A 57009-2020")</f>
        <v/>
      </c>
      <c r="Y382">
        <f>HYPERLINK("https://klasma.github.io/Logging_0883/tillsynsmail/A 57009-2020 tillsynsbegäran mail.docx", "A 57009-2020")</f>
        <v/>
      </c>
    </row>
    <row r="383" ht="15" customHeight="1">
      <c r="A383" t="inlineStr">
        <is>
          <t>A 66149-2020</t>
        </is>
      </c>
      <c r="B383" s="1" t="n">
        <v>44173</v>
      </c>
      <c r="C383" s="1" t="n">
        <v>45925</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46018-2022</t>
        </is>
      </c>
      <c r="B384" s="1" t="n">
        <v>44846</v>
      </c>
      <c r="C384" s="1" t="n">
        <v>45925</v>
      </c>
      <c r="D384" t="inlineStr">
        <is>
          <t>KALMAR LÄN</t>
        </is>
      </c>
      <c r="E384" t="inlineStr">
        <is>
          <t>VÄSTERVIK</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45925</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45925</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69064-2020</t>
        </is>
      </c>
      <c r="B387" s="1" t="n">
        <v>44188.47537037037</v>
      </c>
      <c r="C387" s="1" t="n">
        <v>45925</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45925</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19644-2021</t>
        </is>
      </c>
      <c r="B389" s="1" t="n">
        <v>44312</v>
      </c>
      <c r="C389" s="1" t="n">
        <v>45925</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55053-2024</t>
        </is>
      </c>
      <c r="B390" s="1" t="n">
        <v>45621.39938657408</v>
      </c>
      <c r="C390" s="1" t="n">
        <v>45925</v>
      </c>
      <c r="D390" t="inlineStr">
        <is>
          <t>KALMAR LÄN</t>
        </is>
      </c>
      <c r="E390" t="inlineStr">
        <is>
          <t>VÄSTERVIK</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43759-2023</t>
        </is>
      </c>
      <c r="B391" s="1" t="n">
        <v>45187</v>
      </c>
      <c r="C391" s="1" t="n">
        <v>45925</v>
      </c>
      <c r="D391" t="inlineStr">
        <is>
          <t>KALMAR LÄN</t>
        </is>
      </c>
      <c r="E391" t="inlineStr">
        <is>
          <t>VÄSTERVIK</t>
        </is>
      </c>
      <c r="G391" t="n">
        <v>3.3</v>
      </c>
      <c r="H391" t="n">
        <v>0</v>
      </c>
      <c r="I391" t="n">
        <v>0</v>
      </c>
      <c r="J391" t="n">
        <v>0</v>
      </c>
      <c r="K391" t="n">
        <v>0</v>
      </c>
      <c r="L391" t="n">
        <v>0</v>
      </c>
      <c r="M391" t="n">
        <v>0</v>
      </c>
      <c r="N391" t="n">
        <v>0</v>
      </c>
      <c r="O391" t="n">
        <v>0</v>
      </c>
      <c r="P391" t="n">
        <v>0</v>
      </c>
      <c r="Q391" t="n">
        <v>0</v>
      </c>
      <c r="R391" s="2" t="inlineStr"/>
    </row>
    <row r="392" ht="15" customHeight="1">
      <c r="A392" t="inlineStr">
        <is>
          <t>A 44705-2023</t>
        </is>
      </c>
      <c r="B392" s="1" t="n">
        <v>45190</v>
      </c>
      <c r="C392" s="1" t="n">
        <v>45925</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18470-2021</t>
        </is>
      </c>
      <c r="B393" s="1" t="n">
        <v>44306.31681712963</v>
      </c>
      <c r="C393" s="1" t="n">
        <v>45925</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45925</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57922-2020</t>
        </is>
      </c>
      <c r="B395" s="1" t="n">
        <v>44141</v>
      </c>
      <c r="C395" s="1" t="n">
        <v>45925</v>
      </c>
      <c r="D395" t="inlineStr">
        <is>
          <t>KALMAR LÄN</t>
        </is>
      </c>
      <c r="E395" t="inlineStr">
        <is>
          <t>VÄSTERVIK</t>
        </is>
      </c>
      <c r="F395" t="inlineStr">
        <is>
          <t>Holmen skog AB</t>
        </is>
      </c>
      <c r="G395" t="n">
        <v>0.5</v>
      </c>
      <c r="H395" t="n">
        <v>0</v>
      </c>
      <c r="I395" t="n">
        <v>0</v>
      </c>
      <c r="J395" t="n">
        <v>0</v>
      </c>
      <c r="K395" t="n">
        <v>0</v>
      </c>
      <c r="L395" t="n">
        <v>0</v>
      </c>
      <c r="M395" t="n">
        <v>0</v>
      </c>
      <c r="N395" t="n">
        <v>0</v>
      </c>
      <c r="O395" t="n">
        <v>0</v>
      </c>
      <c r="P395" t="n">
        <v>0</v>
      </c>
      <c r="Q395" t="n">
        <v>0</v>
      </c>
      <c r="R395" s="2" t="inlineStr"/>
    </row>
    <row r="396" ht="15" customHeight="1">
      <c r="A396" t="inlineStr">
        <is>
          <t>A 2106-2021</t>
        </is>
      </c>
      <c r="B396" s="1" t="n">
        <v>44211</v>
      </c>
      <c r="C396" s="1" t="n">
        <v>45925</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12333-2025</t>
        </is>
      </c>
      <c r="B397" s="1" t="n">
        <v>45730</v>
      </c>
      <c r="C397" s="1" t="n">
        <v>45925</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45925</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72378-2021</t>
        </is>
      </c>
      <c r="B399" s="1" t="n">
        <v>44545.56285879629</v>
      </c>
      <c r="C399" s="1" t="n">
        <v>45925</v>
      </c>
      <c r="D399" t="inlineStr">
        <is>
          <t>KALMAR LÄN</t>
        </is>
      </c>
      <c r="E399" t="inlineStr">
        <is>
          <t>VÄSTERVIK</t>
        </is>
      </c>
      <c r="G399" t="n">
        <v>4.4</v>
      </c>
      <c r="H399" t="n">
        <v>0</v>
      </c>
      <c r="I399" t="n">
        <v>0</v>
      </c>
      <c r="J399" t="n">
        <v>0</v>
      </c>
      <c r="K399" t="n">
        <v>0</v>
      </c>
      <c r="L399" t="n">
        <v>0</v>
      </c>
      <c r="M399" t="n">
        <v>0</v>
      </c>
      <c r="N399" t="n">
        <v>0</v>
      </c>
      <c r="O399" t="n">
        <v>0</v>
      </c>
      <c r="P399" t="n">
        <v>0</v>
      </c>
      <c r="Q399" t="n">
        <v>0</v>
      </c>
      <c r="R399" s="2" t="inlineStr"/>
    </row>
    <row r="400" ht="15" customHeight="1">
      <c r="A400" t="inlineStr">
        <is>
          <t>A 47530-2021</t>
        </is>
      </c>
      <c r="B400" s="1" t="n">
        <v>44447</v>
      </c>
      <c r="C400" s="1" t="n">
        <v>45925</v>
      </c>
      <c r="D400" t="inlineStr">
        <is>
          <t>KALMAR LÄN</t>
        </is>
      </c>
      <c r="E400" t="inlineStr">
        <is>
          <t>VÄSTERVIK</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18837-2021</t>
        </is>
      </c>
      <c r="B401" s="1" t="n">
        <v>44307</v>
      </c>
      <c r="C401" s="1" t="n">
        <v>45925</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45450-2023</t>
        </is>
      </c>
      <c r="B402" s="1" t="n">
        <v>45194</v>
      </c>
      <c r="C402" s="1" t="n">
        <v>45925</v>
      </c>
      <c r="D402" t="inlineStr">
        <is>
          <t>KALMAR LÄN</t>
        </is>
      </c>
      <c r="E402" t="inlineStr">
        <is>
          <t>VÄSTERVIK</t>
        </is>
      </c>
      <c r="F402" t="inlineStr">
        <is>
          <t>Holmen skog AB</t>
        </is>
      </c>
      <c r="G402" t="n">
        <v>1.5</v>
      </c>
      <c r="H402" t="n">
        <v>0</v>
      </c>
      <c r="I402" t="n">
        <v>0</v>
      </c>
      <c r="J402" t="n">
        <v>0</v>
      </c>
      <c r="K402" t="n">
        <v>0</v>
      </c>
      <c r="L402" t="n">
        <v>0</v>
      </c>
      <c r="M402" t="n">
        <v>0</v>
      </c>
      <c r="N402" t="n">
        <v>0</v>
      </c>
      <c r="O402" t="n">
        <v>0</v>
      </c>
      <c r="P402" t="n">
        <v>0</v>
      </c>
      <c r="Q402" t="n">
        <v>0</v>
      </c>
      <c r="R402" s="2" t="inlineStr"/>
    </row>
    <row r="403" ht="15" customHeight="1">
      <c r="A403" t="inlineStr">
        <is>
          <t>A 45474-2023</t>
        </is>
      </c>
      <c r="B403" s="1" t="n">
        <v>45194</v>
      </c>
      <c r="C403" s="1" t="n">
        <v>45925</v>
      </c>
      <c r="D403" t="inlineStr">
        <is>
          <t>KALMAR LÄN</t>
        </is>
      </c>
      <c r="E403" t="inlineStr">
        <is>
          <t>VÄSTERVIK</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15591-2021</t>
        </is>
      </c>
      <c r="B404" s="1" t="n">
        <v>44285.66303240741</v>
      </c>
      <c r="C404" s="1" t="n">
        <v>45925</v>
      </c>
      <c r="D404" t="inlineStr">
        <is>
          <t>KALMAR LÄN</t>
        </is>
      </c>
      <c r="E404" t="inlineStr">
        <is>
          <t>VÄSTERVIK</t>
        </is>
      </c>
      <c r="G404" t="n">
        <v>2.1</v>
      </c>
      <c r="H404" t="n">
        <v>0</v>
      </c>
      <c r="I404" t="n">
        <v>0</v>
      </c>
      <c r="J404" t="n">
        <v>0</v>
      </c>
      <c r="K404" t="n">
        <v>0</v>
      </c>
      <c r="L404" t="n">
        <v>0</v>
      </c>
      <c r="M404" t="n">
        <v>0</v>
      </c>
      <c r="N404" t="n">
        <v>0</v>
      </c>
      <c r="O404" t="n">
        <v>0</v>
      </c>
      <c r="P404" t="n">
        <v>0</v>
      </c>
      <c r="Q404" t="n">
        <v>0</v>
      </c>
      <c r="R404" s="2" t="inlineStr"/>
    </row>
    <row r="405" ht="15" customHeight="1">
      <c r="A405" t="inlineStr">
        <is>
          <t>A 4520-2024</t>
        </is>
      </c>
      <c r="B405" s="1" t="n">
        <v>45327</v>
      </c>
      <c r="C405" s="1" t="n">
        <v>45925</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49398-2021</t>
        </is>
      </c>
      <c r="B406" s="1" t="n">
        <v>44454.63141203704</v>
      </c>
      <c r="C406" s="1" t="n">
        <v>45925</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34644-2022</t>
        </is>
      </c>
      <c r="B407" s="1" t="n">
        <v>44795</v>
      </c>
      <c r="C407" s="1" t="n">
        <v>45925</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789-2021</t>
        </is>
      </c>
      <c r="B408" s="1" t="n">
        <v>44204</v>
      </c>
      <c r="C408" s="1" t="n">
        <v>45925</v>
      </c>
      <c r="D408" t="inlineStr">
        <is>
          <t>KALMAR LÄN</t>
        </is>
      </c>
      <c r="E408" t="inlineStr">
        <is>
          <t>VÄSTERVIK</t>
        </is>
      </c>
      <c r="G408" t="n">
        <v>1.8</v>
      </c>
      <c r="H408" t="n">
        <v>0</v>
      </c>
      <c r="I408" t="n">
        <v>0</v>
      </c>
      <c r="J408" t="n">
        <v>0</v>
      </c>
      <c r="K408" t="n">
        <v>0</v>
      </c>
      <c r="L408" t="n">
        <v>0</v>
      </c>
      <c r="M408" t="n">
        <v>0</v>
      </c>
      <c r="N408" t="n">
        <v>0</v>
      </c>
      <c r="O408" t="n">
        <v>0</v>
      </c>
      <c r="P408" t="n">
        <v>0</v>
      </c>
      <c r="Q408" t="n">
        <v>0</v>
      </c>
      <c r="R408" s="2" t="inlineStr"/>
    </row>
    <row r="409" ht="15" customHeight="1">
      <c r="A409" t="inlineStr">
        <is>
          <t>A 47363-2023</t>
        </is>
      </c>
      <c r="B409" s="1" t="n">
        <v>45202.59584490741</v>
      </c>
      <c r="C409" s="1" t="n">
        <v>45925</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43807-2021</t>
        </is>
      </c>
      <c r="B410" s="1" t="n">
        <v>44433</v>
      </c>
      <c r="C410" s="1" t="n">
        <v>45925</v>
      </c>
      <c r="D410" t="inlineStr">
        <is>
          <t>KALMAR LÄN</t>
        </is>
      </c>
      <c r="E410" t="inlineStr">
        <is>
          <t>VÄSTERVIK</t>
        </is>
      </c>
      <c r="G410" t="n">
        <v>3.2</v>
      </c>
      <c r="H410" t="n">
        <v>0</v>
      </c>
      <c r="I410" t="n">
        <v>0</v>
      </c>
      <c r="J410" t="n">
        <v>0</v>
      </c>
      <c r="K410" t="n">
        <v>0</v>
      </c>
      <c r="L410" t="n">
        <v>0</v>
      </c>
      <c r="M410" t="n">
        <v>0</v>
      </c>
      <c r="N410" t="n">
        <v>0</v>
      </c>
      <c r="O410" t="n">
        <v>0</v>
      </c>
      <c r="P410" t="n">
        <v>0</v>
      </c>
      <c r="Q410" t="n">
        <v>0</v>
      </c>
      <c r="R410" s="2" t="inlineStr"/>
    </row>
    <row r="411" ht="15" customHeight="1">
      <c r="A411" t="inlineStr">
        <is>
          <t>A 40920-2022</t>
        </is>
      </c>
      <c r="B411" s="1" t="n">
        <v>44825.40943287037</v>
      </c>
      <c r="C411" s="1" t="n">
        <v>45925</v>
      </c>
      <c r="D411" t="inlineStr">
        <is>
          <t>KALMAR LÄN</t>
        </is>
      </c>
      <c r="E411" t="inlineStr">
        <is>
          <t>VÄSTERVIK</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5355-2024</t>
        </is>
      </c>
      <c r="B412" s="1" t="n">
        <v>45331</v>
      </c>
      <c r="C412" s="1" t="n">
        <v>45925</v>
      </c>
      <c r="D412" t="inlineStr">
        <is>
          <t>KALMAR LÄN</t>
        </is>
      </c>
      <c r="E412" t="inlineStr">
        <is>
          <t>VÄSTERVIK</t>
        </is>
      </c>
      <c r="F412" t="inlineStr">
        <is>
          <t>Övriga Aktiebolag</t>
        </is>
      </c>
      <c r="G412" t="n">
        <v>1.8</v>
      </c>
      <c r="H412" t="n">
        <v>0</v>
      </c>
      <c r="I412" t="n">
        <v>0</v>
      </c>
      <c r="J412" t="n">
        <v>0</v>
      </c>
      <c r="K412" t="n">
        <v>0</v>
      </c>
      <c r="L412" t="n">
        <v>0</v>
      </c>
      <c r="M412" t="n">
        <v>0</v>
      </c>
      <c r="N412" t="n">
        <v>0</v>
      </c>
      <c r="O412" t="n">
        <v>0</v>
      </c>
      <c r="P412" t="n">
        <v>0</v>
      </c>
      <c r="Q412" t="n">
        <v>0</v>
      </c>
      <c r="R412" s="2" t="inlineStr"/>
    </row>
    <row r="413" ht="15" customHeight="1">
      <c r="A413" t="inlineStr">
        <is>
          <t>A 16689-2025</t>
        </is>
      </c>
      <c r="B413" s="1" t="n">
        <v>45754.45739583333</v>
      </c>
      <c r="C413" s="1" t="n">
        <v>45925</v>
      </c>
      <c r="D413" t="inlineStr">
        <is>
          <t>KALMAR LÄN</t>
        </is>
      </c>
      <c r="E413" t="inlineStr">
        <is>
          <t>VÄSTERVIK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16693-2025</t>
        </is>
      </c>
      <c r="B414" s="1" t="n">
        <v>45754.4644675926</v>
      </c>
      <c r="C414" s="1" t="n">
        <v>45925</v>
      </c>
      <c r="D414" t="inlineStr">
        <is>
          <t>KALMAR LÄN</t>
        </is>
      </c>
      <c r="E414" t="inlineStr">
        <is>
          <t>VÄSTERVIK</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7925-2023</t>
        </is>
      </c>
      <c r="B415" s="1" t="n">
        <v>44973.64606481481</v>
      </c>
      <c r="C415" s="1" t="n">
        <v>45925</v>
      </c>
      <c r="D415" t="inlineStr">
        <is>
          <t>KALMAR LÄN</t>
        </is>
      </c>
      <c r="E415" t="inlineStr">
        <is>
          <t>VÄSTERVIK</t>
        </is>
      </c>
      <c r="G415" t="n">
        <v>4.9</v>
      </c>
      <c r="H415" t="n">
        <v>0</v>
      </c>
      <c r="I415" t="n">
        <v>0</v>
      </c>
      <c r="J415" t="n">
        <v>0</v>
      </c>
      <c r="K415" t="n">
        <v>0</v>
      </c>
      <c r="L415" t="n">
        <v>0</v>
      </c>
      <c r="M415" t="n">
        <v>0</v>
      </c>
      <c r="N415" t="n">
        <v>0</v>
      </c>
      <c r="O415" t="n">
        <v>0</v>
      </c>
      <c r="P415" t="n">
        <v>0</v>
      </c>
      <c r="Q415" t="n">
        <v>0</v>
      </c>
      <c r="R415" s="2" t="inlineStr"/>
    </row>
    <row r="416" ht="15" customHeight="1">
      <c r="A416" t="inlineStr">
        <is>
          <t>A 51510-2024</t>
        </is>
      </c>
      <c r="B416" s="1" t="n">
        <v>45604.55837962963</v>
      </c>
      <c r="C416" s="1" t="n">
        <v>45925</v>
      </c>
      <c r="D416" t="inlineStr">
        <is>
          <t>KALMAR LÄN</t>
        </is>
      </c>
      <c r="E416" t="inlineStr">
        <is>
          <t>VÄSTERVIK</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928-2024</t>
        </is>
      </c>
      <c r="B417" s="1" t="n">
        <v>45301</v>
      </c>
      <c r="C417" s="1" t="n">
        <v>45925</v>
      </c>
      <c r="D417" t="inlineStr">
        <is>
          <t>KALMAR LÄN</t>
        </is>
      </c>
      <c r="E417" t="inlineStr">
        <is>
          <t>VÄSTERVIK</t>
        </is>
      </c>
      <c r="G417" t="n">
        <v>4.8</v>
      </c>
      <c r="H417" t="n">
        <v>0</v>
      </c>
      <c r="I417" t="n">
        <v>0</v>
      </c>
      <c r="J417" t="n">
        <v>0</v>
      </c>
      <c r="K417" t="n">
        <v>0</v>
      </c>
      <c r="L417" t="n">
        <v>0</v>
      </c>
      <c r="M417" t="n">
        <v>0</v>
      </c>
      <c r="N417" t="n">
        <v>0</v>
      </c>
      <c r="O417" t="n">
        <v>0</v>
      </c>
      <c r="P417" t="n">
        <v>0</v>
      </c>
      <c r="Q417" t="n">
        <v>0</v>
      </c>
      <c r="R417" s="2" t="inlineStr"/>
    </row>
    <row r="418" ht="15" customHeight="1">
      <c r="A418" t="inlineStr">
        <is>
          <t>A 21255-2021</t>
        </is>
      </c>
      <c r="B418" s="1" t="n">
        <v>44320.5672337963</v>
      </c>
      <c r="C418" s="1" t="n">
        <v>45925</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11189-2024</t>
        </is>
      </c>
      <c r="B419" s="1" t="n">
        <v>45371</v>
      </c>
      <c r="C419" s="1" t="n">
        <v>45925</v>
      </c>
      <c r="D419" t="inlineStr">
        <is>
          <t>KALMAR LÄN</t>
        </is>
      </c>
      <c r="E419" t="inlineStr">
        <is>
          <t>VÄSTERVIK</t>
        </is>
      </c>
      <c r="G419" t="n">
        <v>5.2</v>
      </c>
      <c r="H419" t="n">
        <v>0</v>
      </c>
      <c r="I419" t="n">
        <v>0</v>
      </c>
      <c r="J419" t="n">
        <v>0</v>
      </c>
      <c r="K419" t="n">
        <v>0</v>
      </c>
      <c r="L419" t="n">
        <v>0</v>
      </c>
      <c r="M419" t="n">
        <v>0</v>
      </c>
      <c r="N419" t="n">
        <v>0</v>
      </c>
      <c r="O419" t="n">
        <v>0</v>
      </c>
      <c r="P419" t="n">
        <v>0</v>
      </c>
      <c r="Q419" t="n">
        <v>0</v>
      </c>
      <c r="R419" s="2" t="inlineStr"/>
    </row>
    <row r="420" ht="15" customHeight="1">
      <c r="A420" t="inlineStr">
        <is>
          <t>A 39428-2025</t>
        </is>
      </c>
      <c r="B420" s="1" t="n">
        <v>45889.67436342593</v>
      </c>
      <c r="C420" s="1" t="n">
        <v>45925</v>
      </c>
      <c r="D420" t="inlineStr">
        <is>
          <t>KALMAR LÄN</t>
        </is>
      </c>
      <c r="E420" t="inlineStr">
        <is>
          <t>VÄSTERVIK</t>
        </is>
      </c>
      <c r="G420" t="n">
        <v>1</v>
      </c>
      <c r="H420" t="n">
        <v>0</v>
      </c>
      <c r="I420" t="n">
        <v>0</v>
      </c>
      <c r="J420" t="n">
        <v>0</v>
      </c>
      <c r="K420" t="n">
        <v>0</v>
      </c>
      <c r="L420" t="n">
        <v>0</v>
      </c>
      <c r="M420" t="n">
        <v>0</v>
      </c>
      <c r="N420" t="n">
        <v>0</v>
      </c>
      <c r="O420" t="n">
        <v>0</v>
      </c>
      <c r="P420" t="n">
        <v>0</v>
      </c>
      <c r="Q420" t="n">
        <v>0</v>
      </c>
      <c r="R420" s="2" t="inlineStr"/>
    </row>
    <row r="421" ht="15" customHeight="1">
      <c r="A421" t="inlineStr">
        <is>
          <t>A 8619-2024</t>
        </is>
      </c>
      <c r="B421" s="1" t="n">
        <v>45355.73599537037</v>
      </c>
      <c r="C421" s="1" t="n">
        <v>45925</v>
      </c>
      <c r="D421" t="inlineStr">
        <is>
          <t>KALMAR LÄN</t>
        </is>
      </c>
      <c r="E421" t="inlineStr">
        <is>
          <t>VÄSTERVIK</t>
        </is>
      </c>
      <c r="G421" t="n">
        <v>1.6</v>
      </c>
      <c r="H421" t="n">
        <v>0</v>
      </c>
      <c r="I421" t="n">
        <v>0</v>
      </c>
      <c r="J421" t="n">
        <v>0</v>
      </c>
      <c r="K421" t="n">
        <v>0</v>
      </c>
      <c r="L421" t="n">
        <v>0</v>
      </c>
      <c r="M421" t="n">
        <v>0</v>
      </c>
      <c r="N421" t="n">
        <v>0</v>
      </c>
      <c r="O421" t="n">
        <v>0</v>
      </c>
      <c r="P421" t="n">
        <v>0</v>
      </c>
      <c r="Q421" t="n">
        <v>0</v>
      </c>
      <c r="R421" s="2" t="inlineStr"/>
    </row>
    <row r="422" ht="15" customHeight="1">
      <c r="A422" t="inlineStr">
        <is>
          <t>A 34916-2025</t>
        </is>
      </c>
      <c r="B422" s="1" t="n">
        <v>45849.54420138889</v>
      </c>
      <c r="C422" s="1" t="n">
        <v>45925</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63812-2021</t>
        </is>
      </c>
      <c r="B423" s="1" t="n">
        <v>44509.56346064815</v>
      </c>
      <c r="C423" s="1" t="n">
        <v>45925</v>
      </c>
      <c r="D423" t="inlineStr">
        <is>
          <t>KALMAR LÄN</t>
        </is>
      </c>
      <c r="E423" t="inlineStr">
        <is>
          <t>VÄSTERVIK</t>
        </is>
      </c>
      <c r="G423" t="n">
        <v>2.1</v>
      </c>
      <c r="H423" t="n">
        <v>0</v>
      </c>
      <c r="I423" t="n">
        <v>0</v>
      </c>
      <c r="J423" t="n">
        <v>0</v>
      </c>
      <c r="K423" t="n">
        <v>0</v>
      </c>
      <c r="L423" t="n">
        <v>0</v>
      </c>
      <c r="M423" t="n">
        <v>0</v>
      </c>
      <c r="N423" t="n">
        <v>0</v>
      </c>
      <c r="O423" t="n">
        <v>0</v>
      </c>
      <c r="P423" t="n">
        <v>0</v>
      </c>
      <c r="Q423" t="n">
        <v>0</v>
      </c>
      <c r="R423" s="2" t="inlineStr"/>
    </row>
    <row r="424" ht="15" customHeight="1">
      <c r="A424" t="inlineStr">
        <is>
          <t>A 59196-2024</t>
        </is>
      </c>
      <c r="B424" s="1" t="n">
        <v>45637.54589120371</v>
      </c>
      <c r="C424" s="1" t="n">
        <v>45925</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8007-2023</t>
        </is>
      </c>
      <c r="B425" s="1" t="n">
        <v>44973.88759259259</v>
      </c>
      <c r="C425" s="1" t="n">
        <v>45925</v>
      </c>
      <c r="D425" t="inlineStr">
        <is>
          <t>KALMAR LÄN</t>
        </is>
      </c>
      <c r="E425" t="inlineStr">
        <is>
          <t>VÄSTERVIK</t>
        </is>
      </c>
      <c r="G425" t="n">
        <v>4.5</v>
      </c>
      <c r="H425" t="n">
        <v>0</v>
      </c>
      <c r="I425" t="n">
        <v>0</v>
      </c>
      <c r="J425" t="n">
        <v>0</v>
      </c>
      <c r="K425" t="n">
        <v>0</v>
      </c>
      <c r="L425" t="n">
        <v>0</v>
      </c>
      <c r="M425" t="n">
        <v>0</v>
      </c>
      <c r="N425" t="n">
        <v>0</v>
      </c>
      <c r="O425" t="n">
        <v>0</v>
      </c>
      <c r="P425" t="n">
        <v>0</v>
      </c>
      <c r="Q425" t="n">
        <v>0</v>
      </c>
      <c r="R425" s="2" t="inlineStr"/>
    </row>
    <row r="426" ht="15" customHeight="1">
      <c r="A426" t="inlineStr">
        <is>
          <t>A 57924-2024</t>
        </is>
      </c>
      <c r="B426" s="1" t="n">
        <v>45631.51325231481</v>
      </c>
      <c r="C426" s="1" t="n">
        <v>45925</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10012-2025</t>
        </is>
      </c>
      <c r="B427" s="1" t="n">
        <v>45719.46681712963</v>
      </c>
      <c r="C427" s="1" t="n">
        <v>45925</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562-2023</t>
        </is>
      </c>
      <c r="B428" s="1" t="n">
        <v>44930</v>
      </c>
      <c r="C428" s="1" t="n">
        <v>45925</v>
      </c>
      <c r="D428" t="inlineStr">
        <is>
          <t>KALMAR LÄN</t>
        </is>
      </c>
      <c r="E428" t="inlineStr">
        <is>
          <t>VÄSTERVIK</t>
        </is>
      </c>
      <c r="G428" t="n">
        <v>0.4</v>
      </c>
      <c r="H428" t="n">
        <v>0</v>
      </c>
      <c r="I428" t="n">
        <v>0</v>
      </c>
      <c r="J428" t="n">
        <v>0</v>
      </c>
      <c r="K428" t="n">
        <v>0</v>
      </c>
      <c r="L428" t="n">
        <v>0</v>
      </c>
      <c r="M428" t="n">
        <v>0</v>
      </c>
      <c r="N428" t="n">
        <v>0</v>
      </c>
      <c r="O428" t="n">
        <v>0</v>
      </c>
      <c r="P428" t="n">
        <v>0</v>
      </c>
      <c r="Q428" t="n">
        <v>0</v>
      </c>
      <c r="R428" s="2" t="inlineStr"/>
    </row>
    <row r="429" ht="15" customHeight="1">
      <c r="A429" t="inlineStr">
        <is>
          <t>A 1699-2023</t>
        </is>
      </c>
      <c r="B429" s="1" t="n">
        <v>44935</v>
      </c>
      <c r="C429" s="1" t="n">
        <v>45925</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31318-2021</t>
        </is>
      </c>
      <c r="B430" s="1" t="n">
        <v>44368</v>
      </c>
      <c r="C430" s="1" t="n">
        <v>45925</v>
      </c>
      <c r="D430" t="inlineStr">
        <is>
          <t>KALMAR LÄN</t>
        </is>
      </c>
      <c r="E430" t="inlineStr">
        <is>
          <t>VÄSTERVIK</t>
        </is>
      </c>
      <c r="G430" t="n">
        <v>1.6</v>
      </c>
      <c r="H430" t="n">
        <v>0</v>
      </c>
      <c r="I430" t="n">
        <v>0</v>
      </c>
      <c r="J430" t="n">
        <v>0</v>
      </c>
      <c r="K430" t="n">
        <v>0</v>
      </c>
      <c r="L430" t="n">
        <v>0</v>
      </c>
      <c r="M430" t="n">
        <v>0</v>
      </c>
      <c r="N430" t="n">
        <v>0</v>
      </c>
      <c r="O430" t="n">
        <v>0</v>
      </c>
      <c r="P430" t="n">
        <v>0</v>
      </c>
      <c r="Q430" t="n">
        <v>0</v>
      </c>
      <c r="R430" s="2" t="inlineStr"/>
    </row>
    <row r="431" ht="15" customHeight="1">
      <c r="A431" t="inlineStr">
        <is>
          <t>A 48035-2024</t>
        </is>
      </c>
      <c r="B431" s="1" t="n">
        <v>45589.49168981481</v>
      </c>
      <c r="C431" s="1" t="n">
        <v>45925</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12433-2024</t>
        </is>
      </c>
      <c r="B432" s="1" t="n">
        <v>45379.44450231481</v>
      </c>
      <c r="C432" s="1" t="n">
        <v>45925</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40165-2025</t>
        </is>
      </c>
      <c r="B433" s="1" t="n">
        <v>45894.62219907407</v>
      </c>
      <c r="C433" s="1" t="n">
        <v>45925</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17650-2023</t>
        </is>
      </c>
      <c r="B434" s="1" t="n">
        <v>45036.70215277778</v>
      </c>
      <c r="C434" s="1" t="n">
        <v>45925</v>
      </c>
      <c r="D434" t="inlineStr">
        <is>
          <t>KALMAR LÄN</t>
        </is>
      </c>
      <c r="E434" t="inlineStr">
        <is>
          <t>VÄSTERVIK</t>
        </is>
      </c>
      <c r="G434" t="n">
        <v>0.3</v>
      </c>
      <c r="H434" t="n">
        <v>0</v>
      </c>
      <c r="I434" t="n">
        <v>0</v>
      </c>
      <c r="J434" t="n">
        <v>0</v>
      </c>
      <c r="K434" t="n">
        <v>0</v>
      </c>
      <c r="L434" t="n">
        <v>0</v>
      </c>
      <c r="M434" t="n">
        <v>0</v>
      </c>
      <c r="N434" t="n">
        <v>0</v>
      </c>
      <c r="O434" t="n">
        <v>0</v>
      </c>
      <c r="P434" t="n">
        <v>0</v>
      </c>
      <c r="Q434" t="n">
        <v>0</v>
      </c>
      <c r="R434" s="2" t="inlineStr"/>
    </row>
    <row r="435" ht="15" customHeight="1">
      <c r="A435" t="inlineStr">
        <is>
          <t>A 40168-2025</t>
        </is>
      </c>
      <c r="B435" s="1" t="n">
        <v>45894.62775462963</v>
      </c>
      <c r="C435" s="1" t="n">
        <v>45925</v>
      </c>
      <c r="D435" t="inlineStr">
        <is>
          <t>KALMAR LÄN</t>
        </is>
      </c>
      <c r="E435" t="inlineStr">
        <is>
          <t>VÄSTERVIK</t>
        </is>
      </c>
      <c r="G435" t="n">
        <v>0.3</v>
      </c>
      <c r="H435" t="n">
        <v>0</v>
      </c>
      <c r="I435" t="n">
        <v>0</v>
      </c>
      <c r="J435" t="n">
        <v>0</v>
      </c>
      <c r="K435" t="n">
        <v>0</v>
      </c>
      <c r="L435" t="n">
        <v>0</v>
      </c>
      <c r="M435" t="n">
        <v>0</v>
      </c>
      <c r="N435" t="n">
        <v>0</v>
      </c>
      <c r="O435" t="n">
        <v>0</v>
      </c>
      <c r="P435" t="n">
        <v>0</v>
      </c>
      <c r="Q435" t="n">
        <v>0</v>
      </c>
      <c r="R435" s="2" t="inlineStr"/>
    </row>
    <row r="436" ht="15" customHeight="1">
      <c r="A436" t="inlineStr">
        <is>
          <t>A 49452-2023</t>
        </is>
      </c>
      <c r="B436" s="1" t="n">
        <v>45211.49424768519</v>
      </c>
      <c r="C436" s="1" t="n">
        <v>45925</v>
      </c>
      <c r="D436" t="inlineStr">
        <is>
          <t>KALMAR LÄN</t>
        </is>
      </c>
      <c r="E436" t="inlineStr">
        <is>
          <t>VÄSTERVIK</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46267-2022</t>
        </is>
      </c>
      <c r="B437" s="1" t="n">
        <v>44847</v>
      </c>
      <c r="C437" s="1" t="n">
        <v>45925</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59170-2022</t>
        </is>
      </c>
      <c r="B438" s="1" t="n">
        <v>44904.48152777777</v>
      </c>
      <c r="C438" s="1" t="n">
        <v>45925</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59212-2022</t>
        </is>
      </c>
      <c r="B439" s="1" t="n">
        <v>44904.52560185185</v>
      </c>
      <c r="C439" s="1" t="n">
        <v>45925</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59227-2022</t>
        </is>
      </c>
      <c r="B440" s="1" t="n">
        <v>44904</v>
      </c>
      <c r="C440" s="1" t="n">
        <v>45925</v>
      </c>
      <c r="D440" t="inlineStr">
        <is>
          <t>KALMAR LÄN</t>
        </is>
      </c>
      <c r="E440" t="inlineStr">
        <is>
          <t>VÄSTERVIK</t>
        </is>
      </c>
      <c r="G440" t="n">
        <v>6</v>
      </c>
      <c r="H440" t="n">
        <v>0</v>
      </c>
      <c r="I440" t="n">
        <v>0</v>
      </c>
      <c r="J440" t="n">
        <v>0</v>
      </c>
      <c r="K440" t="n">
        <v>0</v>
      </c>
      <c r="L440" t="n">
        <v>0</v>
      </c>
      <c r="M440" t="n">
        <v>0</v>
      </c>
      <c r="N440" t="n">
        <v>0</v>
      </c>
      <c r="O440" t="n">
        <v>0</v>
      </c>
      <c r="P440" t="n">
        <v>0</v>
      </c>
      <c r="Q440" t="n">
        <v>0</v>
      </c>
      <c r="R440" s="2" t="inlineStr"/>
    </row>
    <row r="441" ht="15" customHeight="1">
      <c r="A441" t="inlineStr">
        <is>
          <t>A 31952-2021</t>
        </is>
      </c>
      <c r="B441" s="1" t="n">
        <v>44370</v>
      </c>
      <c r="C441" s="1" t="n">
        <v>45925</v>
      </c>
      <c r="D441" t="inlineStr">
        <is>
          <t>KALMAR LÄN</t>
        </is>
      </c>
      <c r="E441" t="inlineStr">
        <is>
          <t>VÄSTERVIK</t>
        </is>
      </c>
      <c r="G441" t="n">
        <v>1.7</v>
      </c>
      <c r="H441" t="n">
        <v>0</v>
      </c>
      <c r="I441" t="n">
        <v>0</v>
      </c>
      <c r="J441" t="n">
        <v>0</v>
      </c>
      <c r="K441" t="n">
        <v>0</v>
      </c>
      <c r="L441" t="n">
        <v>0</v>
      </c>
      <c r="M441" t="n">
        <v>0</v>
      </c>
      <c r="N441" t="n">
        <v>0</v>
      </c>
      <c r="O441" t="n">
        <v>0</v>
      </c>
      <c r="P441" t="n">
        <v>0</v>
      </c>
      <c r="Q441" t="n">
        <v>0</v>
      </c>
      <c r="R441" s="2" t="inlineStr"/>
    </row>
    <row r="442" ht="15" customHeight="1">
      <c r="A442" t="inlineStr">
        <is>
          <t>A 58217-2022</t>
        </is>
      </c>
      <c r="B442" s="1" t="n">
        <v>44901.36453703704</v>
      </c>
      <c r="C442" s="1" t="n">
        <v>45925</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46560-2022</t>
        </is>
      </c>
      <c r="B443" s="1" t="n">
        <v>44848</v>
      </c>
      <c r="C443" s="1" t="n">
        <v>45925</v>
      </c>
      <c r="D443" t="inlineStr">
        <is>
          <t>KALMAR LÄN</t>
        </is>
      </c>
      <c r="E443" t="inlineStr">
        <is>
          <t>VÄSTERVIK</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27982-2025</t>
        </is>
      </c>
      <c r="B444" s="1" t="n">
        <v>45817.57549768518</v>
      </c>
      <c r="C444" s="1" t="n">
        <v>45925</v>
      </c>
      <c r="D444" t="inlineStr">
        <is>
          <t>KALMAR LÄN</t>
        </is>
      </c>
      <c r="E444" t="inlineStr">
        <is>
          <t>VÄSTERVIK</t>
        </is>
      </c>
      <c r="G444" t="n">
        <v>2.5</v>
      </c>
      <c r="H444" t="n">
        <v>0</v>
      </c>
      <c r="I444" t="n">
        <v>0</v>
      </c>
      <c r="J444" t="n">
        <v>0</v>
      </c>
      <c r="K444" t="n">
        <v>0</v>
      </c>
      <c r="L444" t="n">
        <v>0</v>
      </c>
      <c r="M444" t="n">
        <v>0</v>
      </c>
      <c r="N444" t="n">
        <v>0</v>
      </c>
      <c r="O444" t="n">
        <v>0</v>
      </c>
      <c r="P444" t="n">
        <v>0</v>
      </c>
      <c r="Q444" t="n">
        <v>0</v>
      </c>
      <c r="R444" s="2" t="inlineStr"/>
    </row>
    <row r="445" ht="15" customHeight="1">
      <c r="A445" t="inlineStr">
        <is>
          <t>A 1874-2025</t>
        </is>
      </c>
      <c r="B445" s="1" t="n">
        <v>45671.61953703704</v>
      </c>
      <c r="C445" s="1" t="n">
        <v>45925</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40038-2025</t>
        </is>
      </c>
      <c r="B446" s="1" t="n">
        <v>45894.39395833333</v>
      </c>
      <c r="C446" s="1" t="n">
        <v>45925</v>
      </c>
      <c r="D446" t="inlineStr">
        <is>
          <t>KALMAR LÄN</t>
        </is>
      </c>
      <c r="E446" t="inlineStr">
        <is>
          <t>VÄSTERVIK</t>
        </is>
      </c>
      <c r="G446" t="n">
        <v>3.2</v>
      </c>
      <c r="H446" t="n">
        <v>0</v>
      </c>
      <c r="I446" t="n">
        <v>0</v>
      </c>
      <c r="J446" t="n">
        <v>0</v>
      </c>
      <c r="K446" t="n">
        <v>0</v>
      </c>
      <c r="L446" t="n">
        <v>0</v>
      </c>
      <c r="M446" t="n">
        <v>0</v>
      </c>
      <c r="N446" t="n">
        <v>0</v>
      </c>
      <c r="O446" t="n">
        <v>0</v>
      </c>
      <c r="P446" t="n">
        <v>0</v>
      </c>
      <c r="Q446" t="n">
        <v>0</v>
      </c>
      <c r="R446" s="2" t="inlineStr"/>
    </row>
    <row r="447" ht="15" customHeight="1">
      <c r="A447" t="inlineStr">
        <is>
          <t>A 13836-2024</t>
        </is>
      </c>
      <c r="B447" s="1" t="n">
        <v>45391.44385416667</v>
      </c>
      <c r="C447" s="1" t="n">
        <v>45925</v>
      </c>
      <c r="D447" t="inlineStr">
        <is>
          <t>KALMAR LÄN</t>
        </is>
      </c>
      <c r="E447" t="inlineStr">
        <is>
          <t>VÄSTERVIK</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64920-2021</t>
        </is>
      </c>
      <c r="B448" s="1" t="n">
        <v>44512</v>
      </c>
      <c r="C448" s="1" t="n">
        <v>45925</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c r="U448">
        <f>HYPERLINK("https://klasma.github.io/Logging_0883/knärot/A 64920-2021 karta knärot.png", "A 64920-2021")</f>
        <v/>
      </c>
      <c r="V448">
        <f>HYPERLINK("https://klasma.github.io/Logging_0883/klagomål/A 64920-2021 FSC-klagomål.docx", "A 64920-2021")</f>
        <v/>
      </c>
      <c r="W448">
        <f>HYPERLINK("https://klasma.github.io/Logging_0883/klagomålsmail/A 64920-2021 FSC-klagomål mail.docx", "A 64920-2021")</f>
        <v/>
      </c>
      <c r="X448">
        <f>HYPERLINK("https://klasma.github.io/Logging_0883/tillsyn/A 64920-2021 tillsynsbegäran.docx", "A 64920-2021")</f>
        <v/>
      </c>
      <c r="Y448">
        <f>HYPERLINK("https://klasma.github.io/Logging_0883/tillsynsmail/A 64920-2021 tillsynsbegäran mail.docx", "A 64920-2021")</f>
        <v/>
      </c>
    </row>
    <row r="449" ht="15" customHeight="1">
      <c r="A449" t="inlineStr">
        <is>
          <t>A 51264-2020</t>
        </is>
      </c>
      <c r="B449" s="1" t="n">
        <v>44112</v>
      </c>
      <c r="C449" s="1" t="n">
        <v>45925</v>
      </c>
      <c r="D449" t="inlineStr">
        <is>
          <t>KALMAR LÄN</t>
        </is>
      </c>
      <c r="E449" t="inlineStr">
        <is>
          <t>VÄSTERVIK</t>
        </is>
      </c>
      <c r="G449" t="n">
        <v>0.7</v>
      </c>
      <c r="H449" t="n">
        <v>0</v>
      </c>
      <c r="I449" t="n">
        <v>0</v>
      </c>
      <c r="J449" t="n">
        <v>0</v>
      </c>
      <c r="K449" t="n">
        <v>0</v>
      </c>
      <c r="L449" t="n">
        <v>0</v>
      </c>
      <c r="M449" t="n">
        <v>0</v>
      </c>
      <c r="N449" t="n">
        <v>0</v>
      </c>
      <c r="O449" t="n">
        <v>0</v>
      </c>
      <c r="P449" t="n">
        <v>0</v>
      </c>
      <c r="Q449" t="n">
        <v>0</v>
      </c>
      <c r="R449" s="2" t="inlineStr"/>
    </row>
    <row r="450" ht="15" customHeight="1">
      <c r="A450" t="inlineStr">
        <is>
          <t>A 59871-2022</t>
        </is>
      </c>
      <c r="B450" s="1" t="n">
        <v>44908</v>
      </c>
      <c r="C450" s="1" t="n">
        <v>45925</v>
      </c>
      <c r="D450" t="inlineStr">
        <is>
          <t>KALMAR LÄN</t>
        </is>
      </c>
      <c r="E450" t="inlineStr">
        <is>
          <t>VÄSTERVIK</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16834-2023</t>
        </is>
      </c>
      <c r="B451" s="1" t="n">
        <v>45033</v>
      </c>
      <c r="C451" s="1" t="n">
        <v>45925</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11183-2024</t>
        </is>
      </c>
      <c r="B452" s="1" t="n">
        <v>45371.53141203704</v>
      </c>
      <c r="C452" s="1" t="n">
        <v>45925</v>
      </c>
      <c r="D452" t="inlineStr">
        <is>
          <t>KALMAR LÄN</t>
        </is>
      </c>
      <c r="E452" t="inlineStr">
        <is>
          <t>VÄSTERVIK</t>
        </is>
      </c>
      <c r="G452" t="n">
        <v>4.5</v>
      </c>
      <c r="H452" t="n">
        <v>0</v>
      </c>
      <c r="I452" t="n">
        <v>0</v>
      </c>
      <c r="J452" t="n">
        <v>0</v>
      </c>
      <c r="K452" t="n">
        <v>0</v>
      </c>
      <c r="L452" t="n">
        <v>0</v>
      </c>
      <c r="M452" t="n">
        <v>0</v>
      </c>
      <c r="N452" t="n">
        <v>0</v>
      </c>
      <c r="O452" t="n">
        <v>0</v>
      </c>
      <c r="P452" t="n">
        <v>0</v>
      </c>
      <c r="Q452" t="n">
        <v>0</v>
      </c>
      <c r="R452" s="2" t="inlineStr"/>
    </row>
    <row r="453" ht="15" customHeight="1">
      <c r="A453" t="inlineStr">
        <is>
          <t>A 28291-2024</t>
        </is>
      </c>
      <c r="B453" s="1" t="n">
        <v>45477</v>
      </c>
      <c r="C453" s="1" t="n">
        <v>45925</v>
      </c>
      <c r="D453" t="inlineStr">
        <is>
          <t>KALMAR LÄN</t>
        </is>
      </c>
      <c r="E453" t="inlineStr">
        <is>
          <t>VÄSTERVIK</t>
        </is>
      </c>
      <c r="G453" t="n">
        <v>3.2</v>
      </c>
      <c r="H453" t="n">
        <v>0</v>
      </c>
      <c r="I453" t="n">
        <v>0</v>
      </c>
      <c r="J453" t="n">
        <v>0</v>
      </c>
      <c r="K453" t="n">
        <v>0</v>
      </c>
      <c r="L453" t="n">
        <v>0</v>
      </c>
      <c r="M453" t="n">
        <v>0</v>
      </c>
      <c r="N453" t="n">
        <v>0</v>
      </c>
      <c r="O453" t="n">
        <v>0</v>
      </c>
      <c r="P453" t="n">
        <v>0</v>
      </c>
      <c r="Q453" t="n">
        <v>0</v>
      </c>
      <c r="R453" s="2" t="inlineStr"/>
    </row>
    <row r="454" ht="15" customHeight="1">
      <c r="A454" t="inlineStr">
        <is>
          <t>A 7255-2023</t>
        </is>
      </c>
      <c r="B454" s="1" t="n">
        <v>44970</v>
      </c>
      <c r="C454" s="1" t="n">
        <v>45925</v>
      </c>
      <c r="D454" t="inlineStr">
        <is>
          <t>KALMAR LÄN</t>
        </is>
      </c>
      <c r="E454" t="inlineStr">
        <is>
          <t>VÄSTERVIK</t>
        </is>
      </c>
      <c r="F454" t="inlineStr">
        <is>
          <t>Naturvårdsverket</t>
        </is>
      </c>
      <c r="G454" t="n">
        <v>0.6</v>
      </c>
      <c r="H454" t="n">
        <v>0</v>
      </c>
      <c r="I454" t="n">
        <v>0</v>
      </c>
      <c r="J454" t="n">
        <v>0</v>
      </c>
      <c r="K454" t="n">
        <v>0</v>
      </c>
      <c r="L454" t="n">
        <v>0</v>
      </c>
      <c r="M454" t="n">
        <v>0</v>
      </c>
      <c r="N454" t="n">
        <v>0</v>
      </c>
      <c r="O454" t="n">
        <v>0</v>
      </c>
      <c r="P454" t="n">
        <v>0</v>
      </c>
      <c r="Q454" t="n">
        <v>0</v>
      </c>
      <c r="R454" s="2" t="inlineStr"/>
      <c r="U454">
        <f>HYPERLINK("https://klasma.github.io/Logging_0883/knärot/A 7255-2023 karta knärot.png", "A 7255-2023")</f>
        <v/>
      </c>
      <c r="V454">
        <f>HYPERLINK("https://klasma.github.io/Logging_0883/klagomål/A 7255-2023 FSC-klagomål.docx", "A 7255-2023")</f>
        <v/>
      </c>
      <c r="W454">
        <f>HYPERLINK("https://klasma.github.io/Logging_0883/klagomålsmail/A 7255-2023 FSC-klagomål mail.docx", "A 7255-2023")</f>
        <v/>
      </c>
      <c r="X454">
        <f>HYPERLINK("https://klasma.github.io/Logging_0883/tillsyn/A 7255-2023 tillsynsbegäran.docx", "A 7255-2023")</f>
        <v/>
      </c>
      <c r="Y454">
        <f>HYPERLINK("https://klasma.github.io/Logging_0883/tillsynsmail/A 7255-2023 tillsynsbegäran mail.docx", "A 7255-2023")</f>
        <v/>
      </c>
    </row>
    <row r="455" ht="15" customHeight="1">
      <c r="A455" t="inlineStr">
        <is>
          <t>A 36050-2024</t>
        </is>
      </c>
      <c r="B455" s="1" t="n">
        <v>45533.620625</v>
      </c>
      <c r="C455" s="1" t="n">
        <v>45925</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12643-2024</t>
        </is>
      </c>
      <c r="B456" s="1" t="n">
        <v>45379</v>
      </c>
      <c r="C456" s="1" t="n">
        <v>45925</v>
      </c>
      <c r="D456" t="inlineStr">
        <is>
          <t>KALMAR LÄN</t>
        </is>
      </c>
      <c r="E456" t="inlineStr">
        <is>
          <t>VÄSTERVIK</t>
        </is>
      </c>
      <c r="F456" t="inlineStr">
        <is>
          <t>Kommuner</t>
        </is>
      </c>
      <c r="G456" t="n">
        <v>2.1</v>
      </c>
      <c r="H456" t="n">
        <v>0</v>
      </c>
      <c r="I456" t="n">
        <v>0</v>
      </c>
      <c r="J456" t="n">
        <v>0</v>
      </c>
      <c r="K456" t="n">
        <v>0</v>
      </c>
      <c r="L456" t="n">
        <v>0</v>
      </c>
      <c r="M456" t="n">
        <v>0</v>
      </c>
      <c r="N456" t="n">
        <v>0</v>
      </c>
      <c r="O456" t="n">
        <v>0</v>
      </c>
      <c r="P456" t="n">
        <v>0</v>
      </c>
      <c r="Q456" t="n">
        <v>0</v>
      </c>
      <c r="R456" s="2" t="inlineStr"/>
    </row>
    <row r="457" ht="15" customHeight="1">
      <c r="A457" t="inlineStr">
        <is>
          <t>A 45463-2024</t>
        </is>
      </c>
      <c r="B457" s="1" t="n">
        <v>45576.69753472223</v>
      </c>
      <c r="C457" s="1" t="n">
        <v>45925</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9025-2022</t>
        </is>
      </c>
      <c r="B458" s="1" t="n">
        <v>44615</v>
      </c>
      <c r="C458" s="1" t="n">
        <v>45925</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13840-2024</t>
        </is>
      </c>
      <c r="B459" s="1" t="n">
        <v>45391.44885416667</v>
      </c>
      <c r="C459" s="1" t="n">
        <v>45925</v>
      </c>
      <c r="D459" t="inlineStr">
        <is>
          <t>KALMAR LÄN</t>
        </is>
      </c>
      <c r="E459" t="inlineStr">
        <is>
          <t>VÄSTERVIK</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34471-2024</t>
        </is>
      </c>
      <c r="B460" s="1" t="n">
        <v>45525.59111111111</v>
      </c>
      <c r="C460" s="1" t="n">
        <v>45925</v>
      </c>
      <c r="D460" t="inlineStr">
        <is>
          <t>KALMAR LÄN</t>
        </is>
      </c>
      <c r="E460" t="inlineStr">
        <is>
          <t>VÄSTERVIK</t>
        </is>
      </c>
      <c r="G460" t="n">
        <v>1.1</v>
      </c>
      <c r="H460" t="n">
        <v>0</v>
      </c>
      <c r="I460" t="n">
        <v>0</v>
      </c>
      <c r="J460" t="n">
        <v>0</v>
      </c>
      <c r="K460" t="n">
        <v>0</v>
      </c>
      <c r="L460" t="n">
        <v>0</v>
      </c>
      <c r="M460" t="n">
        <v>0</v>
      </c>
      <c r="N460" t="n">
        <v>0</v>
      </c>
      <c r="O460" t="n">
        <v>0</v>
      </c>
      <c r="P460" t="n">
        <v>0</v>
      </c>
      <c r="Q460" t="n">
        <v>0</v>
      </c>
      <c r="R460" s="2" t="inlineStr"/>
    </row>
    <row r="461" ht="15" customHeight="1">
      <c r="A461" t="inlineStr">
        <is>
          <t>A 61580-2022</t>
        </is>
      </c>
      <c r="B461" s="1" t="n">
        <v>44916.62880787037</v>
      </c>
      <c r="C461" s="1" t="n">
        <v>45925</v>
      </c>
      <c r="D461" t="inlineStr">
        <is>
          <t>KALMAR LÄN</t>
        </is>
      </c>
      <c r="E461" t="inlineStr">
        <is>
          <t>VÄSTERVIK</t>
        </is>
      </c>
      <c r="G461" t="n">
        <v>3.5</v>
      </c>
      <c r="H461" t="n">
        <v>0</v>
      </c>
      <c r="I461" t="n">
        <v>0</v>
      </c>
      <c r="J461" t="n">
        <v>0</v>
      </c>
      <c r="K461" t="n">
        <v>0</v>
      </c>
      <c r="L461" t="n">
        <v>0</v>
      </c>
      <c r="M461" t="n">
        <v>0</v>
      </c>
      <c r="N461" t="n">
        <v>0</v>
      </c>
      <c r="O461" t="n">
        <v>0</v>
      </c>
      <c r="P461" t="n">
        <v>0</v>
      </c>
      <c r="Q461" t="n">
        <v>0</v>
      </c>
      <c r="R461" s="2" t="inlineStr"/>
    </row>
    <row r="462" ht="15" customHeight="1">
      <c r="A462" t="inlineStr">
        <is>
          <t>A 35214-2025</t>
        </is>
      </c>
      <c r="B462" s="1" t="n">
        <v>45853.47163194444</v>
      </c>
      <c r="C462" s="1" t="n">
        <v>45925</v>
      </c>
      <c r="D462" t="inlineStr">
        <is>
          <t>KALMAR LÄN</t>
        </is>
      </c>
      <c r="E462" t="inlineStr">
        <is>
          <t>VÄSTERVIK</t>
        </is>
      </c>
      <c r="G462" t="n">
        <v>10.7</v>
      </c>
      <c r="H462" t="n">
        <v>0</v>
      </c>
      <c r="I462" t="n">
        <v>0</v>
      </c>
      <c r="J462" t="n">
        <v>0</v>
      </c>
      <c r="K462" t="n">
        <v>0</v>
      </c>
      <c r="L462" t="n">
        <v>0</v>
      </c>
      <c r="M462" t="n">
        <v>0</v>
      </c>
      <c r="N462" t="n">
        <v>0</v>
      </c>
      <c r="O462" t="n">
        <v>0</v>
      </c>
      <c r="P462" t="n">
        <v>0</v>
      </c>
      <c r="Q462" t="n">
        <v>0</v>
      </c>
      <c r="R462" s="2" t="inlineStr"/>
    </row>
    <row r="463" ht="15" customHeight="1">
      <c r="A463" t="inlineStr">
        <is>
          <t>A 35207-2025</t>
        </is>
      </c>
      <c r="B463" s="1" t="n">
        <v>45853.43320601852</v>
      </c>
      <c r="C463" s="1" t="n">
        <v>45925</v>
      </c>
      <c r="D463" t="inlineStr">
        <is>
          <t>KALMAR LÄN</t>
        </is>
      </c>
      <c r="E463" t="inlineStr">
        <is>
          <t>VÄSTERVIK</t>
        </is>
      </c>
      <c r="G463" t="n">
        <v>7</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45925</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15106-2023</t>
        </is>
      </c>
      <c r="B465" s="1" t="n">
        <v>45016.41767361111</v>
      </c>
      <c r="C465" s="1" t="n">
        <v>45925</v>
      </c>
      <c r="D465" t="inlineStr">
        <is>
          <t>KALMAR LÄN</t>
        </is>
      </c>
      <c r="E465" t="inlineStr">
        <is>
          <t>VÄSTERVIK</t>
        </is>
      </c>
      <c r="G465" t="n">
        <v>0.4</v>
      </c>
      <c r="H465" t="n">
        <v>0</v>
      </c>
      <c r="I465" t="n">
        <v>0</v>
      </c>
      <c r="J465" t="n">
        <v>0</v>
      </c>
      <c r="K465" t="n">
        <v>0</v>
      </c>
      <c r="L465" t="n">
        <v>0</v>
      </c>
      <c r="M465" t="n">
        <v>0</v>
      </c>
      <c r="N465" t="n">
        <v>0</v>
      </c>
      <c r="O465" t="n">
        <v>0</v>
      </c>
      <c r="P465" t="n">
        <v>0</v>
      </c>
      <c r="Q465" t="n">
        <v>0</v>
      </c>
      <c r="R465" s="2" t="inlineStr"/>
    </row>
    <row r="466" ht="15" customHeight="1">
      <c r="A466" t="inlineStr">
        <is>
          <t>A 60848-2020</t>
        </is>
      </c>
      <c r="B466" s="1" t="n">
        <v>44152</v>
      </c>
      <c r="C466" s="1" t="n">
        <v>45925</v>
      </c>
      <c r="D466" t="inlineStr">
        <is>
          <t>KALMAR LÄN</t>
        </is>
      </c>
      <c r="E466" t="inlineStr">
        <is>
          <t>VÄSTERVIK</t>
        </is>
      </c>
      <c r="G466" t="n">
        <v>2.7</v>
      </c>
      <c r="H466" t="n">
        <v>0</v>
      </c>
      <c r="I466" t="n">
        <v>0</v>
      </c>
      <c r="J466" t="n">
        <v>0</v>
      </c>
      <c r="K466" t="n">
        <v>0</v>
      </c>
      <c r="L466" t="n">
        <v>0</v>
      </c>
      <c r="M466" t="n">
        <v>0</v>
      </c>
      <c r="N466" t="n">
        <v>0</v>
      </c>
      <c r="O466" t="n">
        <v>0</v>
      </c>
      <c r="P466" t="n">
        <v>0</v>
      </c>
      <c r="Q466" t="n">
        <v>0</v>
      </c>
      <c r="R466" s="2" t="inlineStr"/>
    </row>
    <row r="467" ht="15" customHeight="1">
      <c r="A467" t="inlineStr">
        <is>
          <t>A 24567-2024</t>
        </is>
      </c>
      <c r="B467" s="1" t="n">
        <v>45460.44732638889</v>
      </c>
      <c r="C467" s="1" t="n">
        <v>45925</v>
      </c>
      <c r="D467" t="inlineStr">
        <is>
          <t>KALMAR LÄN</t>
        </is>
      </c>
      <c r="E467" t="inlineStr">
        <is>
          <t>VÄSTERVIK</t>
        </is>
      </c>
      <c r="G467" t="n">
        <v>5.1</v>
      </c>
      <c r="H467" t="n">
        <v>0</v>
      </c>
      <c r="I467" t="n">
        <v>0</v>
      </c>
      <c r="J467" t="n">
        <v>0</v>
      </c>
      <c r="K467" t="n">
        <v>0</v>
      </c>
      <c r="L467" t="n">
        <v>0</v>
      </c>
      <c r="M467" t="n">
        <v>0</v>
      </c>
      <c r="N467" t="n">
        <v>0</v>
      </c>
      <c r="O467" t="n">
        <v>0</v>
      </c>
      <c r="P467" t="n">
        <v>0</v>
      </c>
      <c r="Q467" t="n">
        <v>0</v>
      </c>
      <c r="R467" s="2" t="inlineStr"/>
    </row>
    <row r="468" ht="15" customHeight="1">
      <c r="A468" t="inlineStr">
        <is>
          <t>A 28588-2022</t>
        </is>
      </c>
      <c r="B468" s="1" t="n">
        <v>44748</v>
      </c>
      <c r="C468" s="1" t="n">
        <v>45925</v>
      </c>
      <c r="D468" t="inlineStr">
        <is>
          <t>KALMAR LÄN</t>
        </is>
      </c>
      <c r="E468" t="inlineStr">
        <is>
          <t>VÄSTERVIK</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25561-2024</t>
        </is>
      </c>
      <c r="B469" s="1" t="n">
        <v>45463.58467592593</v>
      </c>
      <c r="C469" s="1" t="n">
        <v>45925</v>
      </c>
      <c r="D469" t="inlineStr">
        <is>
          <t>KALMAR LÄN</t>
        </is>
      </c>
      <c r="E469" t="inlineStr">
        <is>
          <t>VÄSTERVIK</t>
        </is>
      </c>
      <c r="F469" t="inlineStr">
        <is>
          <t>Holmen skog AB</t>
        </is>
      </c>
      <c r="G469" t="n">
        <v>7.2</v>
      </c>
      <c r="H469" t="n">
        <v>0</v>
      </c>
      <c r="I469" t="n">
        <v>0</v>
      </c>
      <c r="J469" t="n">
        <v>0</v>
      </c>
      <c r="K469" t="n">
        <v>0</v>
      </c>
      <c r="L469" t="n">
        <v>0</v>
      </c>
      <c r="M469" t="n">
        <v>0</v>
      </c>
      <c r="N469" t="n">
        <v>0</v>
      </c>
      <c r="O469" t="n">
        <v>0</v>
      </c>
      <c r="P469" t="n">
        <v>0</v>
      </c>
      <c r="Q469" t="n">
        <v>0</v>
      </c>
      <c r="R469" s="2" t="inlineStr"/>
    </row>
    <row r="470" ht="15" customHeight="1">
      <c r="A470" t="inlineStr">
        <is>
          <t>A 35187-2025</t>
        </is>
      </c>
      <c r="B470" s="1" t="n">
        <v>45853.31940972222</v>
      </c>
      <c r="C470" s="1" t="n">
        <v>45925</v>
      </c>
      <c r="D470" t="inlineStr">
        <is>
          <t>KALMAR LÄN</t>
        </is>
      </c>
      <c r="E470" t="inlineStr">
        <is>
          <t>VÄSTERVIK</t>
        </is>
      </c>
      <c r="G470" t="n">
        <v>1.6</v>
      </c>
      <c r="H470" t="n">
        <v>0</v>
      </c>
      <c r="I470" t="n">
        <v>0</v>
      </c>
      <c r="J470" t="n">
        <v>0</v>
      </c>
      <c r="K470" t="n">
        <v>0</v>
      </c>
      <c r="L470" t="n">
        <v>0</v>
      </c>
      <c r="M470" t="n">
        <v>0</v>
      </c>
      <c r="N470" t="n">
        <v>0</v>
      </c>
      <c r="O470" t="n">
        <v>0</v>
      </c>
      <c r="P470" t="n">
        <v>0</v>
      </c>
      <c r="Q470" t="n">
        <v>0</v>
      </c>
      <c r="R470" s="2" t="inlineStr"/>
    </row>
    <row r="471" ht="15" customHeight="1">
      <c r="A471" t="inlineStr">
        <is>
          <t>A 18143-2024</t>
        </is>
      </c>
      <c r="B471" s="1" t="n">
        <v>45420</v>
      </c>
      <c r="C471" s="1" t="n">
        <v>45925</v>
      </c>
      <c r="D471" t="inlineStr">
        <is>
          <t>KALMAR LÄN</t>
        </is>
      </c>
      <c r="E471" t="inlineStr">
        <is>
          <t>VÄSTERVIK</t>
        </is>
      </c>
      <c r="G471" t="n">
        <v>3</v>
      </c>
      <c r="H471" t="n">
        <v>0</v>
      </c>
      <c r="I471" t="n">
        <v>0</v>
      </c>
      <c r="J471" t="n">
        <v>0</v>
      </c>
      <c r="K471" t="n">
        <v>0</v>
      </c>
      <c r="L471" t="n">
        <v>0</v>
      </c>
      <c r="M471" t="n">
        <v>0</v>
      </c>
      <c r="N471" t="n">
        <v>0</v>
      </c>
      <c r="O471" t="n">
        <v>0</v>
      </c>
      <c r="P471" t="n">
        <v>0</v>
      </c>
      <c r="Q471" t="n">
        <v>0</v>
      </c>
      <c r="R471" s="2" t="inlineStr"/>
    </row>
    <row r="472" ht="15" customHeight="1">
      <c r="A472" t="inlineStr">
        <is>
          <t>A 56610-2022</t>
        </is>
      </c>
      <c r="B472" s="1" t="n">
        <v>44893.5862037037</v>
      </c>
      <c r="C472" s="1" t="n">
        <v>45925</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31592-2021</t>
        </is>
      </c>
      <c r="B473" s="1" t="n">
        <v>44369.56576388889</v>
      </c>
      <c r="C473" s="1" t="n">
        <v>45925</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15553-2024</t>
        </is>
      </c>
      <c r="B474" s="1" t="n">
        <v>45401.63736111111</v>
      </c>
      <c r="C474" s="1" t="n">
        <v>45925</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944-2024</t>
        </is>
      </c>
      <c r="B475" s="1" t="n">
        <v>45301.54230324074</v>
      </c>
      <c r="C475" s="1" t="n">
        <v>45925</v>
      </c>
      <c r="D475" t="inlineStr">
        <is>
          <t>KALMAR LÄN</t>
        </is>
      </c>
      <c r="E475" t="inlineStr">
        <is>
          <t>VÄSTERVIK</t>
        </is>
      </c>
      <c r="G475" t="n">
        <v>2.2</v>
      </c>
      <c r="H475" t="n">
        <v>0</v>
      </c>
      <c r="I475" t="n">
        <v>0</v>
      </c>
      <c r="J475" t="n">
        <v>0</v>
      </c>
      <c r="K475" t="n">
        <v>0</v>
      </c>
      <c r="L475" t="n">
        <v>0</v>
      </c>
      <c r="M475" t="n">
        <v>0</v>
      </c>
      <c r="N475" t="n">
        <v>0</v>
      </c>
      <c r="O475" t="n">
        <v>0</v>
      </c>
      <c r="P475" t="n">
        <v>0</v>
      </c>
      <c r="Q475" t="n">
        <v>0</v>
      </c>
      <c r="R475" s="2" t="inlineStr"/>
    </row>
    <row r="476" ht="15" customHeight="1">
      <c r="A476" t="inlineStr">
        <is>
          <t>A 946-2024</t>
        </is>
      </c>
      <c r="B476" s="1" t="n">
        <v>45301.54412037037</v>
      </c>
      <c r="C476" s="1" t="n">
        <v>45925</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19608-2025</t>
        </is>
      </c>
      <c r="B477" s="1" t="n">
        <v>45770.60177083333</v>
      </c>
      <c r="C477" s="1" t="n">
        <v>45925</v>
      </c>
      <c r="D477" t="inlineStr">
        <is>
          <t>KALMAR LÄN</t>
        </is>
      </c>
      <c r="E477" t="inlineStr">
        <is>
          <t>VÄSTERVIK</t>
        </is>
      </c>
      <c r="G477" t="n">
        <v>3.5</v>
      </c>
      <c r="H477" t="n">
        <v>0</v>
      </c>
      <c r="I477" t="n">
        <v>0</v>
      </c>
      <c r="J477" t="n">
        <v>0</v>
      </c>
      <c r="K477" t="n">
        <v>0</v>
      </c>
      <c r="L477" t="n">
        <v>0</v>
      </c>
      <c r="M477" t="n">
        <v>0</v>
      </c>
      <c r="N477" t="n">
        <v>0</v>
      </c>
      <c r="O477" t="n">
        <v>0</v>
      </c>
      <c r="P477" t="n">
        <v>0</v>
      </c>
      <c r="Q477" t="n">
        <v>0</v>
      </c>
      <c r="R477" s="2" t="inlineStr"/>
    </row>
    <row r="478" ht="15" customHeight="1">
      <c r="A478" t="inlineStr">
        <is>
          <t>A 13957-2025</t>
        </is>
      </c>
      <c r="B478" s="1" t="n">
        <v>45737.85231481482</v>
      </c>
      <c r="C478" s="1" t="n">
        <v>45925</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6312-2024</t>
        </is>
      </c>
      <c r="B479" s="1" t="n">
        <v>45338</v>
      </c>
      <c r="C479" s="1" t="n">
        <v>45925</v>
      </c>
      <c r="D479" t="inlineStr">
        <is>
          <t>KALMAR LÄN</t>
        </is>
      </c>
      <c r="E479" t="inlineStr">
        <is>
          <t>VÄSTERVIK</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23580-2023</t>
        </is>
      </c>
      <c r="B480" s="1" t="n">
        <v>45077</v>
      </c>
      <c r="C480" s="1" t="n">
        <v>45925</v>
      </c>
      <c r="D480" t="inlineStr">
        <is>
          <t>KALMAR LÄN</t>
        </is>
      </c>
      <c r="E480" t="inlineStr">
        <is>
          <t>VÄSTERVIK</t>
        </is>
      </c>
      <c r="G480" t="n">
        <v>1.9</v>
      </c>
      <c r="H480" t="n">
        <v>0</v>
      </c>
      <c r="I480" t="n">
        <v>0</v>
      </c>
      <c r="J480" t="n">
        <v>0</v>
      </c>
      <c r="K480" t="n">
        <v>0</v>
      </c>
      <c r="L480" t="n">
        <v>0</v>
      </c>
      <c r="M480" t="n">
        <v>0</v>
      </c>
      <c r="N480" t="n">
        <v>0</v>
      </c>
      <c r="O480" t="n">
        <v>0</v>
      </c>
      <c r="P480" t="n">
        <v>0</v>
      </c>
      <c r="Q480" t="n">
        <v>0</v>
      </c>
      <c r="R480" s="2" t="inlineStr"/>
    </row>
    <row r="481" ht="15" customHeight="1">
      <c r="A481" t="inlineStr">
        <is>
          <t>A 11584-2023</t>
        </is>
      </c>
      <c r="B481" s="1" t="n">
        <v>44994.35707175926</v>
      </c>
      <c r="C481" s="1" t="n">
        <v>45925</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21752-2024</t>
        </is>
      </c>
      <c r="B482" s="1" t="n">
        <v>45442.58048611111</v>
      </c>
      <c r="C482" s="1" t="n">
        <v>45925</v>
      </c>
      <c r="D482" t="inlineStr">
        <is>
          <t>KALMAR LÄN</t>
        </is>
      </c>
      <c r="E482" t="inlineStr">
        <is>
          <t>VÄSTERVIK</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13837-2024</t>
        </is>
      </c>
      <c r="B483" s="1" t="n">
        <v>45391.4450462963</v>
      </c>
      <c r="C483" s="1" t="n">
        <v>45925</v>
      </c>
      <c r="D483" t="inlineStr">
        <is>
          <t>KALMAR LÄN</t>
        </is>
      </c>
      <c r="E483" t="inlineStr">
        <is>
          <t>VÄSTERVIK</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13839-2024</t>
        </is>
      </c>
      <c r="B484" s="1" t="n">
        <v>45391.44789351852</v>
      </c>
      <c r="C484" s="1" t="n">
        <v>45925</v>
      </c>
      <c r="D484" t="inlineStr">
        <is>
          <t>KALMAR LÄN</t>
        </is>
      </c>
      <c r="E484" t="inlineStr">
        <is>
          <t>VÄSTERVIK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41312-2025</t>
        </is>
      </c>
      <c r="B485" s="1" t="n">
        <v>45898.80314814814</v>
      </c>
      <c r="C485" s="1" t="n">
        <v>45925</v>
      </c>
      <c r="D485" t="inlineStr">
        <is>
          <t>KALMAR LÄN</t>
        </is>
      </c>
      <c r="E485" t="inlineStr">
        <is>
          <t>VÄSTERVIK</t>
        </is>
      </c>
      <c r="G485" t="n">
        <v>0.8</v>
      </c>
      <c r="H485" t="n">
        <v>0</v>
      </c>
      <c r="I485" t="n">
        <v>0</v>
      </c>
      <c r="J485" t="n">
        <v>0</v>
      </c>
      <c r="K485" t="n">
        <v>0</v>
      </c>
      <c r="L485" t="n">
        <v>0</v>
      </c>
      <c r="M485" t="n">
        <v>0</v>
      </c>
      <c r="N485" t="n">
        <v>0</v>
      </c>
      <c r="O485" t="n">
        <v>0</v>
      </c>
      <c r="P485" t="n">
        <v>0</v>
      </c>
      <c r="Q485" t="n">
        <v>0</v>
      </c>
      <c r="R485" s="2" t="inlineStr"/>
    </row>
    <row r="486" ht="15" customHeight="1">
      <c r="A486" t="inlineStr">
        <is>
          <t>A 46596-2022</t>
        </is>
      </c>
      <c r="B486" s="1" t="n">
        <v>44848.8315625</v>
      </c>
      <c r="C486" s="1" t="n">
        <v>45925</v>
      </c>
      <c r="D486" t="inlineStr">
        <is>
          <t>KALMAR LÄN</t>
        </is>
      </c>
      <c r="E486" t="inlineStr">
        <is>
          <t>VÄSTERVIK</t>
        </is>
      </c>
      <c r="G486" t="n">
        <v>3.9</v>
      </c>
      <c r="H486" t="n">
        <v>0</v>
      </c>
      <c r="I486" t="n">
        <v>0</v>
      </c>
      <c r="J486" t="n">
        <v>0</v>
      </c>
      <c r="K486" t="n">
        <v>0</v>
      </c>
      <c r="L486" t="n">
        <v>0</v>
      </c>
      <c r="M486" t="n">
        <v>0</v>
      </c>
      <c r="N486" t="n">
        <v>0</v>
      </c>
      <c r="O486" t="n">
        <v>0</v>
      </c>
      <c r="P486" t="n">
        <v>0</v>
      </c>
      <c r="Q486" t="n">
        <v>0</v>
      </c>
      <c r="R486" s="2" t="inlineStr"/>
    </row>
    <row r="487" ht="15" customHeight="1">
      <c r="A487" t="inlineStr">
        <is>
          <t>A 31686-2023</t>
        </is>
      </c>
      <c r="B487" s="1" t="n">
        <v>45117</v>
      </c>
      <c r="C487" s="1" t="n">
        <v>45925</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30148-2024</t>
        </is>
      </c>
      <c r="B488" s="1" t="n">
        <v>45489.60528935185</v>
      </c>
      <c r="C488" s="1" t="n">
        <v>45925</v>
      </c>
      <c r="D488" t="inlineStr">
        <is>
          <t>KALMAR LÄN</t>
        </is>
      </c>
      <c r="E488" t="inlineStr">
        <is>
          <t>VÄSTERVIK</t>
        </is>
      </c>
      <c r="G488" t="n">
        <v>0.6</v>
      </c>
      <c r="H488" t="n">
        <v>0</v>
      </c>
      <c r="I488" t="n">
        <v>0</v>
      </c>
      <c r="J488" t="n">
        <v>0</v>
      </c>
      <c r="K488" t="n">
        <v>0</v>
      </c>
      <c r="L488" t="n">
        <v>0</v>
      </c>
      <c r="M488" t="n">
        <v>0</v>
      </c>
      <c r="N488" t="n">
        <v>0</v>
      </c>
      <c r="O488" t="n">
        <v>0</v>
      </c>
      <c r="P488" t="n">
        <v>0</v>
      </c>
      <c r="Q488" t="n">
        <v>0</v>
      </c>
      <c r="R488" s="2" t="inlineStr"/>
    </row>
    <row r="489" ht="15" customHeight="1">
      <c r="A489" t="inlineStr">
        <is>
          <t>A 25180-2023</t>
        </is>
      </c>
      <c r="B489" s="1" t="n">
        <v>45086</v>
      </c>
      <c r="C489" s="1" t="n">
        <v>45925</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7100-2023</t>
        </is>
      </c>
      <c r="B490" s="1" t="n">
        <v>44970.37244212963</v>
      </c>
      <c r="C490" s="1" t="n">
        <v>45925</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23626-2024</t>
        </is>
      </c>
      <c r="B491" s="1" t="n">
        <v>45454</v>
      </c>
      <c r="C491" s="1" t="n">
        <v>45925</v>
      </c>
      <c r="D491" t="inlineStr">
        <is>
          <t>KALMAR LÄN</t>
        </is>
      </c>
      <c r="E491" t="inlineStr">
        <is>
          <t>VÄSTERVIK</t>
        </is>
      </c>
      <c r="G491" t="n">
        <v>2.1</v>
      </c>
      <c r="H491" t="n">
        <v>0</v>
      </c>
      <c r="I491" t="n">
        <v>0</v>
      </c>
      <c r="J491" t="n">
        <v>0</v>
      </c>
      <c r="K491" t="n">
        <v>0</v>
      </c>
      <c r="L491" t="n">
        <v>0</v>
      </c>
      <c r="M491" t="n">
        <v>0</v>
      </c>
      <c r="N491" t="n">
        <v>0</v>
      </c>
      <c r="O491" t="n">
        <v>0</v>
      </c>
      <c r="P491" t="n">
        <v>0</v>
      </c>
      <c r="Q491" t="n">
        <v>0</v>
      </c>
      <c r="R491" s="2" t="inlineStr"/>
    </row>
    <row r="492" ht="15" customHeight="1">
      <c r="A492" t="inlineStr">
        <is>
          <t>A 26140-2024</t>
        </is>
      </c>
      <c r="B492" s="1" t="n">
        <v>45468</v>
      </c>
      <c r="C492" s="1" t="n">
        <v>45925</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24881-2023</t>
        </is>
      </c>
      <c r="B493" s="1" t="n">
        <v>45085</v>
      </c>
      <c r="C493" s="1" t="n">
        <v>45925</v>
      </c>
      <c r="D493" t="inlineStr">
        <is>
          <t>KALMAR LÄN</t>
        </is>
      </c>
      <c r="E493" t="inlineStr">
        <is>
          <t>VÄSTERVIK</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60634-2023</t>
        </is>
      </c>
      <c r="B494" s="1" t="n">
        <v>45260.40186342593</v>
      </c>
      <c r="C494" s="1" t="n">
        <v>45925</v>
      </c>
      <c r="D494" t="inlineStr">
        <is>
          <t>KALMAR LÄN</t>
        </is>
      </c>
      <c r="E494" t="inlineStr">
        <is>
          <t>VÄSTERVIK</t>
        </is>
      </c>
      <c r="G494" t="n">
        <v>2</v>
      </c>
      <c r="H494" t="n">
        <v>0</v>
      </c>
      <c r="I494" t="n">
        <v>0</v>
      </c>
      <c r="J494" t="n">
        <v>0</v>
      </c>
      <c r="K494" t="n">
        <v>0</v>
      </c>
      <c r="L494" t="n">
        <v>0</v>
      </c>
      <c r="M494" t="n">
        <v>0</v>
      </c>
      <c r="N494" t="n">
        <v>0</v>
      </c>
      <c r="O494" t="n">
        <v>0</v>
      </c>
      <c r="P494" t="n">
        <v>0</v>
      </c>
      <c r="Q494" t="n">
        <v>0</v>
      </c>
      <c r="R494" s="2" t="inlineStr"/>
    </row>
    <row r="495" ht="15" customHeight="1">
      <c r="A495" t="inlineStr">
        <is>
          <t>A 6616-2021</t>
        </is>
      </c>
      <c r="B495" s="1" t="n">
        <v>44236</v>
      </c>
      <c r="C495" s="1" t="n">
        <v>45925</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59202-2022</t>
        </is>
      </c>
      <c r="B496" s="1" t="n">
        <v>44904</v>
      </c>
      <c r="C496" s="1" t="n">
        <v>45925</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59210-2022</t>
        </is>
      </c>
      <c r="B497" s="1" t="n">
        <v>44904.51767361111</v>
      </c>
      <c r="C497" s="1" t="n">
        <v>45925</v>
      </c>
      <c r="D497" t="inlineStr">
        <is>
          <t>KALMAR LÄN</t>
        </is>
      </c>
      <c r="E497" t="inlineStr">
        <is>
          <t>VÄSTERVIK</t>
        </is>
      </c>
      <c r="G497" t="n">
        <v>21.2</v>
      </c>
      <c r="H497" t="n">
        <v>0</v>
      </c>
      <c r="I497" t="n">
        <v>0</v>
      </c>
      <c r="J497" t="n">
        <v>0</v>
      </c>
      <c r="K497" t="n">
        <v>0</v>
      </c>
      <c r="L497" t="n">
        <v>0</v>
      </c>
      <c r="M497" t="n">
        <v>0</v>
      </c>
      <c r="N497" t="n">
        <v>0</v>
      </c>
      <c r="O497" t="n">
        <v>0</v>
      </c>
      <c r="P497" t="n">
        <v>0</v>
      </c>
      <c r="Q497" t="n">
        <v>0</v>
      </c>
      <c r="R497" s="2" t="inlineStr"/>
    </row>
    <row r="498" ht="15" customHeight="1">
      <c r="A498" t="inlineStr">
        <is>
          <t>A 59220-2022</t>
        </is>
      </c>
      <c r="B498" s="1" t="n">
        <v>44904.53423611111</v>
      </c>
      <c r="C498" s="1" t="n">
        <v>45925</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56188-2023</t>
        </is>
      </c>
      <c r="B499" s="1" t="n">
        <v>45240.65173611111</v>
      </c>
      <c r="C499" s="1" t="n">
        <v>45925</v>
      </c>
      <c r="D499" t="inlineStr">
        <is>
          <t>KALMAR LÄN</t>
        </is>
      </c>
      <c r="E499" t="inlineStr">
        <is>
          <t>VÄSTERVIK</t>
        </is>
      </c>
      <c r="G499" t="n">
        <v>1.9</v>
      </c>
      <c r="H499" t="n">
        <v>0</v>
      </c>
      <c r="I499" t="n">
        <v>0</v>
      </c>
      <c r="J499" t="n">
        <v>0</v>
      </c>
      <c r="K499" t="n">
        <v>0</v>
      </c>
      <c r="L499" t="n">
        <v>0</v>
      </c>
      <c r="M499" t="n">
        <v>0</v>
      </c>
      <c r="N499" t="n">
        <v>0</v>
      </c>
      <c r="O499" t="n">
        <v>0</v>
      </c>
      <c r="P499" t="n">
        <v>0</v>
      </c>
      <c r="Q499" t="n">
        <v>0</v>
      </c>
      <c r="R499" s="2" t="inlineStr"/>
    </row>
    <row r="500" ht="15" customHeight="1">
      <c r="A500" t="inlineStr">
        <is>
          <t>A 32647-2023</t>
        </is>
      </c>
      <c r="B500" s="1" t="n">
        <v>45121</v>
      </c>
      <c r="C500" s="1" t="n">
        <v>45925</v>
      </c>
      <c r="D500" t="inlineStr">
        <is>
          <t>KALMAR LÄN</t>
        </is>
      </c>
      <c r="E500" t="inlineStr">
        <is>
          <t>VÄSTERVIK</t>
        </is>
      </c>
      <c r="G500" t="n">
        <v>0.9</v>
      </c>
      <c r="H500" t="n">
        <v>0</v>
      </c>
      <c r="I500" t="n">
        <v>0</v>
      </c>
      <c r="J500" t="n">
        <v>0</v>
      </c>
      <c r="K500" t="n">
        <v>0</v>
      </c>
      <c r="L500" t="n">
        <v>0</v>
      </c>
      <c r="M500" t="n">
        <v>0</v>
      </c>
      <c r="N500" t="n">
        <v>0</v>
      </c>
      <c r="O500" t="n">
        <v>0</v>
      </c>
      <c r="P500" t="n">
        <v>0</v>
      </c>
      <c r="Q500" t="n">
        <v>0</v>
      </c>
      <c r="R500" s="2" t="inlineStr"/>
    </row>
    <row r="501" ht="15" customHeight="1">
      <c r="A501" t="inlineStr">
        <is>
          <t>A 1785-2025</t>
        </is>
      </c>
      <c r="B501" s="1" t="n">
        <v>45671.45061342593</v>
      </c>
      <c r="C501" s="1" t="n">
        <v>45925</v>
      </c>
      <c r="D501" t="inlineStr">
        <is>
          <t>KALMAR LÄN</t>
        </is>
      </c>
      <c r="E501" t="inlineStr">
        <is>
          <t>VÄSTERVIK</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41342-2023</t>
        </is>
      </c>
      <c r="B502" s="1" t="n">
        <v>45174.72416666667</v>
      </c>
      <c r="C502" s="1" t="n">
        <v>45925</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13490-2022</t>
        </is>
      </c>
      <c r="B503" s="1" t="n">
        <v>44646</v>
      </c>
      <c r="C503" s="1" t="n">
        <v>45925</v>
      </c>
      <c r="D503" t="inlineStr">
        <is>
          <t>KALMAR LÄN</t>
        </is>
      </c>
      <c r="E503" t="inlineStr">
        <is>
          <t>VÄSTERVIK</t>
        </is>
      </c>
      <c r="G503" t="n">
        <v>2.4</v>
      </c>
      <c r="H503" t="n">
        <v>0</v>
      </c>
      <c r="I503" t="n">
        <v>0</v>
      </c>
      <c r="J503" t="n">
        <v>0</v>
      </c>
      <c r="K503" t="n">
        <v>0</v>
      </c>
      <c r="L503" t="n">
        <v>0</v>
      </c>
      <c r="M503" t="n">
        <v>0</v>
      </c>
      <c r="N503" t="n">
        <v>0</v>
      </c>
      <c r="O503" t="n">
        <v>0</v>
      </c>
      <c r="P503" t="n">
        <v>0</v>
      </c>
      <c r="Q503" t="n">
        <v>0</v>
      </c>
      <c r="R503" s="2" t="inlineStr"/>
    </row>
    <row r="504" ht="15" customHeight="1">
      <c r="A504" t="inlineStr">
        <is>
          <t>A 5684-2023</t>
        </is>
      </c>
      <c r="B504" s="1" t="n">
        <v>44960.73170138889</v>
      </c>
      <c r="C504" s="1" t="n">
        <v>45925</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49286-2022</t>
        </is>
      </c>
      <c r="B505" s="1" t="n">
        <v>44861.45876157407</v>
      </c>
      <c r="C505" s="1" t="n">
        <v>45925</v>
      </c>
      <c r="D505" t="inlineStr">
        <is>
          <t>KALMAR LÄN</t>
        </is>
      </c>
      <c r="E505" t="inlineStr">
        <is>
          <t>VÄSTERVIK</t>
        </is>
      </c>
      <c r="G505" t="n">
        <v>2.6</v>
      </c>
      <c r="H505" t="n">
        <v>0</v>
      </c>
      <c r="I505" t="n">
        <v>0</v>
      </c>
      <c r="J505" t="n">
        <v>0</v>
      </c>
      <c r="K505" t="n">
        <v>0</v>
      </c>
      <c r="L505" t="n">
        <v>0</v>
      </c>
      <c r="M505" t="n">
        <v>0</v>
      </c>
      <c r="N505" t="n">
        <v>0</v>
      </c>
      <c r="O505" t="n">
        <v>0</v>
      </c>
      <c r="P505" t="n">
        <v>0</v>
      </c>
      <c r="Q505" t="n">
        <v>0</v>
      </c>
      <c r="R505" s="2" t="inlineStr"/>
    </row>
    <row r="506" ht="15" customHeight="1">
      <c r="A506" t="inlineStr">
        <is>
          <t>A 56617-2021</t>
        </is>
      </c>
      <c r="B506" s="1" t="n">
        <v>44480</v>
      </c>
      <c r="C506" s="1" t="n">
        <v>45925</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44973.88452546296</v>
      </c>
      <c r="C507" s="1" t="n">
        <v>45925</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24584-2024</t>
        </is>
      </c>
      <c r="B508" s="1" t="n">
        <v>45460</v>
      </c>
      <c r="C508" s="1" t="n">
        <v>45925</v>
      </c>
      <c r="D508" t="inlineStr">
        <is>
          <t>KALMAR LÄN</t>
        </is>
      </c>
      <c r="E508" t="inlineStr">
        <is>
          <t>VÄSTERVIK</t>
        </is>
      </c>
      <c r="G508" t="n">
        <v>1.5</v>
      </c>
      <c r="H508" t="n">
        <v>0</v>
      </c>
      <c r="I508" t="n">
        <v>0</v>
      </c>
      <c r="J508" t="n">
        <v>0</v>
      </c>
      <c r="K508" t="n">
        <v>0</v>
      </c>
      <c r="L508" t="n">
        <v>0</v>
      </c>
      <c r="M508" t="n">
        <v>0</v>
      </c>
      <c r="N508" t="n">
        <v>0</v>
      </c>
      <c r="O508" t="n">
        <v>0</v>
      </c>
      <c r="P508" t="n">
        <v>0</v>
      </c>
      <c r="Q508" t="n">
        <v>0</v>
      </c>
      <c r="R508" s="2" t="inlineStr"/>
    </row>
    <row r="509" ht="15" customHeight="1">
      <c r="A509" t="inlineStr">
        <is>
          <t>A 66328-2020</t>
        </is>
      </c>
      <c r="B509" s="1" t="n">
        <v>44176</v>
      </c>
      <c r="C509" s="1" t="n">
        <v>45925</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32764-2022</t>
        </is>
      </c>
      <c r="B510" s="1" t="n">
        <v>44783</v>
      </c>
      <c r="C510" s="1" t="n">
        <v>45925</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59696-2023</t>
        </is>
      </c>
      <c r="B511" s="1" t="n">
        <v>45256.85211805555</v>
      </c>
      <c r="C511" s="1" t="n">
        <v>45925</v>
      </c>
      <c r="D511" t="inlineStr">
        <is>
          <t>KALMAR LÄN</t>
        </is>
      </c>
      <c r="E511" t="inlineStr">
        <is>
          <t>VÄSTERVIK</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4624-2023</t>
        </is>
      </c>
      <c r="B512" s="1" t="n">
        <v>44956</v>
      </c>
      <c r="C512" s="1" t="n">
        <v>45925</v>
      </c>
      <c r="D512" t="inlineStr">
        <is>
          <t>KALMAR LÄN</t>
        </is>
      </c>
      <c r="E512" t="inlineStr">
        <is>
          <t>VÄSTERVIK</t>
        </is>
      </c>
      <c r="F512" t="inlineStr">
        <is>
          <t>Holmen skog AB</t>
        </is>
      </c>
      <c r="G512" t="n">
        <v>7.1</v>
      </c>
      <c r="H512" t="n">
        <v>0</v>
      </c>
      <c r="I512" t="n">
        <v>0</v>
      </c>
      <c r="J512" t="n">
        <v>0</v>
      </c>
      <c r="K512" t="n">
        <v>0</v>
      </c>
      <c r="L512" t="n">
        <v>0</v>
      </c>
      <c r="M512" t="n">
        <v>0</v>
      </c>
      <c r="N512" t="n">
        <v>0</v>
      </c>
      <c r="O512" t="n">
        <v>0</v>
      </c>
      <c r="P512" t="n">
        <v>0</v>
      </c>
      <c r="Q512" t="n">
        <v>0</v>
      </c>
      <c r="R512" s="2" t="inlineStr"/>
    </row>
    <row r="513" ht="15" customHeight="1">
      <c r="A513" t="inlineStr">
        <is>
          <t>A 3492-2021</t>
        </is>
      </c>
      <c r="B513" s="1" t="n">
        <v>44218.60984953704</v>
      </c>
      <c r="C513" s="1" t="n">
        <v>45925</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60056-2023</t>
        </is>
      </c>
      <c r="B514" s="1" t="n">
        <v>45258</v>
      </c>
      <c r="C514" s="1" t="n">
        <v>45925</v>
      </c>
      <c r="D514" t="inlineStr">
        <is>
          <t>KALMAR LÄN</t>
        </is>
      </c>
      <c r="E514" t="inlineStr">
        <is>
          <t>VÄSTERVIK</t>
        </is>
      </c>
      <c r="G514" t="n">
        <v>0.4</v>
      </c>
      <c r="H514" t="n">
        <v>0</v>
      </c>
      <c r="I514" t="n">
        <v>0</v>
      </c>
      <c r="J514" t="n">
        <v>0</v>
      </c>
      <c r="K514" t="n">
        <v>0</v>
      </c>
      <c r="L514" t="n">
        <v>0</v>
      </c>
      <c r="M514" t="n">
        <v>0</v>
      </c>
      <c r="N514" t="n">
        <v>0</v>
      </c>
      <c r="O514" t="n">
        <v>0</v>
      </c>
      <c r="P514" t="n">
        <v>0</v>
      </c>
      <c r="Q514" t="n">
        <v>0</v>
      </c>
      <c r="R514" s="2" t="inlineStr"/>
    </row>
    <row r="515" ht="15" customHeight="1">
      <c r="A515" t="inlineStr">
        <is>
          <t>A 9549-2024</t>
        </is>
      </c>
      <c r="B515" s="1" t="n">
        <v>45359.87989583334</v>
      </c>
      <c r="C515" s="1" t="n">
        <v>45925</v>
      </c>
      <c r="D515" t="inlineStr">
        <is>
          <t>KALMAR LÄN</t>
        </is>
      </c>
      <c r="E515" t="inlineStr">
        <is>
          <t>VÄSTERVIK</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27568-2024</t>
        </is>
      </c>
      <c r="B516" s="1" t="n">
        <v>45474</v>
      </c>
      <c r="C516" s="1" t="n">
        <v>45925</v>
      </c>
      <c r="D516" t="inlineStr">
        <is>
          <t>KALMAR LÄN</t>
        </is>
      </c>
      <c r="E516" t="inlineStr">
        <is>
          <t>VÄSTERVIK</t>
        </is>
      </c>
      <c r="G516" t="n">
        <v>7.7</v>
      </c>
      <c r="H516" t="n">
        <v>0</v>
      </c>
      <c r="I516" t="n">
        <v>0</v>
      </c>
      <c r="J516" t="n">
        <v>0</v>
      </c>
      <c r="K516" t="n">
        <v>0</v>
      </c>
      <c r="L516" t="n">
        <v>0</v>
      </c>
      <c r="M516" t="n">
        <v>0</v>
      </c>
      <c r="N516" t="n">
        <v>0</v>
      </c>
      <c r="O516" t="n">
        <v>0</v>
      </c>
      <c r="P516" t="n">
        <v>0</v>
      </c>
      <c r="Q516" t="n">
        <v>0</v>
      </c>
      <c r="R516" s="2" t="inlineStr"/>
    </row>
    <row r="517" ht="15" customHeight="1">
      <c r="A517" t="inlineStr">
        <is>
          <t>A 27094-2024</t>
        </is>
      </c>
      <c r="B517" s="1" t="n">
        <v>45471</v>
      </c>
      <c r="C517" s="1" t="n">
        <v>45925</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c r="U517">
        <f>HYPERLINK("https://klasma.github.io/Logging_0883/knärot/A 27094-2024 karta knärot.png", "A 27094-2024")</f>
        <v/>
      </c>
      <c r="V517">
        <f>HYPERLINK("https://klasma.github.io/Logging_0883/klagomål/A 27094-2024 FSC-klagomål.docx", "A 27094-2024")</f>
        <v/>
      </c>
      <c r="W517">
        <f>HYPERLINK("https://klasma.github.io/Logging_0883/klagomålsmail/A 27094-2024 FSC-klagomål mail.docx", "A 27094-2024")</f>
        <v/>
      </c>
      <c r="X517">
        <f>HYPERLINK("https://klasma.github.io/Logging_0883/tillsyn/A 27094-2024 tillsynsbegäran.docx", "A 27094-2024")</f>
        <v/>
      </c>
      <c r="Y517">
        <f>HYPERLINK("https://klasma.github.io/Logging_0883/tillsynsmail/A 27094-2024 tillsynsbegäran mail.docx", "A 27094-2024")</f>
        <v/>
      </c>
    </row>
    <row r="518" ht="15" customHeight="1">
      <c r="A518" t="inlineStr">
        <is>
          <t>A 942-2024</t>
        </is>
      </c>
      <c r="B518" s="1" t="n">
        <v>45301.53930555555</v>
      </c>
      <c r="C518" s="1" t="n">
        <v>45925</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3185-2023</t>
        </is>
      </c>
      <c r="B519" s="1" t="n">
        <v>44946.60753472222</v>
      </c>
      <c r="C519" s="1" t="n">
        <v>45925</v>
      </c>
      <c r="D519" t="inlineStr">
        <is>
          <t>KALMAR LÄN</t>
        </is>
      </c>
      <c r="E519" t="inlineStr">
        <is>
          <t>VÄSTERVIK</t>
        </is>
      </c>
      <c r="G519" t="n">
        <v>0.9</v>
      </c>
      <c r="H519" t="n">
        <v>0</v>
      </c>
      <c r="I519" t="n">
        <v>0</v>
      </c>
      <c r="J519" t="n">
        <v>0</v>
      </c>
      <c r="K519" t="n">
        <v>0</v>
      </c>
      <c r="L519" t="n">
        <v>0</v>
      </c>
      <c r="M519" t="n">
        <v>0</v>
      </c>
      <c r="N519" t="n">
        <v>0</v>
      </c>
      <c r="O519" t="n">
        <v>0</v>
      </c>
      <c r="P519" t="n">
        <v>0</v>
      </c>
      <c r="Q519" t="n">
        <v>0</v>
      </c>
      <c r="R519" s="2" t="inlineStr"/>
    </row>
    <row r="520" ht="15" customHeight="1">
      <c r="A520" t="inlineStr">
        <is>
          <t>A 25403-2023</t>
        </is>
      </c>
      <c r="B520" s="1" t="n">
        <v>45079</v>
      </c>
      <c r="C520" s="1" t="n">
        <v>45925</v>
      </c>
      <c r="D520" t="inlineStr">
        <is>
          <t>KALMAR LÄN</t>
        </is>
      </c>
      <c r="E520" t="inlineStr">
        <is>
          <t>VÄSTERVIK</t>
        </is>
      </c>
      <c r="G520" t="n">
        <v>4.3</v>
      </c>
      <c r="H520" t="n">
        <v>0</v>
      </c>
      <c r="I520" t="n">
        <v>0</v>
      </c>
      <c r="J520" t="n">
        <v>0</v>
      </c>
      <c r="K520" t="n">
        <v>0</v>
      </c>
      <c r="L520" t="n">
        <v>0</v>
      </c>
      <c r="M520" t="n">
        <v>0</v>
      </c>
      <c r="N520" t="n">
        <v>0</v>
      </c>
      <c r="O520" t="n">
        <v>0</v>
      </c>
      <c r="P520" t="n">
        <v>0</v>
      </c>
      <c r="Q520" t="n">
        <v>0</v>
      </c>
      <c r="R520" s="2" t="inlineStr"/>
    </row>
    <row r="521" ht="15" customHeight="1">
      <c r="A521" t="inlineStr">
        <is>
          <t>A 34655-2023</t>
        </is>
      </c>
      <c r="B521" s="1" t="n">
        <v>45140</v>
      </c>
      <c r="C521" s="1" t="n">
        <v>45925</v>
      </c>
      <c r="D521" t="inlineStr">
        <is>
          <t>KALMAR LÄN</t>
        </is>
      </c>
      <c r="E521" t="inlineStr">
        <is>
          <t>VÄSTERVIK</t>
        </is>
      </c>
      <c r="G521" t="n">
        <v>3.6</v>
      </c>
      <c r="H521" t="n">
        <v>0</v>
      </c>
      <c r="I521" t="n">
        <v>0</v>
      </c>
      <c r="J521" t="n">
        <v>0</v>
      </c>
      <c r="K521" t="n">
        <v>0</v>
      </c>
      <c r="L521" t="n">
        <v>0</v>
      </c>
      <c r="M521" t="n">
        <v>0</v>
      </c>
      <c r="N521" t="n">
        <v>0</v>
      </c>
      <c r="O521" t="n">
        <v>0</v>
      </c>
      <c r="P521" t="n">
        <v>0</v>
      </c>
      <c r="Q521" t="n">
        <v>0</v>
      </c>
      <c r="R521" s="2" t="inlineStr"/>
    </row>
    <row r="522" ht="15" customHeight="1">
      <c r="A522" t="inlineStr">
        <is>
          <t>A 32388-2024</t>
        </is>
      </c>
      <c r="B522" s="1" t="n">
        <v>45512.63465277778</v>
      </c>
      <c r="C522" s="1" t="n">
        <v>45925</v>
      </c>
      <c r="D522" t="inlineStr">
        <is>
          <t>KALMAR LÄN</t>
        </is>
      </c>
      <c r="E522" t="inlineStr">
        <is>
          <t>VÄSTERVIK</t>
        </is>
      </c>
      <c r="G522" t="n">
        <v>1.2</v>
      </c>
      <c r="H522" t="n">
        <v>0</v>
      </c>
      <c r="I522" t="n">
        <v>0</v>
      </c>
      <c r="J522" t="n">
        <v>0</v>
      </c>
      <c r="K522" t="n">
        <v>0</v>
      </c>
      <c r="L522" t="n">
        <v>0</v>
      </c>
      <c r="M522" t="n">
        <v>0</v>
      </c>
      <c r="N522" t="n">
        <v>0</v>
      </c>
      <c r="O522" t="n">
        <v>0</v>
      </c>
      <c r="P522" t="n">
        <v>0</v>
      </c>
      <c r="Q522" t="n">
        <v>0</v>
      </c>
      <c r="R522" s="2" t="inlineStr"/>
    </row>
    <row r="523" ht="15" customHeight="1">
      <c r="A523" t="inlineStr">
        <is>
          <t>A 32389-2024</t>
        </is>
      </c>
      <c r="B523" s="1" t="n">
        <v>45512.63642361111</v>
      </c>
      <c r="C523" s="1" t="n">
        <v>45925</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10419-2023</t>
        </is>
      </c>
      <c r="B524" s="1" t="n">
        <v>44987</v>
      </c>
      <c r="C524" s="1" t="n">
        <v>45925</v>
      </c>
      <c r="D524" t="inlineStr">
        <is>
          <t>KALMAR LÄN</t>
        </is>
      </c>
      <c r="E524" t="inlineStr">
        <is>
          <t>VÄSTERVIK</t>
        </is>
      </c>
      <c r="G524" t="n">
        <v>0.4</v>
      </c>
      <c r="H524" t="n">
        <v>0</v>
      </c>
      <c r="I524" t="n">
        <v>0</v>
      </c>
      <c r="J524" t="n">
        <v>0</v>
      </c>
      <c r="K524" t="n">
        <v>0</v>
      </c>
      <c r="L524" t="n">
        <v>0</v>
      </c>
      <c r="M524" t="n">
        <v>0</v>
      </c>
      <c r="N524" t="n">
        <v>0</v>
      </c>
      <c r="O524" t="n">
        <v>0</v>
      </c>
      <c r="P524" t="n">
        <v>0</v>
      </c>
      <c r="Q524" t="n">
        <v>0</v>
      </c>
      <c r="R524" s="2" t="inlineStr"/>
    </row>
    <row r="525" ht="15" customHeight="1">
      <c r="A525" t="inlineStr">
        <is>
          <t>A 2098-2023</t>
        </is>
      </c>
      <c r="B525" s="1" t="n">
        <v>44939</v>
      </c>
      <c r="C525" s="1" t="n">
        <v>45925</v>
      </c>
      <c r="D525" t="inlineStr">
        <is>
          <t>KALMAR LÄN</t>
        </is>
      </c>
      <c r="E525" t="inlineStr">
        <is>
          <t>VÄSTERVIK</t>
        </is>
      </c>
      <c r="G525" t="n">
        <v>1.9</v>
      </c>
      <c r="H525" t="n">
        <v>0</v>
      </c>
      <c r="I525" t="n">
        <v>0</v>
      </c>
      <c r="J525" t="n">
        <v>0</v>
      </c>
      <c r="K525" t="n">
        <v>0</v>
      </c>
      <c r="L525" t="n">
        <v>0</v>
      </c>
      <c r="M525" t="n">
        <v>0</v>
      </c>
      <c r="N525" t="n">
        <v>0</v>
      </c>
      <c r="O525" t="n">
        <v>0</v>
      </c>
      <c r="P525" t="n">
        <v>0</v>
      </c>
      <c r="Q525" t="n">
        <v>0</v>
      </c>
      <c r="R525" s="2" t="inlineStr"/>
    </row>
    <row r="526" ht="15" customHeight="1">
      <c r="A526" t="inlineStr">
        <is>
          <t>A 10406-2022</t>
        </is>
      </c>
      <c r="B526" s="1" t="n">
        <v>44623</v>
      </c>
      <c r="C526" s="1" t="n">
        <v>45925</v>
      </c>
      <c r="D526" t="inlineStr">
        <is>
          <t>KALMAR LÄN</t>
        </is>
      </c>
      <c r="E526" t="inlineStr">
        <is>
          <t>VÄSTERVIK</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61649-2022</t>
        </is>
      </c>
      <c r="B527" s="1" t="n">
        <v>44916.90010416666</v>
      </c>
      <c r="C527" s="1" t="n">
        <v>45925</v>
      </c>
      <c r="D527" t="inlineStr">
        <is>
          <t>KALMAR LÄN</t>
        </is>
      </c>
      <c r="E527" t="inlineStr">
        <is>
          <t>VÄSTERVIK</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51883-2021</t>
        </is>
      </c>
      <c r="B528" s="1" t="n">
        <v>44462.80449074074</v>
      </c>
      <c r="C528" s="1" t="n">
        <v>45925</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51884-2021</t>
        </is>
      </c>
      <c r="B529" s="1" t="n">
        <v>44462.806875</v>
      </c>
      <c r="C529" s="1" t="n">
        <v>45925</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61728-2023</t>
        </is>
      </c>
      <c r="B530" s="1" t="n">
        <v>45265</v>
      </c>
      <c r="C530" s="1" t="n">
        <v>45925</v>
      </c>
      <c r="D530" t="inlineStr">
        <is>
          <t>KALMAR LÄN</t>
        </is>
      </c>
      <c r="E530" t="inlineStr">
        <is>
          <t>VÄSTERVIK</t>
        </is>
      </c>
      <c r="G530" t="n">
        <v>1.9</v>
      </c>
      <c r="H530" t="n">
        <v>0</v>
      </c>
      <c r="I530" t="n">
        <v>0</v>
      </c>
      <c r="J530" t="n">
        <v>0</v>
      </c>
      <c r="K530" t="n">
        <v>0</v>
      </c>
      <c r="L530" t="n">
        <v>0</v>
      </c>
      <c r="M530" t="n">
        <v>0</v>
      </c>
      <c r="N530" t="n">
        <v>0</v>
      </c>
      <c r="O530" t="n">
        <v>0</v>
      </c>
      <c r="P530" t="n">
        <v>0</v>
      </c>
      <c r="Q530" t="n">
        <v>0</v>
      </c>
      <c r="R530" s="2" t="inlineStr"/>
    </row>
    <row r="531" ht="15" customHeight="1">
      <c r="A531" t="inlineStr">
        <is>
          <t>A 35655-2023</t>
        </is>
      </c>
      <c r="B531" s="1" t="n">
        <v>45147.59408564815</v>
      </c>
      <c r="C531" s="1" t="n">
        <v>45925</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34463-2024</t>
        </is>
      </c>
      <c r="B532" s="1" t="n">
        <v>45525.57712962963</v>
      </c>
      <c r="C532" s="1" t="n">
        <v>45925</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54190-2022</t>
        </is>
      </c>
      <c r="B533" s="1" t="n">
        <v>44881.68282407407</v>
      </c>
      <c r="C533" s="1" t="n">
        <v>45925</v>
      </c>
      <c r="D533" t="inlineStr">
        <is>
          <t>KALMAR LÄN</t>
        </is>
      </c>
      <c r="E533" t="inlineStr">
        <is>
          <t>VÄSTERVIK</t>
        </is>
      </c>
      <c r="G533" t="n">
        <v>7.4</v>
      </c>
      <c r="H533" t="n">
        <v>0</v>
      </c>
      <c r="I533" t="n">
        <v>0</v>
      </c>
      <c r="J533" t="n">
        <v>0</v>
      </c>
      <c r="K533" t="n">
        <v>0</v>
      </c>
      <c r="L533" t="n">
        <v>0</v>
      </c>
      <c r="M533" t="n">
        <v>0</v>
      </c>
      <c r="N533" t="n">
        <v>0</v>
      </c>
      <c r="O533" t="n">
        <v>0</v>
      </c>
      <c r="P533" t="n">
        <v>0</v>
      </c>
      <c r="Q533" t="n">
        <v>0</v>
      </c>
      <c r="R533" s="2" t="inlineStr"/>
    </row>
    <row r="534" ht="15" customHeight="1">
      <c r="A534" t="inlineStr">
        <is>
          <t>A 41993-2025</t>
        </is>
      </c>
      <c r="B534" s="1" t="n">
        <v>45903.54821759259</v>
      </c>
      <c r="C534" s="1" t="n">
        <v>45925</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23148-2025</t>
        </is>
      </c>
      <c r="B535" s="1" t="n">
        <v>45791.40225694444</v>
      </c>
      <c r="C535" s="1" t="n">
        <v>45925</v>
      </c>
      <c r="D535" t="inlineStr">
        <is>
          <t>KALMAR LÄN</t>
        </is>
      </c>
      <c r="E535" t="inlineStr">
        <is>
          <t>VÄSTERVIK</t>
        </is>
      </c>
      <c r="G535" t="n">
        <v>1.5</v>
      </c>
      <c r="H535" t="n">
        <v>0</v>
      </c>
      <c r="I535" t="n">
        <v>0</v>
      </c>
      <c r="J535" t="n">
        <v>0</v>
      </c>
      <c r="K535" t="n">
        <v>0</v>
      </c>
      <c r="L535" t="n">
        <v>0</v>
      </c>
      <c r="M535" t="n">
        <v>0</v>
      </c>
      <c r="N535" t="n">
        <v>0</v>
      </c>
      <c r="O535" t="n">
        <v>0</v>
      </c>
      <c r="P535" t="n">
        <v>0</v>
      </c>
      <c r="Q535" t="n">
        <v>0</v>
      </c>
      <c r="R535" s="2" t="inlineStr"/>
    </row>
    <row r="536" ht="15" customHeight="1">
      <c r="A536" t="inlineStr">
        <is>
          <t>A 36725-2024</t>
        </is>
      </c>
      <c r="B536" s="1" t="n">
        <v>45537.90300925926</v>
      </c>
      <c r="C536" s="1" t="n">
        <v>45925</v>
      </c>
      <c r="D536" t="inlineStr">
        <is>
          <t>KALMAR LÄN</t>
        </is>
      </c>
      <c r="E536" t="inlineStr">
        <is>
          <t>VÄSTERVIK</t>
        </is>
      </c>
      <c r="G536" t="n">
        <v>10.1</v>
      </c>
      <c r="H536" t="n">
        <v>0</v>
      </c>
      <c r="I536" t="n">
        <v>0</v>
      </c>
      <c r="J536" t="n">
        <v>0</v>
      </c>
      <c r="K536" t="n">
        <v>0</v>
      </c>
      <c r="L536" t="n">
        <v>0</v>
      </c>
      <c r="M536" t="n">
        <v>0</v>
      </c>
      <c r="N536" t="n">
        <v>0</v>
      </c>
      <c r="O536" t="n">
        <v>0</v>
      </c>
      <c r="P536" t="n">
        <v>0</v>
      </c>
      <c r="Q536" t="n">
        <v>0</v>
      </c>
      <c r="R536" s="2" t="inlineStr"/>
    </row>
    <row r="537" ht="15" customHeight="1">
      <c r="A537" t="inlineStr">
        <is>
          <t>A 5769-2023</t>
        </is>
      </c>
      <c r="B537" s="1" t="n">
        <v>44963.37194444444</v>
      </c>
      <c r="C537" s="1" t="n">
        <v>45925</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14151-2021</t>
        </is>
      </c>
      <c r="B538" s="1" t="n">
        <v>44278.41052083333</v>
      </c>
      <c r="C538" s="1" t="n">
        <v>45925</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59695-2023</t>
        </is>
      </c>
      <c r="B539" s="1" t="n">
        <v>45256.85107638889</v>
      </c>
      <c r="C539" s="1" t="n">
        <v>45925</v>
      </c>
      <c r="D539" t="inlineStr">
        <is>
          <t>KALMAR LÄN</t>
        </is>
      </c>
      <c r="E539" t="inlineStr">
        <is>
          <t>VÄSTERVIK</t>
        </is>
      </c>
      <c r="F539" t="inlineStr">
        <is>
          <t>Sveaskog</t>
        </is>
      </c>
      <c r="G539" t="n">
        <v>2.4</v>
      </c>
      <c r="H539" t="n">
        <v>0</v>
      </c>
      <c r="I539" t="n">
        <v>0</v>
      </c>
      <c r="J539" t="n">
        <v>0</v>
      </c>
      <c r="K539" t="n">
        <v>0</v>
      </c>
      <c r="L539" t="n">
        <v>0</v>
      </c>
      <c r="M539" t="n">
        <v>0</v>
      </c>
      <c r="N539" t="n">
        <v>0</v>
      </c>
      <c r="O539" t="n">
        <v>0</v>
      </c>
      <c r="P539" t="n">
        <v>0</v>
      </c>
      <c r="Q539" t="n">
        <v>0</v>
      </c>
      <c r="R539" s="2" t="inlineStr"/>
    </row>
    <row r="540" ht="15" customHeight="1">
      <c r="A540" t="inlineStr">
        <is>
          <t>A 21660-2025</t>
        </is>
      </c>
      <c r="B540" s="1" t="n">
        <v>45783.45542824074</v>
      </c>
      <c r="C540" s="1" t="n">
        <v>45925</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7090-2024</t>
        </is>
      </c>
      <c r="B541" s="1" t="n">
        <v>45343.80621527778</v>
      </c>
      <c r="C541" s="1" t="n">
        <v>45925</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29405-2024</t>
        </is>
      </c>
      <c r="B542" s="1" t="n">
        <v>45483</v>
      </c>
      <c r="C542" s="1" t="n">
        <v>45925</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55023-2021</t>
        </is>
      </c>
      <c r="B543" s="1" t="n">
        <v>44474</v>
      </c>
      <c r="C543" s="1" t="n">
        <v>45925</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3190-2023</t>
        </is>
      </c>
      <c r="B544" s="1" t="n">
        <v>44946.61086805556</v>
      </c>
      <c r="C544" s="1" t="n">
        <v>45925</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47945-2023</t>
        </is>
      </c>
      <c r="B545" s="1" t="n">
        <v>45204.5684837963</v>
      </c>
      <c r="C545" s="1" t="n">
        <v>45925</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29722-2025</t>
        </is>
      </c>
      <c r="B546" s="1" t="n">
        <v>45825.57524305556</v>
      </c>
      <c r="C546" s="1" t="n">
        <v>45925</v>
      </c>
      <c r="D546" t="inlineStr">
        <is>
          <t>KALMAR LÄN</t>
        </is>
      </c>
      <c r="E546" t="inlineStr">
        <is>
          <t>VÄSTERVIK</t>
        </is>
      </c>
      <c r="G546" t="n">
        <v>2.9</v>
      </c>
      <c r="H546" t="n">
        <v>0</v>
      </c>
      <c r="I546" t="n">
        <v>0</v>
      </c>
      <c r="J546" t="n">
        <v>0</v>
      </c>
      <c r="K546" t="n">
        <v>0</v>
      </c>
      <c r="L546" t="n">
        <v>0</v>
      </c>
      <c r="M546" t="n">
        <v>0</v>
      </c>
      <c r="N546" t="n">
        <v>0</v>
      </c>
      <c r="O546" t="n">
        <v>0</v>
      </c>
      <c r="P546" t="n">
        <v>0</v>
      </c>
      <c r="Q546" t="n">
        <v>0</v>
      </c>
      <c r="R546" s="2" t="inlineStr"/>
    </row>
    <row r="547" ht="15" customHeight="1">
      <c r="A547" t="inlineStr">
        <is>
          <t>A 5510-2021</t>
        </is>
      </c>
      <c r="B547" s="1" t="n">
        <v>44230</v>
      </c>
      <c r="C547" s="1" t="n">
        <v>45925</v>
      </c>
      <c r="D547" t="inlineStr">
        <is>
          <t>KALMAR LÄN</t>
        </is>
      </c>
      <c r="E547" t="inlineStr">
        <is>
          <t>VÄSTERVIK</t>
        </is>
      </c>
      <c r="G547" t="n">
        <v>3.2</v>
      </c>
      <c r="H547" t="n">
        <v>0</v>
      </c>
      <c r="I547" t="n">
        <v>0</v>
      </c>
      <c r="J547" t="n">
        <v>0</v>
      </c>
      <c r="K547" t="n">
        <v>0</v>
      </c>
      <c r="L547" t="n">
        <v>0</v>
      </c>
      <c r="M547" t="n">
        <v>0</v>
      </c>
      <c r="N547" t="n">
        <v>0</v>
      </c>
      <c r="O547" t="n">
        <v>0</v>
      </c>
      <c r="P547" t="n">
        <v>0</v>
      </c>
      <c r="Q547" t="n">
        <v>0</v>
      </c>
      <c r="R547" s="2" t="inlineStr"/>
    </row>
    <row r="548" ht="15" customHeight="1">
      <c r="A548" t="inlineStr">
        <is>
          <t>A 58090-2021</t>
        </is>
      </c>
      <c r="B548" s="1" t="n">
        <v>44487.50277777778</v>
      </c>
      <c r="C548" s="1" t="n">
        <v>45925</v>
      </c>
      <c r="D548" t="inlineStr">
        <is>
          <t>KALMAR LÄN</t>
        </is>
      </c>
      <c r="E548" t="inlineStr">
        <is>
          <t>VÄSTERVIK</t>
        </is>
      </c>
      <c r="G548" t="n">
        <v>2.9</v>
      </c>
      <c r="H548" t="n">
        <v>0</v>
      </c>
      <c r="I548" t="n">
        <v>0</v>
      </c>
      <c r="J548" t="n">
        <v>0</v>
      </c>
      <c r="K548" t="n">
        <v>0</v>
      </c>
      <c r="L548" t="n">
        <v>0</v>
      </c>
      <c r="M548" t="n">
        <v>0</v>
      </c>
      <c r="N548" t="n">
        <v>0</v>
      </c>
      <c r="O548" t="n">
        <v>0</v>
      </c>
      <c r="P548" t="n">
        <v>0</v>
      </c>
      <c r="Q548" t="n">
        <v>0</v>
      </c>
      <c r="R548" s="2" t="inlineStr"/>
    </row>
    <row r="549" ht="15" customHeight="1">
      <c r="A549" t="inlineStr">
        <is>
          <t>A 31825-2022</t>
        </is>
      </c>
      <c r="B549" s="1" t="n">
        <v>44776.74908564815</v>
      </c>
      <c r="C549" s="1" t="n">
        <v>45925</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55047-2024</t>
        </is>
      </c>
      <c r="B550" s="1" t="n">
        <v>45621.39516203704</v>
      </c>
      <c r="C550" s="1" t="n">
        <v>45925</v>
      </c>
      <c r="D550" t="inlineStr">
        <is>
          <t>KALMAR LÄN</t>
        </is>
      </c>
      <c r="E550" t="inlineStr">
        <is>
          <t>VÄSTERVIK</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42868-2025</t>
        </is>
      </c>
      <c r="B551" s="1" t="n">
        <v>45908.62329861111</v>
      </c>
      <c r="C551" s="1" t="n">
        <v>45925</v>
      </c>
      <c r="D551" t="inlineStr">
        <is>
          <t>KALMAR LÄN</t>
        </is>
      </c>
      <c r="E551" t="inlineStr">
        <is>
          <t>VÄSTERVIK</t>
        </is>
      </c>
      <c r="F551" t="inlineStr">
        <is>
          <t>Holmen skog AB</t>
        </is>
      </c>
      <c r="G551" t="n">
        <v>3.7</v>
      </c>
      <c r="H551" t="n">
        <v>0</v>
      </c>
      <c r="I551" t="n">
        <v>0</v>
      </c>
      <c r="J551" t="n">
        <v>0</v>
      </c>
      <c r="K551" t="n">
        <v>0</v>
      </c>
      <c r="L551" t="n">
        <v>0</v>
      </c>
      <c r="M551" t="n">
        <v>0</v>
      </c>
      <c r="N551" t="n">
        <v>0</v>
      </c>
      <c r="O551" t="n">
        <v>0</v>
      </c>
      <c r="P551" t="n">
        <v>0</v>
      </c>
      <c r="Q551" t="n">
        <v>0</v>
      </c>
      <c r="R551" s="2" t="inlineStr"/>
    </row>
    <row r="552" ht="15" customHeight="1">
      <c r="A552" t="inlineStr">
        <is>
          <t>A 35162-2024</t>
        </is>
      </c>
      <c r="B552" s="1" t="n">
        <v>45530.40025462963</v>
      </c>
      <c r="C552" s="1" t="n">
        <v>45925</v>
      </c>
      <c r="D552" t="inlineStr">
        <is>
          <t>KALMAR LÄN</t>
        </is>
      </c>
      <c r="E552" t="inlineStr">
        <is>
          <t>VÄSTERVIK</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57366-2023</t>
        </is>
      </c>
      <c r="B553" s="1" t="n">
        <v>45245</v>
      </c>
      <c r="C553" s="1" t="n">
        <v>45925</v>
      </c>
      <c r="D553" t="inlineStr">
        <is>
          <t>KALMAR LÄN</t>
        </is>
      </c>
      <c r="E553" t="inlineStr">
        <is>
          <t>VÄSTERVIK</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12595-2023</t>
        </is>
      </c>
      <c r="B554" s="1" t="n">
        <v>45000.43240740741</v>
      </c>
      <c r="C554" s="1" t="n">
        <v>45925</v>
      </c>
      <c r="D554" t="inlineStr">
        <is>
          <t>KALMAR LÄN</t>
        </is>
      </c>
      <c r="E554" t="inlineStr">
        <is>
          <t>VÄSTERVIK</t>
        </is>
      </c>
      <c r="F554" t="inlineStr">
        <is>
          <t>Holmen skog AB</t>
        </is>
      </c>
      <c r="G554" t="n">
        <v>2.2</v>
      </c>
      <c r="H554" t="n">
        <v>0</v>
      </c>
      <c r="I554" t="n">
        <v>0</v>
      </c>
      <c r="J554" t="n">
        <v>0</v>
      </c>
      <c r="K554" t="n">
        <v>0</v>
      </c>
      <c r="L554" t="n">
        <v>0</v>
      </c>
      <c r="M554" t="n">
        <v>0</v>
      </c>
      <c r="N554" t="n">
        <v>0</v>
      </c>
      <c r="O554" t="n">
        <v>0</v>
      </c>
      <c r="P554" t="n">
        <v>0</v>
      </c>
      <c r="Q554" t="n">
        <v>0</v>
      </c>
      <c r="R554" s="2" t="inlineStr"/>
    </row>
    <row r="555" ht="15" customHeight="1">
      <c r="A555" t="inlineStr">
        <is>
          <t>A 23411-2022</t>
        </is>
      </c>
      <c r="B555" s="1" t="n">
        <v>44720.70361111111</v>
      </c>
      <c r="C555" s="1" t="n">
        <v>45925</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52645-2021</t>
        </is>
      </c>
      <c r="B556" s="1" t="n">
        <v>44466</v>
      </c>
      <c r="C556" s="1" t="n">
        <v>45925</v>
      </c>
      <c r="D556" t="inlineStr">
        <is>
          <t>KALMAR LÄN</t>
        </is>
      </c>
      <c r="E556" t="inlineStr">
        <is>
          <t>VÄSTERVIK</t>
        </is>
      </c>
      <c r="G556" t="n">
        <v>5</v>
      </c>
      <c r="H556" t="n">
        <v>0</v>
      </c>
      <c r="I556" t="n">
        <v>0</v>
      </c>
      <c r="J556" t="n">
        <v>0</v>
      </c>
      <c r="K556" t="n">
        <v>0</v>
      </c>
      <c r="L556" t="n">
        <v>0</v>
      </c>
      <c r="M556" t="n">
        <v>0</v>
      </c>
      <c r="N556" t="n">
        <v>0</v>
      </c>
      <c r="O556" t="n">
        <v>0</v>
      </c>
      <c r="P556" t="n">
        <v>0</v>
      </c>
      <c r="Q556" t="n">
        <v>0</v>
      </c>
      <c r="R556" s="2" t="inlineStr"/>
    </row>
    <row r="557" ht="15" customHeight="1">
      <c r="A557" t="inlineStr">
        <is>
          <t>A 8593-2023</t>
        </is>
      </c>
      <c r="B557" s="1" t="n">
        <v>44977</v>
      </c>
      <c r="C557" s="1" t="n">
        <v>45925</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59221-2022</t>
        </is>
      </c>
      <c r="B558" s="1" t="n">
        <v>44904.53858796296</v>
      </c>
      <c r="C558" s="1" t="n">
        <v>45925</v>
      </c>
      <c r="D558" t="inlineStr">
        <is>
          <t>KALMAR LÄN</t>
        </is>
      </c>
      <c r="E558" t="inlineStr">
        <is>
          <t>VÄSTERVIK</t>
        </is>
      </c>
      <c r="G558" t="n">
        <v>6.1</v>
      </c>
      <c r="H558" t="n">
        <v>0</v>
      </c>
      <c r="I558" t="n">
        <v>0</v>
      </c>
      <c r="J558" t="n">
        <v>0</v>
      </c>
      <c r="K558" t="n">
        <v>0</v>
      </c>
      <c r="L558" t="n">
        <v>0</v>
      </c>
      <c r="M558" t="n">
        <v>0</v>
      </c>
      <c r="N558" t="n">
        <v>0</v>
      </c>
      <c r="O558" t="n">
        <v>0</v>
      </c>
      <c r="P558" t="n">
        <v>0</v>
      </c>
      <c r="Q558" t="n">
        <v>0</v>
      </c>
      <c r="R558" s="2" t="inlineStr"/>
    </row>
    <row r="559" ht="15" customHeight="1">
      <c r="A559" t="inlineStr">
        <is>
          <t>A 6042-2023</t>
        </is>
      </c>
      <c r="B559" s="1" t="n">
        <v>44964</v>
      </c>
      <c r="C559" s="1" t="n">
        <v>45925</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1568-2023</t>
        </is>
      </c>
      <c r="B560" s="1" t="n">
        <v>44937</v>
      </c>
      <c r="C560" s="1" t="n">
        <v>45925</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45721-2022</t>
        </is>
      </c>
      <c r="B561" s="1" t="n">
        <v>44845</v>
      </c>
      <c r="C561" s="1" t="n">
        <v>45925</v>
      </c>
      <c r="D561" t="inlineStr">
        <is>
          <t>KALMAR LÄN</t>
        </is>
      </c>
      <c r="E561" t="inlineStr">
        <is>
          <t>VÄSTERVIK</t>
        </is>
      </c>
      <c r="F561" t="inlineStr">
        <is>
          <t>Holmen skog AB</t>
        </is>
      </c>
      <c r="G561" t="n">
        <v>3.3</v>
      </c>
      <c r="H561" t="n">
        <v>0</v>
      </c>
      <c r="I561" t="n">
        <v>0</v>
      </c>
      <c r="J561" t="n">
        <v>0</v>
      </c>
      <c r="K561" t="n">
        <v>0</v>
      </c>
      <c r="L561" t="n">
        <v>0</v>
      </c>
      <c r="M561" t="n">
        <v>0</v>
      </c>
      <c r="N561" t="n">
        <v>0</v>
      </c>
      <c r="O561" t="n">
        <v>0</v>
      </c>
      <c r="P561" t="n">
        <v>0</v>
      </c>
      <c r="Q561" t="n">
        <v>0</v>
      </c>
      <c r="R561" s="2" t="inlineStr"/>
      <c r="U561">
        <f>HYPERLINK("https://klasma.github.io/Logging_0883/knärot/A 45721-2022 karta knärot.png", "A 45721-2022")</f>
        <v/>
      </c>
      <c r="V561">
        <f>HYPERLINK("https://klasma.github.io/Logging_0883/klagomål/A 45721-2022 FSC-klagomål.docx", "A 45721-2022")</f>
        <v/>
      </c>
      <c r="W561">
        <f>HYPERLINK("https://klasma.github.io/Logging_0883/klagomålsmail/A 45721-2022 FSC-klagomål mail.docx", "A 45721-2022")</f>
        <v/>
      </c>
      <c r="X561">
        <f>HYPERLINK("https://klasma.github.io/Logging_0883/tillsyn/A 45721-2022 tillsynsbegäran.docx", "A 45721-2022")</f>
        <v/>
      </c>
      <c r="Y561">
        <f>HYPERLINK("https://klasma.github.io/Logging_0883/tillsynsmail/A 45721-2022 tillsynsbegäran mail.docx", "A 45721-2022")</f>
        <v/>
      </c>
    </row>
    <row r="562" ht="15" customHeight="1">
      <c r="A562" t="inlineStr">
        <is>
          <t>A 43828-2021</t>
        </is>
      </c>
      <c r="B562" s="1" t="n">
        <v>44433</v>
      </c>
      <c r="C562" s="1" t="n">
        <v>45925</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4508-2023</t>
        </is>
      </c>
      <c r="B563" s="1" t="n">
        <v>44956</v>
      </c>
      <c r="C563" s="1" t="n">
        <v>45925</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46561-2022</t>
        </is>
      </c>
      <c r="B564" s="1" t="n">
        <v>44848</v>
      </c>
      <c r="C564" s="1" t="n">
        <v>45925</v>
      </c>
      <c r="D564" t="inlineStr">
        <is>
          <t>KALMAR LÄN</t>
        </is>
      </c>
      <c r="E564" t="inlineStr">
        <is>
          <t>VÄSTERVIK</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18884-2025</t>
        </is>
      </c>
      <c r="B565" s="1" t="n">
        <v>45764.4417824074</v>
      </c>
      <c r="C565" s="1" t="n">
        <v>45925</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11198-2024</t>
        </is>
      </c>
      <c r="B566" s="1" t="n">
        <v>45371</v>
      </c>
      <c r="C566" s="1" t="n">
        <v>45925</v>
      </c>
      <c r="D566" t="inlineStr">
        <is>
          <t>KALMAR LÄN</t>
        </is>
      </c>
      <c r="E566" t="inlineStr">
        <is>
          <t>VÄSTERVIK</t>
        </is>
      </c>
      <c r="G566" t="n">
        <v>4.1</v>
      </c>
      <c r="H566" t="n">
        <v>0</v>
      </c>
      <c r="I566" t="n">
        <v>0</v>
      </c>
      <c r="J566" t="n">
        <v>0</v>
      </c>
      <c r="K566" t="n">
        <v>0</v>
      </c>
      <c r="L566" t="n">
        <v>0</v>
      </c>
      <c r="M566" t="n">
        <v>0</v>
      </c>
      <c r="N566" t="n">
        <v>0</v>
      </c>
      <c r="O566" t="n">
        <v>0</v>
      </c>
      <c r="P566" t="n">
        <v>0</v>
      </c>
      <c r="Q566" t="n">
        <v>0</v>
      </c>
      <c r="R566" s="2" t="inlineStr"/>
    </row>
    <row r="567" ht="15" customHeight="1">
      <c r="A567" t="inlineStr">
        <is>
          <t>A 58927-2022</t>
        </is>
      </c>
      <c r="B567" s="1" t="n">
        <v>44896</v>
      </c>
      <c r="C567" s="1" t="n">
        <v>45925</v>
      </c>
      <c r="D567" t="inlineStr">
        <is>
          <t>KALMAR LÄN</t>
        </is>
      </c>
      <c r="E567" t="inlineStr">
        <is>
          <t>VÄSTERVIK</t>
        </is>
      </c>
      <c r="G567" t="n">
        <v>2.5</v>
      </c>
      <c r="H567" t="n">
        <v>0</v>
      </c>
      <c r="I567" t="n">
        <v>0</v>
      </c>
      <c r="J567" t="n">
        <v>0</v>
      </c>
      <c r="K567" t="n">
        <v>0</v>
      </c>
      <c r="L567" t="n">
        <v>0</v>
      </c>
      <c r="M567" t="n">
        <v>0</v>
      </c>
      <c r="N567" t="n">
        <v>0</v>
      </c>
      <c r="O567" t="n">
        <v>0</v>
      </c>
      <c r="P567" t="n">
        <v>0</v>
      </c>
      <c r="Q567" t="n">
        <v>0</v>
      </c>
      <c r="R567" s="2" t="inlineStr"/>
    </row>
    <row r="568" ht="15" customHeight="1">
      <c r="A568" t="inlineStr">
        <is>
          <t>A 55042-2024</t>
        </is>
      </c>
      <c r="B568" s="1" t="n">
        <v>45621.39081018518</v>
      </c>
      <c r="C568" s="1" t="n">
        <v>45925</v>
      </c>
      <c r="D568" t="inlineStr">
        <is>
          <t>KALMAR LÄN</t>
        </is>
      </c>
      <c r="E568" t="inlineStr">
        <is>
          <t>VÄSTERVIK</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60147-2024</t>
        </is>
      </c>
      <c r="B569" s="1" t="n">
        <v>45642.61109953704</v>
      </c>
      <c r="C569" s="1" t="n">
        <v>45925</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2738-2023</t>
        </is>
      </c>
      <c r="B570" s="1" t="n">
        <v>44944</v>
      </c>
      <c r="C570" s="1" t="n">
        <v>45925</v>
      </c>
      <c r="D570" t="inlineStr">
        <is>
          <t>KALMAR LÄN</t>
        </is>
      </c>
      <c r="E570" t="inlineStr">
        <is>
          <t>VÄSTERVIK</t>
        </is>
      </c>
      <c r="G570" t="n">
        <v>3</v>
      </c>
      <c r="H570" t="n">
        <v>0</v>
      </c>
      <c r="I570" t="n">
        <v>0</v>
      </c>
      <c r="J570" t="n">
        <v>0</v>
      </c>
      <c r="K570" t="n">
        <v>0</v>
      </c>
      <c r="L570" t="n">
        <v>0</v>
      </c>
      <c r="M570" t="n">
        <v>0</v>
      </c>
      <c r="N570" t="n">
        <v>0</v>
      </c>
      <c r="O570" t="n">
        <v>0</v>
      </c>
      <c r="P570" t="n">
        <v>0</v>
      </c>
      <c r="Q570" t="n">
        <v>0</v>
      </c>
      <c r="R570" s="2" t="inlineStr"/>
    </row>
    <row r="571" ht="15" customHeight="1">
      <c r="A571" t="inlineStr">
        <is>
          <t>A 7163-2025</t>
        </is>
      </c>
      <c r="B571" s="1" t="n">
        <v>45702.3918287037</v>
      </c>
      <c r="C571" s="1" t="n">
        <v>45925</v>
      </c>
      <c r="D571" t="inlineStr">
        <is>
          <t>KALMAR LÄN</t>
        </is>
      </c>
      <c r="E571" t="inlineStr">
        <is>
          <t>VÄSTERVIK</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57178-2024</t>
        </is>
      </c>
      <c r="B572" s="1" t="n">
        <v>45629.43973379629</v>
      </c>
      <c r="C572" s="1" t="n">
        <v>45925</v>
      </c>
      <c r="D572" t="inlineStr">
        <is>
          <t>KALMAR LÄN</t>
        </is>
      </c>
      <c r="E572" t="inlineStr">
        <is>
          <t>VÄSTERVIK</t>
        </is>
      </c>
      <c r="G572" t="n">
        <v>2</v>
      </c>
      <c r="H572" t="n">
        <v>0</v>
      </c>
      <c r="I572" t="n">
        <v>0</v>
      </c>
      <c r="J572" t="n">
        <v>0</v>
      </c>
      <c r="K572" t="n">
        <v>0</v>
      </c>
      <c r="L572" t="n">
        <v>0</v>
      </c>
      <c r="M572" t="n">
        <v>0</v>
      </c>
      <c r="N572" t="n">
        <v>0</v>
      </c>
      <c r="O572" t="n">
        <v>0</v>
      </c>
      <c r="P572" t="n">
        <v>0</v>
      </c>
      <c r="Q572" t="n">
        <v>0</v>
      </c>
      <c r="R572" s="2" t="inlineStr"/>
    </row>
    <row r="573" ht="15" customHeight="1">
      <c r="A573" t="inlineStr">
        <is>
          <t>A 170-2022</t>
        </is>
      </c>
      <c r="B573" s="1" t="n">
        <v>44564.62540509259</v>
      </c>
      <c r="C573" s="1" t="n">
        <v>45925</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174-2022</t>
        </is>
      </c>
      <c r="B574" s="1" t="n">
        <v>44564.62763888889</v>
      </c>
      <c r="C574" s="1" t="n">
        <v>45925</v>
      </c>
      <c r="D574" t="inlineStr">
        <is>
          <t>KALMAR LÄN</t>
        </is>
      </c>
      <c r="E574" t="inlineStr">
        <is>
          <t>VÄSTERVIK</t>
        </is>
      </c>
      <c r="G574" t="n">
        <v>1.9</v>
      </c>
      <c r="H574" t="n">
        <v>0</v>
      </c>
      <c r="I574" t="n">
        <v>0</v>
      </c>
      <c r="J574" t="n">
        <v>0</v>
      </c>
      <c r="K574" t="n">
        <v>0</v>
      </c>
      <c r="L574" t="n">
        <v>0</v>
      </c>
      <c r="M574" t="n">
        <v>0</v>
      </c>
      <c r="N574" t="n">
        <v>0</v>
      </c>
      <c r="O574" t="n">
        <v>0</v>
      </c>
      <c r="P574" t="n">
        <v>0</v>
      </c>
      <c r="Q574" t="n">
        <v>0</v>
      </c>
      <c r="R574" s="2" t="inlineStr"/>
    </row>
    <row r="575" ht="15" customHeight="1">
      <c r="A575" t="inlineStr">
        <is>
          <t>A 2357-2025</t>
        </is>
      </c>
      <c r="B575" s="1" t="n">
        <v>45673.68859953704</v>
      </c>
      <c r="C575" s="1" t="n">
        <v>45925</v>
      </c>
      <c r="D575" t="inlineStr">
        <is>
          <t>KALMAR LÄN</t>
        </is>
      </c>
      <c r="E575" t="inlineStr">
        <is>
          <t>VÄSTERVIK</t>
        </is>
      </c>
      <c r="G575" t="n">
        <v>2.6</v>
      </c>
      <c r="H575" t="n">
        <v>0</v>
      </c>
      <c r="I575" t="n">
        <v>0</v>
      </c>
      <c r="J575" t="n">
        <v>0</v>
      </c>
      <c r="K575" t="n">
        <v>0</v>
      </c>
      <c r="L575" t="n">
        <v>0</v>
      </c>
      <c r="M575" t="n">
        <v>0</v>
      </c>
      <c r="N575" t="n">
        <v>0</v>
      </c>
      <c r="O575" t="n">
        <v>0</v>
      </c>
      <c r="P575" t="n">
        <v>0</v>
      </c>
      <c r="Q575" t="n">
        <v>0</v>
      </c>
      <c r="R575" s="2" t="inlineStr"/>
    </row>
    <row r="576" ht="15" customHeight="1">
      <c r="A576" t="inlineStr">
        <is>
          <t>A 58731-2024</t>
        </is>
      </c>
      <c r="B576" s="1" t="n">
        <v>45635.67120370371</v>
      </c>
      <c r="C576" s="1" t="n">
        <v>45925</v>
      </c>
      <c r="D576" t="inlineStr">
        <is>
          <t>KALMAR LÄN</t>
        </is>
      </c>
      <c r="E576" t="inlineStr">
        <is>
          <t>VÄSTERVIK</t>
        </is>
      </c>
      <c r="G576" t="n">
        <v>2.3</v>
      </c>
      <c r="H576" t="n">
        <v>0</v>
      </c>
      <c r="I576" t="n">
        <v>0</v>
      </c>
      <c r="J576" t="n">
        <v>0</v>
      </c>
      <c r="K576" t="n">
        <v>0</v>
      </c>
      <c r="L576" t="n">
        <v>0</v>
      </c>
      <c r="M576" t="n">
        <v>0</v>
      </c>
      <c r="N576" t="n">
        <v>0</v>
      </c>
      <c r="O576" t="n">
        <v>0</v>
      </c>
      <c r="P576" t="n">
        <v>0</v>
      </c>
      <c r="Q576" t="n">
        <v>0</v>
      </c>
      <c r="R576" s="2" t="inlineStr"/>
    </row>
    <row r="577" ht="15" customHeight="1">
      <c r="A577" t="inlineStr">
        <is>
          <t>A 35417-2022</t>
        </is>
      </c>
      <c r="B577" s="1" t="n">
        <v>44798</v>
      </c>
      <c r="C577" s="1" t="n">
        <v>45925</v>
      </c>
      <c r="D577" t="inlineStr">
        <is>
          <t>KALMAR LÄN</t>
        </is>
      </c>
      <c r="E577" t="inlineStr">
        <is>
          <t>VÄSTERVIK</t>
        </is>
      </c>
      <c r="G577" t="n">
        <v>5.2</v>
      </c>
      <c r="H577" t="n">
        <v>0</v>
      </c>
      <c r="I577" t="n">
        <v>0</v>
      </c>
      <c r="J577" t="n">
        <v>0</v>
      </c>
      <c r="K577" t="n">
        <v>0</v>
      </c>
      <c r="L577" t="n">
        <v>0</v>
      </c>
      <c r="M577" t="n">
        <v>0</v>
      </c>
      <c r="N577" t="n">
        <v>0</v>
      </c>
      <c r="O577" t="n">
        <v>0</v>
      </c>
      <c r="P577" t="n">
        <v>0</v>
      </c>
      <c r="Q577" t="n">
        <v>0</v>
      </c>
      <c r="R577" s="2" t="inlineStr"/>
    </row>
    <row r="578" ht="15" customHeight="1">
      <c r="A578" t="inlineStr">
        <is>
          <t>A 4463-2022</t>
        </is>
      </c>
      <c r="B578" s="1" t="n">
        <v>44589</v>
      </c>
      <c r="C578" s="1" t="n">
        <v>45925</v>
      </c>
      <c r="D578" t="inlineStr">
        <is>
          <t>KALMAR LÄN</t>
        </is>
      </c>
      <c r="E578" t="inlineStr">
        <is>
          <t>VÄSTERVIK</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25238-2021</t>
        </is>
      </c>
      <c r="B579" s="1" t="n">
        <v>44342</v>
      </c>
      <c r="C579" s="1" t="n">
        <v>45925</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49708-2024</t>
        </is>
      </c>
      <c r="B580" s="1" t="n">
        <v>45596.69846064815</v>
      </c>
      <c r="C580" s="1" t="n">
        <v>45925</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12520-2021</t>
        </is>
      </c>
      <c r="B581" s="1" t="n">
        <v>44269</v>
      </c>
      <c r="C581" s="1" t="n">
        <v>45925</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18081-2023</t>
        </is>
      </c>
      <c r="B582" s="1" t="n">
        <v>45040</v>
      </c>
      <c r="C582" s="1" t="n">
        <v>45925</v>
      </c>
      <c r="D582" t="inlineStr">
        <is>
          <t>KALMAR LÄN</t>
        </is>
      </c>
      <c r="E582" t="inlineStr">
        <is>
          <t>VÄSTERVIK</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28895-2023</t>
        </is>
      </c>
      <c r="B583" s="1" t="n">
        <v>45104</v>
      </c>
      <c r="C583" s="1" t="n">
        <v>45925</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12386-2025</t>
        </is>
      </c>
      <c r="B584" s="1" t="n">
        <v>45730</v>
      </c>
      <c r="C584" s="1" t="n">
        <v>45925</v>
      </c>
      <c r="D584" t="inlineStr">
        <is>
          <t>KALMAR LÄN</t>
        </is>
      </c>
      <c r="E584" t="inlineStr">
        <is>
          <t>VÄSTERVIK</t>
        </is>
      </c>
      <c r="G584" t="n">
        <v>4.4</v>
      </c>
      <c r="H584" t="n">
        <v>0</v>
      </c>
      <c r="I584" t="n">
        <v>0</v>
      </c>
      <c r="J584" t="n">
        <v>0</v>
      </c>
      <c r="K584" t="n">
        <v>0</v>
      </c>
      <c r="L584" t="n">
        <v>0</v>
      </c>
      <c r="M584" t="n">
        <v>0</v>
      </c>
      <c r="N584" t="n">
        <v>0</v>
      </c>
      <c r="O584" t="n">
        <v>0</v>
      </c>
      <c r="P584" t="n">
        <v>0</v>
      </c>
      <c r="Q584" t="n">
        <v>0</v>
      </c>
      <c r="R584" s="2" t="inlineStr"/>
    </row>
    <row r="585" ht="15" customHeight="1">
      <c r="A585" t="inlineStr">
        <is>
          <t>A 53266-2021</t>
        </is>
      </c>
      <c r="B585" s="1" t="n">
        <v>44468.48255787037</v>
      </c>
      <c r="C585" s="1" t="n">
        <v>45925</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6940-2025</t>
        </is>
      </c>
      <c r="B586" s="1" t="n">
        <v>45701.46581018518</v>
      </c>
      <c r="C586" s="1" t="n">
        <v>45925</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15765-2023</t>
        </is>
      </c>
      <c r="B587" s="1" t="n">
        <v>45021</v>
      </c>
      <c r="C587" s="1" t="n">
        <v>45925</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14055-2025</t>
        </is>
      </c>
      <c r="B588" s="1" t="n">
        <v>45740.39541666667</v>
      </c>
      <c r="C588" s="1" t="n">
        <v>45925</v>
      </c>
      <c r="D588" t="inlineStr">
        <is>
          <t>KALMAR LÄN</t>
        </is>
      </c>
      <c r="E588" t="inlineStr">
        <is>
          <t>VÄSTERVIK</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47939-2023</t>
        </is>
      </c>
      <c r="B589" s="1" t="n">
        <v>45204.56195601852</v>
      </c>
      <c r="C589" s="1" t="n">
        <v>45925</v>
      </c>
      <c r="D589" t="inlineStr">
        <is>
          <t>KALMAR LÄN</t>
        </is>
      </c>
      <c r="E589" t="inlineStr">
        <is>
          <t>VÄSTERVIK</t>
        </is>
      </c>
      <c r="G589" t="n">
        <v>3.7</v>
      </c>
      <c r="H589" t="n">
        <v>0</v>
      </c>
      <c r="I589" t="n">
        <v>0</v>
      </c>
      <c r="J589" t="n">
        <v>0</v>
      </c>
      <c r="K589" t="n">
        <v>0</v>
      </c>
      <c r="L589" t="n">
        <v>0</v>
      </c>
      <c r="M589" t="n">
        <v>0</v>
      </c>
      <c r="N589" t="n">
        <v>0</v>
      </c>
      <c r="O589" t="n">
        <v>0</v>
      </c>
      <c r="P589" t="n">
        <v>0</v>
      </c>
      <c r="Q589" t="n">
        <v>0</v>
      </c>
      <c r="R589" s="2" t="inlineStr"/>
    </row>
    <row r="590" ht="15" customHeight="1">
      <c r="A590" t="inlineStr">
        <is>
          <t>A 43651-2025</t>
        </is>
      </c>
      <c r="B590" s="1" t="n">
        <v>45912.32259259259</v>
      </c>
      <c r="C590" s="1" t="n">
        <v>45925</v>
      </c>
      <c r="D590" t="inlineStr">
        <is>
          <t>KALMAR LÄN</t>
        </is>
      </c>
      <c r="E590" t="inlineStr">
        <is>
          <t>VÄSTERVIK</t>
        </is>
      </c>
      <c r="G590" t="n">
        <v>1.1</v>
      </c>
      <c r="H590" t="n">
        <v>0</v>
      </c>
      <c r="I590" t="n">
        <v>0</v>
      </c>
      <c r="J590" t="n">
        <v>0</v>
      </c>
      <c r="K590" t="n">
        <v>0</v>
      </c>
      <c r="L590" t="n">
        <v>0</v>
      </c>
      <c r="M590" t="n">
        <v>0</v>
      </c>
      <c r="N590" t="n">
        <v>0</v>
      </c>
      <c r="O590" t="n">
        <v>0</v>
      </c>
      <c r="P590" t="n">
        <v>0</v>
      </c>
      <c r="Q590" t="n">
        <v>0</v>
      </c>
      <c r="R590" s="2" t="inlineStr"/>
    </row>
    <row r="591" ht="15" customHeight="1">
      <c r="A591" t="inlineStr">
        <is>
          <t>A 48121-2021</t>
        </is>
      </c>
      <c r="B591" s="1" t="n">
        <v>44449.46614583334</v>
      </c>
      <c r="C591" s="1" t="n">
        <v>45925</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51645-2023</t>
        </is>
      </c>
      <c r="B592" s="1" t="n">
        <v>45222.55333333334</v>
      </c>
      <c r="C592" s="1" t="n">
        <v>45925</v>
      </c>
      <c r="D592" t="inlineStr">
        <is>
          <t>KALMAR LÄN</t>
        </is>
      </c>
      <c r="E592" t="inlineStr">
        <is>
          <t>VÄSTERVIK</t>
        </is>
      </c>
      <c r="G592" t="n">
        <v>3.7</v>
      </c>
      <c r="H592" t="n">
        <v>0</v>
      </c>
      <c r="I592" t="n">
        <v>0</v>
      </c>
      <c r="J592" t="n">
        <v>0</v>
      </c>
      <c r="K592" t="n">
        <v>0</v>
      </c>
      <c r="L592" t="n">
        <v>0</v>
      </c>
      <c r="M592" t="n">
        <v>0</v>
      </c>
      <c r="N592" t="n">
        <v>0</v>
      </c>
      <c r="O592" t="n">
        <v>0</v>
      </c>
      <c r="P592" t="n">
        <v>0</v>
      </c>
      <c r="Q592" t="n">
        <v>0</v>
      </c>
      <c r="R592" s="2" t="inlineStr"/>
    </row>
    <row r="593" ht="15" customHeight="1">
      <c r="A593" t="inlineStr">
        <is>
          <t>A 69702-2021</t>
        </is>
      </c>
      <c r="B593" s="1" t="n">
        <v>44532.48237268518</v>
      </c>
      <c r="C593" s="1" t="n">
        <v>45925</v>
      </c>
      <c r="D593" t="inlineStr">
        <is>
          <t>KALMAR LÄN</t>
        </is>
      </c>
      <c r="E593" t="inlineStr">
        <is>
          <t>VÄSTERVIK</t>
        </is>
      </c>
      <c r="G593" t="n">
        <v>4.4</v>
      </c>
      <c r="H593" t="n">
        <v>0</v>
      </c>
      <c r="I593" t="n">
        <v>0</v>
      </c>
      <c r="J593" t="n">
        <v>0</v>
      </c>
      <c r="K593" t="n">
        <v>0</v>
      </c>
      <c r="L593" t="n">
        <v>0</v>
      </c>
      <c r="M593" t="n">
        <v>0</v>
      </c>
      <c r="N593" t="n">
        <v>0</v>
      </c>
      <c r="O593" t="n">
        <v>0</v>
      </c>
      <c r="P593" t="n">
        <v>0</v>
      </c>
      <c r="Q593" t="n">
        <v>0</v>
      </c>
      <c r="R593" s="2" t="inlineStr"/>
    </row>
    <row r="594" ht="15" customHeight="1">
      <c r="A594" t="inlineStr">
        <is>
          <t>A 14068-2025</t>
        </is>
      </c>
      <c r="B594" s="1" t="n">
        <v>45740.42127314815</v>
      </c>
      <c r="C594" s="1" t="n">
        <v>45925</v>
      </c>
      <c r="D594" t="inlineStr">
        <is>
          <t>KALMAR LÄN</t>
        </is>
      </c>
      <c r="E594" t="inlineStr">
        <is>
          <t>VÄSTERVIK</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14071-2025</t>
        </is>
      </c>
      <c r="B595" s="1" t="n">
        <v>45740.42738425926</v>
      </c>
      <c r="C595" s="1" t="n">
        <v>45925</v>
      </c>
      <c r="D595" t="inlineStr">
        <is>
          <t>KALMAR LÄN</t>
        </is>
      </c>
      <c r="E595" t="inlineStr">
        <is>
          <t>VÄSTERVIK</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35652-2023</t>
        </is>
      </c>
      <c r="B596" s="1" t="n">
        <v>45147.59215277778</v>
      </c>
      <c r="C596" s="1" t="n">
        <v>45925</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6126-2023</t>
        </is>
      </c>
      <c r="B597" s="1" t="n">
        <v>44964.61592592593</v>
      </c>
      <c r="C597" s="1" t="n">
        <v>45925</v>
      </c>
      <c r="D597" t="inlineStr">
        <is>
          <t>KALMAR LÄN</t>
        </is>
      </c>
      <c r="E597" t="inlineStr">
        <is>
          <t>VÄSTERVIK</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24578-2024</t>
        </is>
      </c>
      <c r="B598" s="1" t="n">
        <v>45460</v>
      </c>
      <c r="C598" s="1" t="n">
        <v>45925</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15099-2023</t>
        </is>
      </c>
      <c r="B599" s="1" t="n">
        <v>45016.39048611111</v>
      </c>
      <c r="C599" s="1" t="n">
        <v>45925</v>
      </c>
      <c r="D599" t="inlineStr">
        <is>
          <t>KALMAR LÄN</t>
        </is>
      </c>
      <c r="E599" t="inlineStr">
        <is>
          <t>VÄSTERVIK</t>
        </is>
      </c>
      <c r="G599" t="n">
        <v>3</v>
      </c>
      <c r="H599" t="n">
        <v>0</v>
      </c>
      <c r="I599" t="n">
        <v>0</v>
      </c>
      <c r="J599" t="n">
        <v>0</v>
      </c>
      <c r="K599" t="n">
        <v>0</v>
      </c>
      <c r="L599" t="n">
        <v>0</v>
      </c>
      <c r="M599" t="n">
        <v>0</v>
      </c>
      <c r="N599" t="n">
        <v>0</v>
      </c>
      <c r="O599" t="n">
        <v>0</v>
      </c>
      <c r="P599" t="n">
        <v>0</v>
      </c>
      <c r="Q599" t="n">
        <v>0</v>
      </c>
      <c r="R599" s="2" t="inlineStr"/>
    </row>
    <row r="600" ht="15" customHeight="1">
      <c r="A600" t="inlineStr">
        <is>
          <t>A 71114-2021</t>
        </is>
      </c>
      <c r="B600" s="1" t="n">
        <v>44539.37123842593</v>
      </c>
      <c r="C600" s="1" t="n">
        <v>45925</v>
      </c>
      <c r="D600" t="inlineStr">
        <is>
          <t>KALMAR LÄN</t>
        </is>
      </c>
      <c r="E600" t="inlineStr">
        <is>
          <t>VÄSTERVIK</t>
        </is>
      </c>
      <c r="G600" t="n">
        <v>1.9</v>
      </c>
      <c r="H600" t="n">
        <v>0</v>
      </c>
      <c r="I600" t="n">
        <v>0</v>
      </c>
      <c r="J600" t="n">
        <v>0</v>
      </c>
      <c r="K600" t="n">
        <v>0</v>
      </c>
      <c r="L600" t="n">
        <v>0</v>
      </c>
      <c r="M600" t="n">
        <v>0</v>
      </c>
      <c r="N600" t="n">
        <v>0</v>
      </c>
      <c r="O600" t="n">
        <v>0</v>
      </c>
      <c r="P600" t="n">
        <v>0</v>
      </c>
      <c r="Q600" t="n">
        <v>0</v>
      </c>
      <c r="R600" s="2" t="inlineStr"/>
    </row>
    <row r="601" ht="15" customHeight="1">
      <c r="A601" t="inlineStr">
        <is>
          <t>A 36400-2024</t>
        </is>
      </c>
      <c r="B601" s="1" t="n">
        <v>45535.67180555555</v>
      </c>
      <c r="C601" s="1" t="n">
        <v>45925</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3776-2024</t>
        </is>
      </c>
      <c r="B602" s="1" t="n">
        <v>45321.58569444445</v>
      </c>
      <c r="C602" s="1" t="n">
        <v>45925</v>
      </c>
      <c r="D602" t="inlineStr">
        <is>
          <t>KALMAR LÄN</t>
        </is>
      </c>
      <c r="E602" t="inlineStr">
        <is>
          <t>VÄSTERVIK</t>
        </is>
      </c>
      <c r="G602" t="n">
        <v>4.8</v>
      </c>
      <c r="H602" t="n">
        <v>0</v>
      </c>
      <c r="I602" t="n">
        <v>0</v>
      </c>
      <c r="J602" t="n">
        <v>0</v>
      </c>
      <c r="K602" t="n">
        <v>0</v>
      </c>
      <c r="L602" t="n">
        <v>0</v>
      </c>
      <c r="M602" t="n">
        <v>0</v>
      </c>
      <c r="N602" t="n">
        <v>0</v>
      </c>
      <c r="O602" t="n">
        <v>0</v>
      </c>
      <c r="P602" t="n">
        <v>0</v>
      </c>
      <c r="Q602" t="n">
        <v>0</v>
      </c>
      <c r="R602" s="2" t="inlineStr"/>
    </row>
    <row r="603" ht="15" customHeight="1">
      <c r="A603" t="inlineStr">
        <is>
          <t>A 13838-2024</t>
        </is>
      </c>
      <c r="B603" s="1" t="n">
        <v>45391.44646990741</v>
      </c>
      <c r="C603" s="1" t="n">
        <v>45925</v>
      </c>
      <c r="D603" t="inlineStr">
        <is>
          <t>KALMAR LÄN</t>
        </is>
      </c>
      <c r="E603" t="inlineStr">
        <is>
          <t>VÄSTERVIK</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62422-2022</t>
        </is>
      </c>
      <c r="B604" s="1" t="n">
        <v>44924</v>
      </c>
      <c r="C604" s="1" t="n">
        <v>45925</v>
      </c>
      <c r="D604" t="inlineStr">
        <is>
          <t>KALMAR LÄN</t>
        </is>
      </c>
      <c r="E604" t="inlineStr">
        <is>
          <t>VÄSTERVIK</t>
        </is>
      </c>
      <c r="G604" t="n">
        <v>4.9</v>
      </c>
      <c r="H604" t="n">
        <v>0</v>
      </c>
      <c r="I604" t="n">
        <v>0</v>
      </c>
      <c r="J604" t="n">
        <v>0</v>
      </c>
      <c r="K604" t="n">
        <v>0</v>
      </c>
      <c r="L604" t="n">
        <v>0</v>
      </c>
      <c r="M604" t="n">
        <v>0</v>
      </c>
      <c r="N604" t="n">
        <v>0</v>
      </c>
      <c r="O604" t="n">
        <v>0</v>
      </c>
      <c r="P604" t="n">
        <v>0</v>
      </c>
      <c r="Q604" t="n">
        <v>0</v>
      </c>
      <c r="R604" s="2" t="inlineStr"/>
    </row>
    <row r="605" ht="15" customHeight="1">
      <c r="A605" t="inlineStr">
        <is>
          <t>A 6938-2025</t>
        </is>
      </c>
      <c r="B605" s="1" t="n">
        <v>45701.46288194445</v>
      </c>
      <c r="C605" s="1" t="n">
        <v>45925</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60710-2022</t>
        </is>
      </c>
      <c r="B606" s="1" t="n">
        <v>44912</v>
      </c>
      <c r="C606" s="1" t="n">
        <v>45925</v>
      </c>
      <c r="D606" t="inlineStr">
        <is>
          <t>KALMAR LÄN</t>
        </is>
      </c>
      <c r="E606" t="inlineStr">
        <is>
          <t>VÄSTERVIK</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60713-2022</t>
        </is>
      </c>
      <c r="B607" s="1" t="n">
        <v>44912</v>
      </c>
      <c r="C607" s="1" t="n">
        <v>45925</v>
      </c>
      <c r="D607" t="inlineStr">
        <is>
          <t>KALMAR LÄN</t>
        </is>
      </c>
      <c r="E607" t="inlineStr">
        <is>
          <t>VÄSTERVIK</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56440-2024</t>
        </is>
      </c>
      <c r="B608" s="1" t="n">
        <v>45625.41949074074</v>
      </c>
      <c r="C608" s="1" t="n">
        <v>45925</v>
      </c>
      <c r="D608" t="inlineStr">
        <is>
          <t>KALMAR LÄN</t>
        </is>
      </c>
      <c r="E608" t="inlineStr">
        <is>
          <t>VÄSTERVIK</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16617-2023</t>
        </is>
      </c>
      <c r="B609" s="1" t="n">
        <v>45030</v>
      </c>
      <c r="C609" s="1" t="n">
        <v>45925</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50911-2022</t>
        </is>
      </c>
      <c r="B610" s="1" t="n">
        <v>44867.62262731481</v>
      </c>
      <c r="C610" s="1" t="n">
        <v>45925</v>
      </c>
      <c r="D610" t="inlineStr">
        <is>
          <t>KALMAR LÄN</t>
        </is>
      </c>
      <c r="E610" t="inlineStr">
        <is>
          <t>VÄSTERVIK</t>
        </is>
      </c>
      <c r="F610" t="inlineStr">
        <is>
          <t>Sveaskog</t>
        </is>
      </c>
      <c r="G610" t="n">
        <v>3</v>
      </c>
      <c r="H610" t="n">
        <v>0</v>
      </c>
      <c r="I610" t="n">
        <v>0</v>
      </c>
      <c r="J610" t="n">
        <v>0</v>
      </c>
      <c r="K610" t="n">
        <v>0</v>
      </c>
      <c r="L610" t="n">
        <v>0</v>
      </c>
      <c r="M610" t="n">
        <v>0</v>
      </c>
      <c r="N610" t="n">
        <v>0</v>
      </c>
      <c r="O610" t="n">
        <v>0</v>
      </c>
      <c r="P610" t="n">
        <v>0</v>
      </c>
      <c r="Q610" t="n">
        <v>0</v>
      </c>
      <c r="R610" s="2" t="inlineStr"/>
    </row>
    <row r="611" ht="15" customHeight="1">
      <c r="A611" t="inlineStr">
        <is>
          <t>A 36906-2024</t>
        </is>
      </c>
      <c r="B611" s="1" t="n">
        <v>45538</v>
      </c>
      <c r="C611" s="1" t="n">
        <v>45925</v>
      </c>
      <c r="D611" t="inlineStr">
        <is>
          <t>KALMAR LÄN</t>
        </is>
      </c>
      <c r="E611" t="inlineStr">
        <is>
          <t>VÄSTERVIK</t>
        </is>
      </c>
      <c r="G611" t="n">
        <v>2</v>
      </c>
      <c r="H611" t="n">
        <v>0</v>
      </c>
      <c r="I611" t="n">
        <v>0</v>
      </c>
      <c r="J611" t="n">
        <v>0</v>
      </c>
      <c r="K611" t="n">
        <v>0</v>
      </c>
      <c r="L611" t="n">
        <v>0</v>
      </c>
      <c r="M611" t="n">
        <v>0</v>
      </c>
      <c r="N611" t="n">
        <v>0</v>
      </c>
      <c r="O611" t="n">
        <v>0</v>
      </c>
      <c r="P611" t="n">
        <v>0</v>
      </c>
      <c r="Q611" t="n">
        <v>0</v>
      </c>
      <c r="R611" s="2" t="inlineStr"/>
    </row>
    <row r="612" ht="15" customHeight="1">
      <c r="A612" t="inlineStr">
        <is>
          <t>A 10020-2021</t>
        </is>
      </c>
      <c r="B612" s="1" t="n">
        <v>44256</v>
      </c>
      <c r="C612" s="1" t="n">
        <v>45925</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64762-2023</t>
        </is>
      </c>
      <c r="B613" s="1" t="n">
        <v>45282.27841435185</v>
      </c>
      <c r="C613" s="1" t="n">
        <v>45925</v>
      </c>
      <c r="D613" t="inlineStr">
        <is>
          <t>KALMAR LÄN</t>
        </is>
      </c>
      <c r="E613" t="inlineStr">
        <is>
          <t>VÄSTERVIK</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64763-2023</t>
        </is>
      </c>
      <c r="B614" s="1" t="n">
        <v>45282.28041666667</v>
      </c>
      <c r="C614" s="1" t="n">
        <v>45925</v>
      </c>
      <c r="D614" t="inlineStr">
        <is>
          <t>KALMAR LÄN</t>
        </is>
      </c>
      <c r="E614" t="inlineStr">
        <is>
          <t>VÄSTERVIK</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37326-2024</t>
        </is>
      </c>
      <c r="B615" s="1" t="n">
        <v>45540</v>
      </c>
      <c r="C615" s="1" t="n">
        <v>45925</v>
      </c>
      <c r="D615" t="inlineStr">
        <is>
          <t>KALMAR LÄN</t>
        </is>
      </c>
      <c r="E615" t="inlineStr">
        <is>
          <t>VÄSTERVIK</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20483-2025</t>
        </is>
      </c>
      <c r="B616" s="1" t="n">
        <v>45775.55954861111</v>
      </c>
      <c r="C616" s="1" t="n">
        <v>45925</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1115-2025</t>
        </is>
      </c>
      <c r="B617" s="1" t="n">
        <v>45666.65664351852</v>
      </c>
      <c r="C617" s="1" t="n">
        <v>45925</v>
      </c>
      <c r="D617" t="inlineStr">
        <is>
          <t>KALMAR LÄN</t>
        </is>
      </c>
      <c r="E617" t="inlineStr">
        <is>
          <t>VÄSTERVIK</t>
        </is>
      </c>
      <c r="G617" t="n">
        <v>1.9</v>
      </c>
      <c r="H617" t="n">
        <v>0</v>
      </c>
      <c r="I617" t="n">
        <v>0</v>
      </c>
      <c r="J617" t="n">
        <v>0</v>
      </c>
      <c r="K617" t="n">
        <v>0</v>
      </c>
      <c r="L617" t="n">
        <v>0</v>
      </c>
      <c r="M617" t="n">
        <v>0</v>
      </c>
      <c r="N617" t="n">
        <v>0</v>
      </c>
      <c r="O617" t="n">
        <v>0</v>
      </c>
      <c r="P617" t="n">
        <v>0</v>
      </c>
      <c r="Q617" t="n">
        <v>0</v>
      </c>
      <c r="R617" s="2" t="inlineStr"/>
    </row>
    <row r="618" ht="15" customHeight="1">
      <c r="A618" t="inlineStr">
        <is>
          <t>A 2830-2025</t>
        </is>
      </c>
      <c r="B618" s="1" t="n">
        <v>45677.62704861111</v>
      </c>
      <c r="C618" s="1" t="n">
        <v>45925</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8440-2023</t>
        </is>
      </c>
      <c r="B619" s="1" t="n">
        <v>44977.46979166667</v>
      </c>
      <c r="C619" s="1" t="n">
        <v>45925</v>
      </c>
      <c r="D619" t="inlineStr">
        <is>
          <t>KALMAR LÄN</t>
        </is>
      </c>
      <c r="E619" t="inlineStr">
        <is>
          <t>VÄSTERVIK</t>
        </is>
      </c>
      <c r="G619" t="n">
        <v>5.5</v>
      </c>
      <c r="H619" t="n">
        <v>0</v>
      </c>
      <c r="I619" t="n">
        <v>0</v>
      </c>
      <c r="J619" t="n">
        <v>0</v>
      </c>
      <c r="K619" t="n">
        <v>0</v>
      </c>
      <c r="L619" t="n">
        <v>0</v>
      </c>
      <c r="M619" t="n">
        <v>0</v>
      </c>
      <c r="N619" t="n">
        <v>0</v>
      </c>
      <c r="O619" t="n">
        <v>0</v>
      </c>
      <c r="P619" t="n">
        <v>0</v>
      </c>
      <c r="Q619" t="n">
        <v>0</v>
      </c>
      <c r="R619" s="2" t="inlineStr"/>
    </row>
    <row r="620" ht="15" customHeight="1">
      <c r="A620" t="inlineStr">
        <is>
          <t>A 8513-2023</t>
        </is>
      </c>
      <c r="B620" s="1" t="n">
        <v>44977.56759259259</v>
      </c>
      <c r="C620" s="1" t="n">
        <v>45925</v>
      </c>
      <c r="D620" t="inlineStr">
        <is>
          <t>KALMAR LÄN</t>
        </is>
      </c>
      <c r="E620" t="inlineStr">
        <is>
          <t>VÄSTERVIK</t>
        </is>
      </c>
      <c r="G620" t="n">
        <v>2</v>
      </c>
      <c r="H620" t="n">
        <v>0</v>
      </c>
      <c r="I620" t="n">
        <v>0</v>
      </c>
      <c r="J620" t="n">
        <v>0</v>
      </c>
      <c r="K620" t="n">
        <v>0</v>
      </c>
      <c r="L620" t="n">
        <v>0</v>
      </c>
      <c r="M620" t="n">
        <v>0</v>
      </c>
      <c r="N620" t="n">
        <v>0</v>
      </c>
      <c r="O620" t="n">
        <v>0</v>
      </c>
      <c r="P620" t="n">
        <v>0</v>
      </c>
      <c r="Q620" t="n">
        <v>0</v>
      </c>
      <c r="R620" s="2" t="inlineStr"/>
    </row>
    <row r="621" ht="15" customHeight="1">
      <c r="A621" t="inlineStr">
        <is>
          <t>A 10766-2025</t>
        </is>
      </c>
      <c r="B621" s="1" t="n">
        <v>45722.4630787037</v>
      </c>
      <c r="C621" s="1" t="n">
        <v>45925</v>
      </c>
      <c r="D621" t="inlineStr">
        <is>
          <t>KALMAR LÄN</t>
        </is>
      </c>
      <c r="E621" t="inlineStr">
        <is>
          <t>VÄSTERVIK</t>
        </is>
      </c>
      <c r="G621" t="n">
        <v>0.9</v>
      </c>
      <c r="H621" t="n">
        <v>0</v>
      </c>
      <c r="I621" t="n">
        <v>0</v>
      </c>
      <c r="J621" t="n">
        <v>0</v>
      </c>
      <c r="K621" t="n">
        <v>0</v>
      </c>
      <c r="L621" t="n">
        <v>0</v>
      </c>
      <c r="M621" t="n">
        <v>0</v>
      </c>
      <c r="N621" t="n">
        <v>0</v>
      </c>
      <c r="O621" t="n">
        <v>0</v>
      </c>
      <c r="P621" t="n">
        <v>0</v>
      </c>
      <c r="Q621" t="n">
        <v>0</v>
      </c>
      <c r="R621" s="2" t="inlineStr"/>
    </row>
    <row r="622" ht="15" customHeight="1">
      <c r="A622" t="inlineStr">
        <is>
          <t>A 9770-2023</t>
        </is>
      </c>
      <c r="B622" s="1" t="n">
        <v>44984</v>
      </c>
      <c r="C622" s="1" t="n">
        <v>45925</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9792-2023</t>
        </is>
      </c>
      <c r="B623" s="1" t="n">
        <v>44984.64269675926</v>
      </c>
      <c r="C623" s="1" t="n">
        <v>45925</v>
      </c>
      <c r="D623" t="inlineStr">
        <is>
          <t>KALMAR LÄN</t>
        </is>
      </c>
      <c r="E623" t="inlineStr">
        <is>
          <t>VÄSTERVIK</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14685-2025</t>
        </is>
      </c>
      <c r="B624" s="1" t="n">
        <v>45742.57653935185</v>
      </c>
      <c r="C624" s="1" t="n">
        <v>45925</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11791-2024</t>
        </is>
      </c>
      <c r="B625" s="1" t="n">
        <v>45374.97038194445</v>
      </c>
      <c r="C625" s="1" t="n">
        <v>45925</v>
      </c>
      <c r="D625" t="inlineStr">
        <is>
          <t>KALMAR LÄN</t>
        </is>
      </c>
      <c r="E625" t="inlineStr">
        <is>
          <t>VÄSTERVIK</t>
        </is>
      </c>
      <c r="G625" t="n">
        <v>3.4</v>
      </c>
      <c r="H625" t="n">
        <v>0</v>
      </c>
      <c r="I625" t="n">
        <v>0</v>
      </c>
      <c r="J625" t="n">
        <v>0</v>
      </c>
      <c r="K625" t="n">
        <v>0</v>
      </c>
      <c r="L625" t="n">
        <v>0</v>
      </c>
      <c r="M625" t="n">
        <v>0</v>
      </c>
      <c r="N625" t="n">
        <v>0</v>
      </c>
      <c r="O625" t="n">
        <v>0</v>
      </c>
      <c r="P625" t="n">
        <v>0</v>
      </c>
      <c r="Q625" t="n">
        <v>0</v>
      </c>
      <c r="R625" s="2" t="inlineStr"/>
    </row>
    <row r="626" ht="15" customHeight="1">
      <c r="A626" t="inlineStr">
        <is>
          <t>A 62921-2023</t>
        </is>
      </c>
      <c r="B626" s="1" t="n">
        <v>45272</v>
      </c>
      <c r="C626" s="1" t="n">
        <v>45925</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3679-2025</t>
        </is>
      </c>
      <c r="B627" s="1" t="n">
        <v>45681.44637731482</v>
      </c>
      <c r="C627" s="1" t="n">
        <v>45925</v>
      </c>
      <c r="D627" t="inlineStr">
        <is>
          <t>KALMAR LÄN</t>
        </is>
      </c>
      <c r="E627" t="inlineStr">
        <is>
          <t>VÄSTERVIK</t>
        </is>
      </c>
      <c r="G627" t="n">
        <v>0.9</v>
      </c>
      <c r="H627" t="n">
        <v>0</v>
      </c>
      <c r="I627" t="n">
        <v>0</v>
      </c>
      <c r="J627" t="n">
        <v>0</v>
      </c>
      <c r="K627" t="n">
        <v>0</v>
      </c>
      <c r="L627" t="n">
        <v>0</v>
      </c>
      <c r="M627" t="n">
        <v>0</v>
      </c>
      <c r="N627" t="n">
        <v>0</v>
      </c>
      <c r="O627" t="n">
        <v>0</v>
      </c>
      <c r="P627" t="n">
        <v>0</v>
      </c>
      <c r="Q627" t="n">
        <v>0</v>
      </c>
      <c r="R627" s="2" t="inlineStr"/>
    </row>
    <row r="628" ht="15" customHeight="1">
      <c r="A628" t="inlineStr">
        <is>
          <t>A 36754-2025</t>
        </is>
      </c>
      <c r="B628" s="1" t="n">
        <v>45873.5591087963</v>
      </c>
      <c r="C628" s="1" t="n">
        <v>45925</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2872-2025</t>
        </is>
      </c>
      <c r="B629" s="1" t="n">
        <v>45677.68357638889</v>
      </c>
      <c r="C629" s="1" t="n">
        <v>45925</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10803-2025</t>
        </is>
      </c>
      <c r="B630" s="1" t="n">
        <v>45722.52284722222</v>
      </c>
      <c r="C630" s="1" t="n">
        <v>45925</v>
      </c>
      <c r="D630" t="inlineStr">
        <is>
          <t>KALMAR LÄN</t>
        </is>
      </c>
      <c r="E630" t="inlineStr">
        <is>
          <t>VÄSTERVIK</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5982-2023</t>
        </is>
      </c>
      <c r="B631" s="1" t="n">
        <v>44964.35730324074</v>
      </c>
      <c r="C631" s="1" t="n">
        <v>45925</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28390-2024</t>
        </is>
      </c>
      <c r="B632" s="1" t="n">
        <v>45477</v>
      </c>
      <c r="C632" s="1" t="n">
        <v>45925</v>
      </c>
      <c r="D632" t="inlineStr">
        <is>
          <t>KALMAR LÄN</t>
        </is>
      </c>
      <c r="E632" t="inlineStr">
        <is>
          <t>VÄSTERVIK</t>
        </is>
      </c>
      <c r="F632" t="inlineStr">
        <is>
          <t>Holmen skog AB</t>
        </is>
      </c>
      <c r="G632" t="n">
        <v>1.4</v>
      </c>
      <c r="H632" t="n">
        <v>0</v>
      </c>
      <c r="I632" t="n">
        <v>0</v>
      </c>
      <c r="J632" t="n">
        <v>0</v>
      </c>
      <c r="K632" t="n">
        <v>0</v>
      </c>
      <c r="L632" t="n">
        <v>0</v>
      </c>
      <c r="M632" t="n">
        <v>0</v>
      </c>
      <c r="N632" t="n">
        <v>0</v>
      </c>
      <c r="O632" t="n">
        <v>0</v>
      </c>
      <c r="P632" t="n">
        <v>0</v>
      </c>
      <c r="Q632" t="n">
        <v>0</v>
      </c>
      <c r="R632" s="2" t="inlineStr"/>
    </row>
    <row r="633" ht="15" customHeight="1">
      <c r="A633" t="inlineStr">
        <is>
          <t>A 16683-2025</t>
        </is>
      </c>
      <c r="B633" s="1" t="n">
        <v>45754.45234953704</v>
      </c>
      <c r="C633" s="1" t="n">
        <v>45925</v>
      </c>
      <c r="D633" t="inlineStr">
        <is>
          <t>KALMAR LÄN</t>
        </is>
      </c>
      <c r="E633" t="inlineStr">
        <is>
          <t>VÄSTERVIK</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16686-2025</t>
        </is>
      </c>
      <c r="B634" s="1" t="n">
        <v>45754.45355324074</v>
      </c>
      <c r="C634" s="1" t="n">
        <v>45925</v>
      </c>
      <c r="D634" t="inlineStr">
        <is>
          <t>KALMAR LÄN</t>
        </is>
      </c>
      <c r="E634" t="inlineStr">
        <is>
          <t>VÄSTERVIK</t>
        </is>
      </c>
      <c r="F634" t="inlineStr">
        <is>
          <t>Sveaskog</t>
        </is>
      </c>
      <c r="G634" t="n">
        <v>3.9</v>
      </c>
      <c r="H634" t="n">
        <v>0</v>
      </c>
      <c r="I634" t="n">
        <v>0</v>
      </c>
      <c r="J634" t="n">
        <v>0</v>
      </c>
      <c r="K634" t="n">
        <v>0</v>
      </c>
      <c r="L634" t="n">
        <v>0</v>
      </c>
      <c r="M634" t="n">
        <v>0</v>
      </c>
      <c r="N634" t="n">
        <v>0</v>
      </c>
      <c r="O634" t="n">
        <v>0</v>
      </c>
      <c r="P634" t="n">
        <v>0</v>
      </c>
      <c r="Q634" t="n">
        <v>0</v>
      </c>
      <c r="R634" s="2" t="inlineStr"/>
    </row>
    <row r="635" ht="15" customHeight="1">
      <c r="A635" t="inlineStr">
        <is>
          <t>A 34650-2023</t>
        </is>
      </c>
      <c r="B635" s="1" t="n">
        <v>45140</v>
      </c>
      <c r="C635" s="1" t="n">
        <v>45925</v>
      </c>
      <c r="D635" t="inlineStr">
        <is>
          <t>KALMAR LÄN</t>
        </is>
      </c>
      <c r="E635" t="inlineStr">
        <is>
          <t>VÄSTERVIK</t>
        </is>
      </c>
      <c r="G635" t="n">
        <v>1.4</v>
      </c>
      <c r="H635" t="n">
        <v>0</v>
      </c>
      <c r="I635" t="n">
        <v>0</v>
      </c>
      <c r="J635" t="n">
        <v>0</v>
      </c>
      <c r="K635" t="n">
        <v>0</v>
      </c>
      <c r="L635" t="n">
        <v>0</v>
      </c>
      <c r="M635" t="n">
        <v>0</v>
      </c>
      <c r="N635" t="n">
        <v>0</v>
      </c>
      <c r="O635" t="n">
        <v>0</v>
      </c>
      <c r="P635" t="n">
        <v>0</v>
      </c>
      <c r="Q635" t="n">
        <v>0</v>
      </c>
      <c r="R635" s="2" t="inlineStr"/>
    </row>
    <row r="636" ht="15" customHeight="1">
      <c r="A636" t="inlineStr">
        <is>
          <t>A 60453-2024</t>
        </is>
      </c>
      <c r="B636" s="1" t="n">
        <v>45643.60487268519</v>
      </c>
      <c r="C636" s="1" t="n">
        <v>45925</v>
      </c>
      <c r="D636" t="inlineStr">
        <is>
          <t>KALMAR LÄN</t>
        </is>
      </c>
      <c r="E636" t="inlineStr">
        <is>
          <t>VÄSTERVIK</t>
        </is>
      </c>
      <c r="G636" t="n">
        <v>7.1</v>
      </c>
      <c r="H636" t="n">
        <v>0</v>
      </c>
      <c r="I636" t="n">
        <v>0</v>
      </c>
      <c r="J636" t="n">
        <v>0</v>
      </c>
      <c r="K636" t="n">
        <v>0</v>
      </c>
      <c r="L636" t="n">
        <v>0</v>
      </c>
      <c r="M636" t="n">
        <v>0</v>
      </c>
      <c r="N636" t="n">
        <v>0</v>
      </c>
      <c r="O636" t="n">
        <v>0</v>
      </c>
      <c r="P636" t="n">
        <v>0</v>
      </c>
      <c r="Q636" t="n">
        <v>0</v>
      </c>
      <c r="R636" s="2" t="inlineStr"/>
    </row>
    <row r="637" ht="15" customHeight="1">
      <c r="A637" t="inlineStr">
        <is>
          <t>A 29420-2024</t>
        </is>
      </c>
      <c r="B637" s="1" t="n">
        <v>45483</v>
      </c>
      <c r="C637" s="1" t="n">
        <v>45925</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38048-2023</t>
        </is>
      </c>
      <c r="B638" s="1" t="n">
        <v>45160.67677083334</v>
      </c>
      <c r="C638" s="1" t="n">
        <v>45925</v>
      </c>
      <c r="D638" t="inlineStr">
        <is>
          <t>KALMAR LÄN</t>
        </is>
      </c>
      <c r="E638" t="inlineStr">
        <is>
          <t>VÄSTERVIK</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17648-2023</t>
        </is>
      </c>
      <c r="B639" s="1" t="n">
        <v>45036</v>
      </c>
      <c r="C639" s="1" t="n">
        <v>45925</v>
      </c>
      <c r="D639" t="inlineStr">
        <is>
          <t>KALMAR LÄN</t>
        </is>
      </c>
      <c r="E639" t="inlineStr">
        <is>
          <t>VÄSTERVIK</t>
        </is>
      </c>
      <c r="G639" t="n">
        <v>0.4</v>
      </c>
      <c r="H639" t="n">
        <v>0</v>
      </c>
      <c r="I639" t="n">
        <v>0</v>
      </c>
      <c r="J639" t="n">
        <v>0</v>
      </c>
      <c r="K639" t="n">
        <v>0</v>
      </c>
      <c r="L639" t="n">
        <v>0</v>
      </c>
      <c r="M639" t="n">
        <v>0</v>
      </c>
      <c r="N639" t="n">
        <v>0</v>
      </c>
      <c r="O639" t="n">
        <v>0</v>
      </c>
      <c r="P639" t="n">
        <v>0</v>
      </c>
      <c r="Q639" t="n">
        <v>0</v>
      </c>
      <c r="R639" s="2" t="inlineStr"/>
    </row>
    <row r="640" ht="15" customHeight="1">
      <c r="A640" t="inlineStr">
        <is>
          <t>A 44461-2025</t>
        </is>
      </c>
      <c r="B640" s="1" t="n">
        <v>45916.62190972222</v>
      </c>
      <c r="C640" s="1" t="n">
        <v>45925</v>
      </c>
      <c r="D640" t="inlineStr">
        <is>
          <t>KALMAR LÄN</t>
        </is>
      </c>
      <c r="E640" t="inlineStr">
        <is>
          <t>VÄSTERVIK</t>
        </is>
      </c>
      <c r="G640" t="n">
        <v>3.4</v>
      </c>
      <c r="H640" t="n">
        <v>0</v>
      </c>
      <c r="I640" t="n">
        <v>0</v>
      </c>
      <c r="J640" t="n">
        <v>0</v>
      </c>
      <c r="K640" t="n">
        <v>0</v>
      </c>
      <c r="L640" t="n">
        <v>0</v>
      </c>
      <c r="M640" t="n">
        <v>0</v>
      </c>
      <c r="N640" t="n">
        <v>0</v>
      </c>
      <c r="O640" t="n">
        <v>0</v>
      </c>
      <c r="P640" t="n">
        <v>0</v>
      </c>
      <c r="Q640" t="n">
        <v>0</v>
      </c>
      <c r="R640" s="2" t="inlineStr"/>
    </row>
    <row r="641" ht="15" customHeight="1">
      <c r="A641" t="inlineStr">
        <is>
          <t>A 5079-2025</t>
        </is>
      </c>
      <c r="B641" s="1" t="n">
        <v>45691.50069444445</v>
      </c>
      <c r="C641" s="1" t="n">
        <v>45925</v>
      </c>
      <c r="D641" t="inlineStr">
        <is>
          <t>KALMAR LÄN</t>
        </is>
      </c>
      <c r="E641" t="inlineStr">
        <is>
          <t>VÄSTERVIK</t>
        </is>
      </c>
      <c r="F641" t="inlineStr">
        <is>
          <t>Holmen skog AB</t>
        </is>
      </c>
      <c r="G641" t="n">
        <v>3.3</v>
      </c>
      <c r="H641" t="n">
        <v>0</v>
      </c>
      <c r="I641" t="n">
        <v>0</v>
      </c>
      <c r="J641" t="n">
        <v>0</v>
      </c>
      <c r="K641" t="n">
        <v>0</v>
      </c>
      <c r="L641" t="n">
        <v>0</v>
      </c>
      <c r="M641" t="n">
        <v>0</v>
      </c>
      <c r="N641" t="n">
        <v>0</v>
      </c>
      <c r="O641" t="n">
        <v>0</v>
      </c>
      <c r="P641" t="n">
        <v>0</v>
      </c>
      <c r="Q641" t="n">
        <v>0</v>
      </c>
      <c r="R641" s="2" t="inlineStr"/>
    </row>
    <row r="642" ht="15" customHeight="1">
      <c r="A642" t="inlineStr">
        <is>
          <t>A 28952-2023</t>
        </is>
      </c>
      <c r="B642" s="1" t="n">
        <v>45104</v>
      </c>
      <c r="C642" s="1" t="n">
        <v>45925</v>
      </c>
      <c r="D642" t="inlineStr">
        <is>
          <t>KALMAR LÄN</t>
        </is>
      </c>
      <c r="E642" t="inlineStr">
        <is>
          <t>VÄSTERVIK</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36757-2025</t>
        </is>
      </c>
      <c r="B643" s="1" t="n">
        <v>45873.56483796296</v>
      </c>
      <c r="C643" s="1" t="n">
        <v>45925</v>
      </c>
      <c r="D643" t="inlineStr">
        <is>
          <t>KALMAR LÄN</t>
        </is>
      </c>
      <c r="E643" t="inlineStr">
        <is>
          <t>VÄSTERVIK</t>
        </is>
      </c>
      <c r="G643" t="n">
        <v>2.3</v>
      </c>
      <c r="H643" t="n">
        <v>0</v>
      </c>
      <c r="I643" t="n">
        <v>0</v>
      </c>
      <c r="J643" t="n">
        <v>0</v>
      </c>
      <c r="K643" t="n">
        <v>0</v>
      </c>
      <c r="L643" t="n">
        <v>0</v>
      </c>
      <c r="M643" t="n">
        <v>0</v>
      </c>
      <c r="N643" t="n">
        <v>0</v>
      </c>
      <c r="O643" t="n">
        <v>0</v>
      </c>
      <c r="P643" t="n">
        <v>0</v>
      </c>
      <c r="Q643" t="n">
        <v>0</v>
      </c>
      <c r="R643" s="2" t="inlineStr"/>
    </row>
    <row r="644" ht="15" customHeight="1">
      <c r="A644" t="inlineStr">
        <is>
          <t>A 32137-2024</t>
        </is>
      </c>
      <c r="B644" s="1" t="n">
        <v>45511</v>
      </c>
      <c r="C644" s="1" t="n">
        <v>45925</v>
      </c>
      <c r="D644" t="inlineStr">
        <is>
          <t>KALMAR LÄN</t>
        </is>
      </c>
      <c r="E644" t="inlineStr">
        <is>
          <t>VÄSTERVIK</t>
        </is>
      </c>
      <c r="F644" t="inlineStr">
        <is>
          <t>Övriga Aktiebolag</t>
        </is>
      </c>
      <c r="G644" t="n">
        <v>1.4</v>
      </c>
      <c r="H644" t="n">
        <v>0</v>
      </c>
      <c r="I644" t="n">
        <v>0</v>
      </c>
      <c r="J644" t="n">
        <v>0</v>
      </c>
      <c r="K644" t="n">
        <v>0</v>
      </c>
      <c r="L644" t="n">
        <v>0</v>
      </c>
      <c r="M644" t="n">
        <v>0</v>
      </c>
      <c r="N644" t="n">
        <v>0</v>
      </c>
      <c r="O644" t="n">
        <v>0</v>
      </c>
      <c r="P644" t="n">
        <v>0</v>
      </c>
      <c r="Q644" t="n">
        <v>0</v>
      </c>
      <c r="R644" s="2" t="inlineStr"/>
    </row>
    <row r="645" ht="15" customHeight="1">
      <c r="A645" t="inlineStr">
        <is>
          <t>A 37986-2023</t>
        </is>
      </c>
      <c r="B645" s="1" t="n">
        <v>45160.60331018519</v>
      </c>
      <c r="C645" s="1" t="n">
        <v>45925</v>
      </c>
      <c r="D645" t="inlineStr">
        <is>
          <t>KALMAR LÄN</t>
        </is>
      </c>
      <c r="E645" t="inlineStr">
        <is>
          <t>VÄSTERVIK</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61448-2023</t>
        </is>
      </c>
      <c r="B646" s="1" t="n">
        <v>45264.81439814815</v>
      </c>
      <c r="C646" s="1" t="n">
        <v>45925</v>
      </c>
      <c r="D646" t="inlineStr">
        <is>
          <t>KALMAR LÄN</t>
        </is>
      </c>
      <c r="E646" t="inlineStr">
        <is>
          <t>VÄSTERVIK</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61449-2023</t>
        </is>
      </c>
      <c r="B647" s="1" t="n">
        <v>45264.81490740741</v>
      </c>
      <c r="C647" s="1" t="n">
        <v>45925</v>
      </c>
      <c r="D647" t="inlineStr">
        <is>
          <t>KALMAR LÄN</t>
        </is>
      </c>
      <c r="E647" t="inlineStr">
        <is>
          <t>VÄSTERVIK</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24877-2023</t>
        </is>
      </c>
      <c r="B648" s="1" t="n">
        <v>45085.43271990741</v>
      </c>
      <c r="C648" s="1" t="n">
        <v>45925</v>
      </c>
      <c r="D648" t="inlineStr">
        <is>
          <t>KALMAR LÄN</t>
        </is>
      </c>
      <c r="E648" t="inlineStr">
        <is>
          <t>VÄSTERVIK</t>
        </is>
      </c>
      <c r="G648" t="n">
        <v>3.8</v>
      </c>
      <c r="H648" t="n">
        <v>0</v>
      </c>
      <c r="I648" t="n">
        <v>0</v>
      </c>
      <c r="J648" t="n">
        <v>0</v>
      </c>
      <c r="K648" t="n">
        <v>0</v>
      </c>
      <c r="L648" t="n">
        <v>0</v>
      </c>
      <c r="M648" t="n">
        <v>0</v>
      </c>
      <c r="N648" t="n">
        <v>0</v>
      </c>
      <c r="O648" t="n">
        <v>0</v>
      </c>
      <c r="P648" t="n">
        <v>0</v>
      </c>
      <c r="Q648" t="n">
        <v>0</v>
      </c>
      <c r="R648" s="2" t="inlineStr"/>
    </row>
    <row r="649" ht="15" customHeight="1">
      <c r="A649" t="inlineStr">
        <is>
          <t>A 5450-2022</t>
        </is>
      </c>
      <c r="B649" s="1" t="n">
        <v>44595</v>
      </c>
      <c r="C649" s="1" t="n">
        <v>45925</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29789-2024</t>
        </is>
      </c>
      <c r="B650" s="1" t="n">
        <v>45485.46721064814</v>
      </c>
      <c r="C650" s="1" t="n">
        <v>45925</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63606-2023</t>
        </is>
      </c>
      <c r="B651" s="1" t="n">
        <v>45275</v>
      </c>
      <c r="C651" s="1" t="n">
        <v>45925</v>
      </c>
      <c r="D651" t="inlineStr">
        <is>
          <t>KALMAR LÄN</t>
        </is>
      </c>
      <c r="E651" t="inlineStr">
        <is>
          <t>VÄSTERVIK</t>
        </is>
      </c>
      <c r="G651" t="n">
        <v>2.9</v>
      </c>
      <c r="H651" t="n">
        <v>0</v>
      </c>
      <c r="I651" t="n">
        <v>0</v>
      </c>
      <c r="J651" t="n">
        <v>0</v>
      </c>
      <c r="K651" t="n">
        <v>0</v>
      </c>
      <c r="L651" t="n">
        <v>0</v>
      </c>
      <c r="M651" t="n">
        <v>0</v>
      </c>
      <c r="N651" t="n">
        <v>0</v>
      </c>
      <c r="O651" t="n">
        <v>0</v>
      </c>
      <c r="P651" t="n">
        <v>0</v>
      </c>
      <c r="Q651" t="n">
        <v>0</v>
      </c>
      <c r="R651" s="2" t="inlineStr"/>
    </row>
    <row r="652" ht="15" customHeight="1">
      <c r="A652" t="inlineStr">
        <is>
          <t>A 16586-2022</t>
        </is>
      </c>
      <c r="B652" s="1" t="n">
        <v>44672.47105324074</v>
      </c>
      <c r="C652" s="1" t="n">
        <v>45925</v>
      </c>
      <c r="D652" t="inlineStr">
        <is>
          <t>KALMAR LÄN</t>
        </is>
      </c>
      <c r="E652" t="inlineStr">
        <is>
          <t>VÄSTERVIK</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52774-2024</t>
        </is>
      </c>
      <c r="B653" s="1" t="n">
        <v>45610.53413194444</v>
      </c>
      <c r="C653" s="1" t="n">
        <v>45925</v>
      </c>
      <c r="D653" t="inlineStr">
        <is>
          <t>KALMAR LÄN</t>
        </is>
      </c>
      <c r="E653" t="inlineStr">
        <is>
          <t>VÄSTERVIK</t>
        </is>
      </c>
      <c r="F653" t="inlineStr">
        <is>
          <t>Holmen skog AB</t>
        </is>
      </c>
      <c r="G653" t="n">
        <v>2.9</v>
      </c>
      <c r="H653" t="n">
        <v>0</v>
      </c>
      <c r="I653" t="n">
        <v>0</v>
      </c>
      <c r="J653" t="n">
        <v>0</v>
      </c>
      <c r="K653" t="n">
        <v>0</v>
      </c>
      <c r="L653" t="n">
        <v>0</v>
      </c>
      <c r="M653" t="n">
        <v>0</v>
      </c>
      <c r="N653" t="n">
        <v>0</v>
      </c>
      <c r="O653" t="n">
        <v>0</v>
      </c>
      <c r="P653" t="n">
        <v>0</v>
      </c>
      <c r="Q653" t="n">
        <v>0</v>
      </c>
      <c r="R653" s="2" t="inlineStr"/>
    </row>
    <row r="654" ht="15" customHeight="1">
      <c r="A654" t="inlineStr">
        <is>
          <t>A 352-2023</t>
        </is>
      </c>
      <c r="B654" s="1" t="n">
        <v>44929.51619212963</v>
      </c>
      <c r="C654" s="1" t="n">
        <v>45925</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13843-2024</t>
        </is>
      </c>
      <c r="B655" s="1" t="n">
        <v>45391.45087962963</v>
      </c>
      <c r="C655" s="1" t="n">
        <v>45925</v>
      </c>
      <c r="D655" t="inlineStr">
        <is>
          <t>KALMAR LÄN</t>
        </is>
      </c>
      <c r="E655" t="inlineStr">
        <is>
          <t>VÄSTERVIK</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57804-2021</t>
        </is>
      </c>
      <c r="B656" s="1" t="n">
        <v>44484</v>
      </c>
      <c r="C656" s="1" t="n">
        <v>45925</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59675-2022</t>
        </is>
      </c>
      <c r="B657" s="1" t="n">
        <v>44908</v>
      </c>
      <c r="C657" s="1" t="n">
        <v>45925</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44981-2025</t>
        </is>
      </c>
      <c r="B658" s="1" t="n">
        <v>45918.64869212963</v>
      </c>
      <c r="C658" s="1" t="n">
        <v>45925</v>
      </c>
      <c r="D658" t="inlineStr">
        <is>
          <t>KALMAR LÄN</t>
        </is>
      </c>
      <c r="E658" t="inlineStr">
        <is>
          <t>VÄSTERVIK</t>
        </is>
      </c>
      <c r="G658" t="n">
        <v>0.4</v>
      </c>
      <c r="H658" t="n">
        <v>0</v>
      </c>
      <c r="I658" t="n">
        <v>0</v>
      </c>
      <c r="J658" t="n">
        <v>0</v>
      </c>
      <c r="K658" t="n">
        <v>0</v>
      </c>
      <c r="L658" t="n">
        <v>0</v>
      </c>
      <c r="M658" t="n">
        <v>0</v>
      </c>
      <c r="N658" t="n">
        <v>0</v>
      </c>
      <c r="O658" t="n">
        <v>0</v>
      </c>
      <c r="P658" t="n">
        <v>0</v>
      </c>
      <c r="Q658" t="n">
        <v>0</v>
      </c>
      <c r="R658" s="2" t="inlineStr"/>
    </row>
    <row r="659" ht="15" customHeight="1">
      <c r="A659" t="inlineStr">
        <is>
          <t>A 44848-2025</t>
        </is>
      </c>
      <c r="B659" s="1" t="n">
        <v>45918.44344907408</v>
      </c>
      <c r="C659" s="1" t="n">
        <v>45925</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44861-2025</t>
        </is>
      </c>
      <c r="B660" s="1" t="n">
        <v>45918.45793981481</v>
      </c>
      <c r="C660" s="1" t="n">
        <v>45925</v>
      </c>
      <c r="D660" t="inlineStr">
        <is>
          <t>KALMAR LÄN</t>
        </is>
      </c>
      <c r="E660" t="inlineStr">
        <is>
          <t>VÄSTERVIK</t>
        </is>
      </c>
      <c r="G660" t="n">
        <v>1.3</v>
      </c>
      <c r="H660" t="n">
        <v>0</v>
      </c>
      <c r="I660" t="n">
        <v>0</v>
      </c>
      <c r="J660" t="n">
        <v>0</v>
      </c>
      <c r="K660" t="n">
        <v>0</v>
      </c>
      <c r="L660" t="n">
        <v>0</v>
      </c>
      <c r="M660" t="n">
        <v>0</v>
      </c>
      <c r="N660" t="n">
        <v>0</v>
      </c>
      <c r="O660" t="n">
        <v>0</v>
      </c>
      <c r="P660" t="n">
        <v>0</v>
      </c>
      <c r="Q660" t="n">
        <v>0</v>
      </c>
      <c r="R660" s="2" t="inlineStr"/>
      <c r="U660">
        <f>HYPERLINK("https://klasma.github.io/Logging_0883/knärot/A 44861-2025 karta knärot.png", "A 44861-2025")</f>
        <v/>
      </c>
      <c r="V660">
        <f>HYPERLINK("https://klasma.github.io/Logging_0883/klagomål/A 44861-2025 FSC-klagomål.docx", "A 44861-2025")</f>
        <v/>
      </c>
      <c r="W660">
        <f>HYPERLINK("https://klasma.github.io/Logging_0883/klagomålsmail/A 44861-2025 FSC-klagomål mail.docx", "A 44861-2025")</f>
        <v/>
      </c>
      <c r="X660">
        <f>HYPERLINK("https://klasma.github.io/Logging_0883/tillsyn/A 44861-2025 tillsynsbegäran.docx", "A 44861-2025")</f>
        <v/>
      </c>
      <c r="Y660">
        <f>HYPERLINK("https://klasma.github.io/Logging_0883/tillsynsmail/A 44861-2025 tillsynsbegäran mail.docx", "A 44861-2025")</f>
        <v/>
      </c>
    </row>
    <row r="661" ht="15" customHeight="1">
      <c r="A661" t="inlineStr">
        <is>
          <t>A 1867-2025</t>
        </is>
      </c>
      <c r="B661" s="1" t="n">
        <v>45671.61569444444</v>
      </c>
      <c r="C661" s="1" t="n">
        <v>45925</v>
      </c>
      <c r="D661" t="inlineStr">
        <is>
          <t>KALMAR LÄN</t>
        </is>
      </c>
      <c r="E661" t="inlineStr">
        <is>
          <t>VÄSTERVIK</t>
        </is>
      </c>
      <c r="G661" t="n">
        <v>1.8</v>
      </c>
      <c r="H661" t="n">
        <v>0</v>
      </c>
      <c r="I661" t="n">
        <v>0</v>
      </c>
      <c r="J661" t="n">
        <v>0</v>
      </c>
      <c r="K661" t="n">
        <v>0</v>
      </c>
      <c r="L661" t="n">
        <v>0</v>
      </c>
      <c r="M661" t="n">
        <v>0</v>
      </c>
      <c r="N661" t="n">
        <v>0</v>
      </c>
      <c r="O661" t="n">
        <v>0</v>
      </c>
      <c r="P661" t="n">
        <v>0</v>
      </c>
      <c r="Q661" t="n">
        <v>0</v>
      </c>
      <c r="R661" s="2" t="inlineStr"/>
    </row>
    <row r="662" ht="15" customHeight="1">
      <c r="A662" t="inlineStr">
        <is>
          <t>A 7381-2025</t>
        </is>
      </c>
      <c r="B662" s="1" t="n">
        <v>45705.32234953704</v>
      </c>
      <c r="C662" s="1" t="n">
        <v>45925</v>
      </c>
      <c r="D662" t="inlineStr">
        <is>
          <t>KALMAR LÄN</t>
        </is>
      </c>
      <c r="E662" t="inlineStr">
        <is>
          <t>VÄSTERVIK</t>
        </is>
      </c>
      <c r="F662" t="inlineStr">
        <is>
          <t>Kyrkan</t>
        </is>
      </c>
      <c r="G662" t="n">
        <v>4.1</v>
      </c>
      <c r="H662" t="n">
        <v>0</v>
      </c>
      <c r="I662" t="n">
        <v>0</v>
      </c>
      <c r="J662" t="n">
        <v>0</v>
      </c>
      <c r="K662" t="n">
        <v>0</v>
      </c>
      <c r="L662" t="n">
        <v>0</v>
      </c>
      <c r="M662" t="n">
        <v>0</v>
      </c>
      <c r="N662" t="n">
        <v>0</v>
      </c>
      <c r="O662" t="n">
        <v>0</v>
      </c>
      <c r="P662" t="n">
        <v>0</v>
      </c>
      <c r="Q662" t="n">
        <v>0</v>
      </c>
      <c r="R662" s="2" t="inlineStr"/>
    </row>
    <row r="663" ht="15" customHeight="1">
      <c r="A663" t="inlineStr">
        <is>
          <t>A 17315-2023</t>
        </is>
      </c>
      <c r="B663" s="1" t="n">
        <v>45035.54475694444</v>
      </c>
      <c r="C663" s="1" t="n">
        <v>45925</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55050-2024</t>
        </is>
      </c>
      <c r="B664" s="1" t="n">
        <v>45621.39759259259</v>
      </c>
      <c r="C664" s="1" t="n">
        <v>45925</v>
      </c>
      <c r="D664" t="inlineStr">
        <is>
          <t>KALMAR LÄN</t>
        </is>
      </c>
      <c r="E664" t="inlineStr">
        <is>
          <t>VÄSTERVIK</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21942-2023</t>
        </is>
      </c>
      <c r="B665" s="1" t="n">
        <v>45068</v>
      </c>
      <c r="C665" s="1" t="n">
        <v>45925</v>
      </c>
      <c r="D665" t="inlineStr">
        <is>
          <t>KALMAR LÄN</t>
        </is>
      </c>
      <c r="E665" t="inlineStr">
        <is>
          <t>VÄSTERVIK</t>
        </is>
      </c>
      <c r="G665" t="n">
        <v>1.3</v>
      </c>
      <c r="H665" t="n">
        <v>0</v>
      </c>
      <c r="I665" t="n">
        <v>0</v>
      </c>
      <c r="J665" t="n">
        <v>0</v>
      </c>
      <c r="K665" t="n">
        <v>0</v>
      </c>
      <c r="L665" t="n">
        <v>0</v>
      </c>
      <c r="M665" t="n">
        <v>0</v>
      </c>
      <c r="N665" t="n">
        <v>0</v>
      </c>
      <c r="O665" t="n">
        <v>0</v>
      </c>
      <c r="P665" t="n">
        <v>0</v>
      </c>
      <c r="Q665" t="n">
        <v>0</v>
      </c>
      <c r="R665" s="2" t="inlineStr"/>
    </row>
    <row r="666" ht="15" customHeight="1">
      <c r="A666" t="inlineStr">
        <is>
          <t>A 44792-2025</t>
        </is>
      </c>
      <c r="B666" s="1" t="n">
        <v>45918.31287037037</v>
      </c>
      <c r="C666" s="1" t="n">
        <v>45925</v>
      </c>
      <c r="D666" t="inlineStr">
        <is>
          <t>KALMAR LÄN</t>
        </is>
      </c>
      <c r="E666" t="inlineStr">
        <is>
          <t>VÄSTERVIK</t>
        </is>
      </c>
      <c r="G666" t="n">
        <v>3.9</v>
      </c>
      <c r="H666" t="n">
        <v>0</v>
      </c>
      <c r="I666" t="n">
        <v>0</v>
      </c>
      <c r="J666" t="n">
        <v>0</v>
      </c>
      <c r="K666" t="n">
        <v>0</v>
      </c>
      <c r="L666" t="n">
        <v>0</v>
      </c>
      <c r="M666" t="n">
        <v>0</v>
      </c>
      <c r="N666" t="n">
        <v>0</v>
      </c>
      <c r="O666" t="n">
        <v>0</v>
      </c>
      <c r="P666" t="n">
        <v>0</v>
      </c>
      <c r="Q666" t="n">
        <v>0</v>
      </c>
      <c r="R666" s="2" t="inlineStr"/>
    </row>
    <row r="667" ht="15" customHeight="1">
      <c r="A667" t="inlineStr">
        <is>
          <t>A 14529-2022</t>
        </is>
      </c>
      <c r="B667" s="1" t="n">
        <v>44655</v>
      </c>
      <c r="C667" s="1" t="n">
        <v>45925</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35108-2024</t>
        </is>
      </c>
      <c r="B668" s="1" t="n">
        <v>45529.64638888889</v>
      </c>
      <c r="C668" s="1" t="n">
        <v>45925</v>
      </c>
      <c r="D668" t="inlineStr">
        <is>
          <t>KALMAR LÄN</t>
        </is>
      </c>
      <c r="E668" t="inlineStr">
        <is>
          <t>VÄSTERVIK</t>
        </is>
      </c>
      <c r="G668" t="n">
        <v>10.5</v>
      </c>
      <c r="H668" t="n">
        <v>0</v>
      </c>
      <c r="I668" t="n">
        <v>0</v>
      </c>
      <c r="J668" t="n">
        <v>0</v>
      </c>
      <c r="K668" t="n">
        <v>0</v>
      </c>
      <c r="L668" t="n">
        <v>0</v>
      </c>
      <c r="M668" t="n">
        <v>0</v>
      </c>
      <c r="N668" t="n">
        <v>0</v>
      </c>
      <c r="O668" t="n">
        <v>0</v>
      </c>
      <c r="P668" t="n">
        <v>0</v>
      </c>
      <c r="Q668" t="n">
        <v>0</v>
      </c>
      <c r="R668" s="2" t="inlineStr"/>
    </row>
    <row r="669" ht="15" customHeight="1">
      <c r="A669" t="inlineStr">
        <is>
          <t>A 2314-2023</t>
        </is>
      </c>
      <c r="B669" s="1" t="n">
        <v>44942</v>
      </c>
      <c r="C669" s="1" t="n">
        <v>45925</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47527-2021</t>
        </is>
      </c>
      <c r="B670" s="1" t="n">
        <v>44447</v>
      </c>
      <c r="C670" s="1" t="n">
        <v>45925</v>
      </c>
      <c r="D670" t="inlineStr">
        <is>
          <t>KALMAR LÄN</t>
        </is>
      </c>
      <c r="E670" t="inlineStr">
        <is>
          <t>VÄSTERVIK</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34672-2022</t>
        </is>
      </c>
      <c r="B671" s="1" t="n">
        <v>44795.48444444445</v>
      </c>
      <c r="C671" s="1" t="n">
        <v>45925</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44849-2025</t>
        </is>
      </c>
      <c r="B672" s="1" t="n">
        <v>45918.44545138889</v>
      </c>
      <c r="C672" s="1" t="n">
        <v>45925</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44853-2025</t>
        </is>
      </c>
      <c r="B673" s="1" t="n">
        <v>45918.44818287037</v>
      </c>
      <c r="C673" s="1" t="n">
        <v>45925</v>
      </c>
      <c r="D673" t="inlineStr">
        <is>
          <t>KALMAR LÄN</t>
        </is>
      </c>
      <c r="E673" t="inlineStr">
        <is>
          <t>VÄSTERVIK</t>
        </is>
      </c>
      <c r="G673" t="n">
        <v>1.3</v>
      </c>
      <c r="H673" t="n">
        <v>0</v>
      </c>
      <c r="I673" t="n">
        <v>0</v>
      </c>
      <c r="J673" t="n">
        <v>0</v>
      </c>
      <c r="K673" t="n">
        <v>0</v>
      </c>
      <c r="L673" t="n">
        <v>0</v>
      </c>
      <c r="M673" t="n">
        <v>0</v>
      </c>
      <c r="N673" t="n">
        <v>0</v>
      </c>
      <c r="O673" t="n">
        <v>0</v>
      </c>
      <c r="P673" t="n">
        <v>0</v>
      </c>
      <c r="Q673" t="n">
        <v>0</v>
      </c>
      <c r="R673" s="2" t="inlineStr"/>
    </row>
    <row r="674" ht="15" customHeight="1">
      <c r="A674" t="inlineStr">
        <is>
          <t>A 2866-2025</t>
        </is>
      </c>
      <c r="B674" s="1" t="n">
        <v>45677.67711805556</v>
      </c>
      <c r="C674" s="1" t="n">
        <v>45925</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35456-2024</t>
        </is>
      </c>
      <c r="B675" s="1" t="n">
        <v>45531</v>
      </c>
      <c r="C675" s="1" t="n">
        <v>45925</v>
      </c>
      <c r="D675" t="inlineStr">
        <is>
          <t>KALMAR LÄN</t>
        </is>
      </c>
      <c r="E675" t="inlineStr">
        <is>
          <t>VÄSTERVIK</t>
        </is>
      </c>
      <c r="G675" t="n">
        <v>5.8</v>
      </c>
      <c r="H675" t="n">
        <v>0</v>
      </c>
      <c r="I675" t="n">
        <v>0</v>
      </c>
      <c r="J675" t="n">
        <v>0</v>
      </c>
      <c r="K675" t="n">
        <v>0</v>
      </c>
      <c r="L675" t="n">
        <v>0</v>
      </c>
      <c r="M675" t="n">
        <v>0</v>
      </c>
      <c r="N675" t="n">
        <v>0</v>
      </c>
      <c r="O675" t="n">
        <v>0</v>
      </c>
      <c r="P675" t="n">
        <v>0</v>
      </c>
      <c r="Q675" t="n">
        <v>0</v>
      </c>
      <c r="R675" s="2" t="inlineStr"/>
    </row>
    <row r="676" ht="15" customHeight="1">
      <c r="A676" t="inlineStr">
        <is>
          <t>A 38040-2023</t>
        </is>
      </c>
      <c r="B676" s="1" t="n">
        <v>45160.66336805555</v>
      </c>
      <c r="C676" s="1" t="n">
        <v>45925</v>
      </c>
      <c r="D676" t="inlineStr">
        <is>
          <t>KALMAR LÄN</t>
        </is>
      </c>
      <c r="E676" t="inlineStr">
        <is>
          <t>VÄSTERVIK</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55609-2024</t>
        </is>
      </c>
      <c r="B677" s="1" t="n">
        <v>45622.58350694444</v>
      </c>
      <c r="C677" s="1" t="n">
        <v>45925</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33208-2022</t>
        </is>
      </c>
      <c r="B678" s="1" t="n">
        <v>44785</v>
      </c>
      <c r="C678" s="1" t="n">
        <v>45925</v>
      </c>
      <c r="D678" t="inlineStr">
        <is>
          <t>KALMAR LÄN</t>
        </is>
      </c>
      <c r="E678" t="inlineStr">
        <is>
          <t>VÄSTERVIK</t>
        </is>
      </c>
      <c r="G678" t="n">
        <v>2.6</v>
      </c>
      <c r="H678" t="n">
        <v>0</v>
      </c>
      <c r="I678" t="n">
        <v>0</v>
      </c>
      <c r="J678" t="n">
        <v>0</v>
      </c>
      <c r="K678" t="n">
        <v>0</v>
      </c>
      <c r="L678" t="n">
        <v>0</v>
      </c>
      <c r="M678" t="n">
        <v>0</v>
      </c>
      <c r="N678" t="n">
        <v>0</v>
      </c>
      <c r="O678" t="n">
        <v>0</v>
      </c>
      <c r="P678" t="n">
        <v>0</v>
      </c>
      <c r="Q678" t="n">
        <v>0</v>
      </c>
      <c r="R678" s="2" t="inlineStr"/>
    </row>
    <row r="679" ht="15" customHeight="1">
      <c r="A679" t="inlineStr">
        <is>
          <t>A 42130-2022</t>
        </is>
      </c>
      <c r="B679" s="1" t="n">
        <v>44830</v>
      </c>
      <c r="C679" s="1" t="n">
        <v>45925</v>
      </c>
      <c r="D679" t="inlineStr">
        <is>
          <t>KALMAR LÄN</t>
        </is>
      </c>
      <c r="E679" t="inlineStr">
        <is>
          <t>VÄSTERVIK</t>
        </is>
      </c>
      <c r="G679" t="n">
        <v>1.8</v>
      </c>
      <c r="H679" t="n">
        <v>0</v>
      </c>
      <c r="I679" t="n">
        <v>0</v>
      </c>
      <c r="J679" t="n">
        <v>0</v>
      </c>
      <c r="K679" t="n">
        <v>0</v>
      </c>
      <c r="L679" t="n">
        <v>0</v>
      </c>
      <c r="M679" t="n">
        <v>0</v>
      </c>
      <c r="N679" t="n">
        <v>0</v>
      </c>
      <c r="O679" t="n">
        <v>0</v>
      </c>
      <c r="P679" t="n">
        <v>0</v>
      </c>
      <c r="Q679" t="n">
        <v>0</v>
      </c>
      <c r="R679" s="2" t="inlineStr"/>
    </row>
    <row r="680" ht="15" customHeight="1">
      <c r="A680" t="inlineStr">
        <is>
          <t>A 31691-2023</t>
        </is>
      </c>
      <c r="B680" s="1" t="n">
        <v>45117.72543981481</v>
      </c>
      <c r="C680" s="1" t="n">
        <v>45925</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52035-2023</t>
        </is>
      </c>
      <c r="B681" s="1" t="n">
        <v>45216</v>
      </c>
      <c r="C681" s="1" t="n">
        <v>45925</v>
      </c>
      <c r="D681" t="inlineStr">
        <is>
          <t>KALMAR LÄN</t>
        </is>
      </c>
      <c r="E681" t="inlineStr">
        <is>
          <t>VÄSTERVIK</t>
        </is>
      </c>
      <c r="G681" t="n">
        <v>3.4</v>
      </c>
      <c r="H681" t="n">
        <v>0</v>
      </c>
      <c r="I681" t="n">
        <v>0</v>
      </c>
      <c r="J681" t="n">
        <v>0</v>
      </c>
      <c r="K681" t="n">
        <v>0</v>
      </c>
      <c r="L681" t="n">
        <v>0</v>
      </c>
      <c r="M681" t="n">
        <v>0</v>
      </c>
      <c r="N681" t="n">
        <v>0</v>
      </c>
      <c r="O681" t="n">
        <v>0</v>
      </c>
      <c r="P681" t="n">
        <v>0</v>
      </c>
      <c r="Q681" t="n">
        <v>0</v>
      </c>
      <c r="R681" s="2" t="inlineStr"/>
    </row>
    <row r="682" ht="15" customHeight="1">
      <c r="A682" t="inlineStr">
        <is>
          <t>A 12652-2022</t>
        </is>
      </c>
      <c r="B682" s="1" t="n">
        <v>44641</v>
      </c>
      <c r="C682" s="1" t="n">
        <v>45925</v>
      </c>
      <c r="D682" t="inlineStr">
        <is>
          <t>KALMAR LÄN</t>
        </is>
      </c>
      <c r="E682" t="inlineStr">
        <is>
          <t>VÄSTERVIK</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9249-2024</t>
        </is>
      </c>
      <c r="B683" s="1" t="n">
        <v>45358.59056712963</v>
      </c>
      <c r="C683" s="1" t="n">
        <v>45925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2951-2025</t>
        </is>
      </c>
      <c r="B684" s="1" t="n">
        <v>45678</v>
      </c>
      <c r="C684" s="1" t="n">
        <v>45925</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12435-2024</t>
        </is>
      </c>
      <c r="B685" s="1" t="n">
        <v>45379.4459375</v>
      </c>
      <c r="C685" s="1" t="n">
        <v>45925</v>
      </c>
      <c r="D685" t="inlineStr">
        <is>
          <t>KALMAR LÄN</t>
        </is>
      </c>
      <c r="E685" t="inlineStr">
        <is>
          <t>VÄSTERVIK</t>
        </is>
      </c>
      <c r="G685" t="n">
        <v>0.4</v>
      </c>
      <c r="H685" t="n">
        <v>0</v>
      </c>
      <c r="I685" t="n">
        <v>0</v>
      </c>
      <c r="J685" t="n">
        <v>0</v>
      </c>
      <c r="K685" t="n">
        <v>0</v>
      </c>
      <c r="L685" t="n">
        <v>0</v>
      </c>
      <c r="M685" t="n">
        <v>0</v>
      </c>
      <c r="N685" t="n">
        <v>0</v>
      </c>
      <c r="O685" t="n">
        <v>0</v>
      </c>
      <c r="P685" t="n">
        <v>0</v>
      </c>
      <c r="Q685" t="n">
        <v>0</v>
      </c>
      <c r="R685" s="2" t="inlineStr"/>
    </row>
    <row r="686" ht="15" customHeight="1">
      <c r="A686" t="inlineStr">
        <is>
          <t>A 12455-2025</t>
        </is>
      </c>
      <c r="B686" s="1" t="n">
        <v>45730</v>
      </c>
      <c r="C686" s="1" t="n">
        <v>45925</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17307-2023</t>
        </is>
      </c>
      <c r="B687" s="1" t="n">
        <v>45035.53497685185</v>
      </c>
      <c r="C687" s="1" t="n">
        <v>45925</v>
      </c>
      <c r="D687" t="inlineStr">
        <is>
          <t>KALMAR LÄN</t>
        </is>
      </c>
      <c r="E687" t="inlineStr">
        <is>
          <t>VÄSTERVIK</t>
        </is>
      </c>
      <c r="G687" t="n">
        <v>0</v>
      </c>
      <c r="H687" t="n">
        <v>0</v>
      </c>
      <c r="I687" t="n">
        <v>0</v>
      </c>
      <c r="J687" t="n">
        <v>0</v>
      </c>
      <c r="K687" t="n">
        <v>0</v>
      </c>
      <c r="L687" t="n">
        <v>0</v>
      </c>
      <c r="M687" t="n">
        <v>0</v>
      </c>
      <c r="N687" t="n">
        <v>0</v>
      </c>
      <c r="O687" t="n">
        <v>0</v>
      </c>
      <c r="P687" t="n">
        <v>0</v>
      </c>
      <c r="Q687" t="n">
        <v>0</v>
      </c>
      <c r="R687" s="2" t="inlineStr"/>
    </row>
    <row r="688" ht="15" customHeight="1">
      <c r="A688" t="inlineStr">
        <is>
          <t>A 3828-2024</t>
        </is>
      </c>
      <c r="B688" s="1" t="n">
        <v>45321</v>
      </c>
      <c r="C688" s="1" t="n">
        <v>45925</v>
      </c>
      <c r="D688" t="inlineStr">
        <is>
          <t>KALMAR LÄN</t>
        </is>
      </c>
      <c r="E688" t="inlineStr">
        <is>
          <t>VÄSTERVIK</t>
        </is>
      </c>
      <c r="F688" t="inlineStr">
        <is>
          <t>Holmen skog AB</t>
        </is>
      </c>
      <c r="G688" t="n">
        <v>1.9</v>
      </c>
      <c r="H688" t="n">
        <v>0</v>
      </c>
      <c r="I688" t="n">
        <v>0</v>
      </c>
      <c r="J688" t="n">
        <v>0</v>
      </c>
      <c r="K688" t="n">
        <v>0</v>
      </c>
      <c r="L688" t="n">
        <v>0</v>
      </c>
      <c r="M688" t="n">
        <v>0</v>
      </c>
      <c r="N688" t="n">
        <v>0</v>
      </c>
      <c r="O688" t="n">
        <v>0</v>
      </c>
      <c r="P688" t="n">
        <v>0</v>
      </c>
      <c r="Q688" t="n">
        <v>0</v>
      </c>
      <c r="R688" s="2" t="inlineStr"/>
    </row>
    <row r="689" ht="15" customHeight="1">
      <c r="A689" t="inlineStr">
        <is>
          <t>A 10778-2025</t>
        </is>
      </c>
      <c r="B689" s="1" t="n">
        <v>45722</v>
      </c>
      <c r="C689" s="1" t="n">
        <v>45925</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23992-2021</t>
        </is>
      </c>
      <c r="B690" s="1" t="n">
        <v>44335</v>
      </c>
      <c r="C690" s="1" t="n">
        <v>45925</v>
      </c>
      <c r="D690" t="inlineStr">
        <is>
          <t>KALMAR LÄN</t>
        </is>
      </c>
      <c r="E690" t="inlineStr">
        <is>
          <t>VÄSTERVIK</t>
        </is>
      </c>
      <c r="G690" t="n">
        <v>3.1</v>
      </c>
      <c r="H690" t="n">
        <v>0</v>
      </c>
      <c r="I690" t="n">
        <v>0</v>
      </c>
      <c r="J690" t="n">
        <v>0</v>
      </c>
      <c r="K690" t="n">
        <v>0</v>
      </c>
      <c r="L690" t="n">
        <v>0</v>
      </c>
      <c r="M690" t="n">
        <v>0</v>
      </c>
      <c r="N690" t="n">
        <v>0</v>
      </c>
      <c r="O690" t="n">
        <v>0</v>
      </c>
      <c r="P690" t="n">
        <v>0</v>
      </c>
      <c r="Q690" t="n">
        <v>0</v>
      </c>
      <c r="R690" s="2" t="inlineStr"/>
    </row>
    <row r="691" ht="15" customHeight="1">
      <c r="A691" t="inlineStr">
        <is>
          <t>A 59331-2023</t>
        </is>
      </c>
      <c r="B691" s="1" t="n">
        <v>45253</v>
      </c>
      <c r="C691" s="1" t="n">
        <v>45925</v>
      </c>
      <c r="D691" t="inlineStr">
        <is>
          <t>KALMAR LÄN</t>
        </is>
      </c>
      <c r="E691" t="inlineStr">
        <is>
          <t>VÄSTERVIK</t>
        </is>
      </c>
      <c r="G691" t="n">
        <v>3.9</v>
      </c>
      <c r="H691" t="n">
        <v>0</v>
      </c>
      <c r="I691" t="n">
        <v>0</v>
      </c>
      <c r="J691" t="n">
        <v>0</v>
      </c>
      <c r="K691" t="n">
        <v>0</v>
      </c>
      <c r="L691" t="n">
        <v>0</v>
      </c>
      <c r="M691" t="n">
        <v>0</v>
      </c>
      <c r="N691" t="n">
        <v>0</v>
      </c>
      <c r="O691" t="n">
        <v>0</v>
      </c>
      <c r="P691" t="n">
        <v>0</v>
      </c>
      <c r="Q691" t="n">
        <v>0</v>
      </c>
      <c r="R691" s="2" t="inlineStr"/>
    </row>
    <row r="692" ht="15" customHeight="1">
      <c r="A692" t="inlineStr">
        <is>
          <t>A 47267-2023</t>
        </is>
      </c>
      <c r="B692" s="1" t="n">
        <v>45202.42667824074</v>
      </c>
      <c r="C692" s="1" t="n">
        <v>45925</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64741-2020</t>
        </is>
      </c>
      <c r="B693" s="1" t="n">
        <v>44169</v>
      </c>
      <c r="C693" s="1" t="n">
        <v>45925</v>
      </c>
      <c r="D693" t="inlineStr">
        <is>
          <t>KALMAR LÄN</t>
        </is>
      </c>
      <c r="E693" t="inlineStr">
        <is>
          <t>VÄSTERVIK</t>
        </is>
      </c>
      <c r="G693" t="n">
        <v>1.9</v>
      </c>
      <c r="H693" t="n">
        <v>0</v>
      </c>
      <c r="I693" t="n">
        <v>0</v>
      </c>
      <c r="J693" t="n">
        <v>0</v>
      </c>
      <c r="K693" t="n">
        <v>0</v>
      </c>
      <c r="L693" t="n">
        <v>0</v>
      </c>
      <c r="M693" t="n">
        <v>0</v>
      </c>
      <c r="N693" t="n">
        <v>0</v>
      </c>
      <c r="O693" t="n">
        <v>0</v>
      </c>
      <c r="P693" t="n">
        <v>0</v>
      </c>
      <c r="Q693" t="n">
        <v>0</v>
      </c>
      <c r="R693" s="2" t="inlineStr"/>
    </row>
    <row r="694" ht="15" customHeight="1">
      <c r="A694" t="inlineStr">
        <is>
          <t>A 39193-2024</t>
        </is>
      </c>
      <c r="B694" s="1" t="n">
        <v>45548.68</v>
      </c>
      <c r="C694" s="1" t="n">
        <v>45925</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37774-2025</t>
        </is>
      </c>
      <c r="B695" s="1" t="n">
        <v>45880</v>
      </c>
      <c r="C695" s="1" t="n">
        <v>45925</v>
      </c>
      <c r="D695" t="inlineStr">
        <is>
          <t>KALMAR LÄN</t>
        </is>
      </c>
      <c r="E695" t="inlineStr">
        <is>
          <t>VÄSTERVIK</t>
        </is>
      </c>
      <c r="G695" t="n">
        <v>1.3</v>
      </c>
      <c r="H695" t="n">
        <v>0</v>
      </c>
      <c r="I695" t="n">
        <v>0</v>
      </c>
      <c r="J695" t="n">
        <v>0</v>
      </c>
      <c r="K695" t="n">
        <v>0</v>
      </c>
      <c r="L695" t="n">
        <v>0</v>
      </c>
      <c r="M695" t="n">
        <v>0</v>
      </c>
      <c r="N695" t="n">
        <v>0</v>
      </c>
      <c r="O695" t="n">
        <v>0</v>
      </c>
      <c r="P695" t="n">
        <v>0</v>
      </c>
      <c r="Q695" t="n">
        <v>0</v>
      </c>
      <c r="R695" s="2" t="inlineStr"/>
    </row>
    <row r="696" ht="15" customHeight="1">
      <c r="A696" t="inlineStr">
        <is>
          <t>A 35667-2023</t>
        </is>
      </c>
      <c r="B696" s="1" t="n">
        <v>45147.60667824074</v>
      </c>
      <c r="C696" s="1" t="n">
        <v>45925</v>
      </c>
      <c r="D696" t="inlineStr">
        <is>
          <t>KALMAR LÄN</t>
        </is>
      </c>
      <c r="E696" t="inlineStr">
        <is>
          <t>VÄSTERVIK</t>
        </is>
      </c>
      <c r="G696" t="n">
        <v>1.8</v>
      </c>
      <c r="H696" t="n">
        <v>0</v>
      </c>
      <c r="I696" t="n">
        <v>0</v>
      </c>
      <c r="J696" t="n">
        <v>0</v>
      </c>
      <c r="K696" t="n">
        <v>0</v>
      </c>
      <c r="L696" t="n">
        <v>0</v>
      </c>
      <c r="M696" t="n">
        <v>0</v>
      </c>
      <c r="N696" t="n">
        <v>0</v>
      </c>
      <c r="O696" t="n">
        <v>0</v>
      </c>
      <c r="P696" t="n">
        <v>0</v>
      </c>
      <c r="Q696" t="n">
        <v>0</v>
      </c>
      <c r="R696" s="2" t="inlineStr"/>
    </row>
    <row r="697" ht="15" customHeight="1">
      <c r="A697" t="inlineStr">
        <is>
          <t>A 29404-2024</t>
        </is>
      </c>
      <c r="B697" s="1" t="n">
        <v>45483</v>
      </c>
      <c r="C697" s="1" t="n">
        <v>45925</v>
      </c>
      <c r="D697" t="inlineStr">
        <is>
          <t>KALMAR LÄN</t>
        </is>
      </c>
      <c r="E697" t="inlineStr">
        <is>
          <t>VÄSTERVIK</t>
        </is>
      </c>
      <c r="G697" t="n">
        <v>2.2</v>
      </c>
      <c r="H697" t="n">
        <v>0</v>
      </c>
      <c r="I697" t="n">
        <v>0</v>
      </c>
      <c r="J697" t="n">
        <v>0</v>
      </c>
      <c r="K697" t="n">
        <v>0</v>
      </c>
      <c r="L697" t="n">
        <v>0</v>
      </c>
      <c r="M697" t="n">
        <v>0</v>
      </c>
      <c r="N697" t="n">
        <v>0</v>
      </c>
      <c r="O697" t="n">
        <v>0</v>
      </c>
      <c r="P697" t="n">
        <v>0</v>
      </c>
      <c r="Q697" t="n">
        <v>0</v>
      </c>
      <c r="R697" s="2" t="inlineStr"/>
    </row>
    <row r="698" ht="15" customHeight="1">
      <c r="A698" t="inlineStr">
        <is>
          <t>A 15875-2023</t>
        </is>
      </c>
      <c r="B698" s="1" t="n">
        <v>45022.41916666667</v>
      </c>
      <c r="C698" s="1" t="n">
        <v>45925</v>
      </c>
      <c r="D698" t="inlineStr">
        <is>
          <t>KALMAR LÄN</t>
        </is>
      </c>
      <c r="E698" t="inlineStr">
        <is>
          <t>VÄSTERVIK</t>
        </is>
      </c>
      <c r="F698" t="inlineStr">
        <is>
          <t>Kyrkan</t>
        </is>
      </c>
      <c r="G698" t="n">
        <v>3.2</v>
      </c>
      <c r="H698" t="n">
        <v>0</v>
      </c>
      <c r="I698" t="n">
        <v>0</v>
      </c>
      <c r="J698" t="n">
        <v>0</v>
      </c>
      <c r="K698" t="n">
        <v>0</v>
      </c>
      <c r="L698" t="n">
        <v>0</v>
      </c>
      <c r="M698" t="n">
        <v>0</v>
      </c>
      <c r="N698" t="n">
        <v>0</v>
      </c>
      <c r="O698" t="n">
        <v>0</v>
      </c>
      <c r="P698" t="n">
        <v>0</v>
      </c>
      <c r="Q698" t="n">
        <v>0</v>
      </c>
      <c r="R698" s="2" t="inlineStr"/>
    </row>
    <row r="699" ht="15" customHeight="1">
      <c r="A699" t="inlineStr">
        <is>
          <t>A 60478-2024</t>
        </is>
      </c>
      <c r="B699" s="1" t="n">
        <v>45643</v>
      </c>
      <c r="C699" s="1" t="n">
        <v>45925</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14385-2023</t>
        </is>
      </c>
      <c r="B700" s="1" t="n">
        <v>45012</v>
      </c>
      <c r="C700" s="1" t="n">
        <v>45925</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4496-2022</t>
        </is>
      </c>
      <c r="B701" s="1" t="n">
        <v>44589.67060185185</v>
      </c>
      <c r="C701" s="1" t="n">
        <v>45925</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69098-2020</t>
        </is>
      </c>
      <c r="B702" s="1" t="n">
        <v>44187</v>
      </c>
      <c r="C702" s="1" t="n">
        <v>45925</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37523-2025</t>
        </is>
      </c>
      <c r="B703" s="1" t="n">
        <v>45877</v>
      </c>
      <c r="C703" s="1" t="n">
        <v>45925</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37526-2025</t>
        </is>
      </c>
      <c r="B704" s="1" t="n">
        <v>45877</v>
      </c>
      <c r="C704" s="1" t="n">
        <v>45925</v>
      </c>
      <c r="D704" t="inlineStr">
        <is>
          <t>KALMAR LÄN</t>
        </is>
      </c>
      <c r="E704" t="inlineStr">
        <is>
          <t>VÄSTERVIK</t>
        </is>
      </c>
      <c r="G704" t="n">
        <v>1.4</v>
      </c>
      <c r="H704" t="n">
        <v>0</v>
      </c>
      <c r="I704" t="n">
        <v>0</v>
      </c>
      <c r="J704" t="n">
        <v>0</v>
      </c>
      <c r="K704" t="n">
        <v>0</v>
      </c>
      <c r="L704" t="n">
        <v>0</v>
      </c>
      <c r="M704" t="n">
        <v>0</v>
      </c>
      <c r="N704" t="n">
        <v>0</v>
      </c>
      <c r="O704" t="n">
        <v>0</v>
      </c>
      <c r="P704" t="n">
        <v>0</v>
      </c>
      <c r="Q704" t="n">
        <v>0</v>
      </c>
      <c r="R704" s="2" t="inlineStr"/>
    </row>
    <row r="705" ht="15" customHeight="1">
      <c r="A705" t="inlineStr">
        <is>
          <t>A 48446-2024</t>
        </is>
      </c>
      <c r="B705" s="1" t="n">
        <v>45590.69163194444</v>
      </c>
      <c r="C705" s="1" t="n">
        <v>45925</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14080-2025</t>
        </is>
      </c>
      <c r="B706" s="1" t="n">
        <v>45740.43785879629</v>
      </c>
      <c r="C706" s="1" t="n">
        <v>45925</v>
      </c>
      <c r="D706" t="inlineStr">
        <is>
          <t>KALMAR LÄN</t>
        </is>
      </c>
      <c r="E706" t="inlineStr">
        <is>
          <t>VÄSTERVIK</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56046-2023</t>
        </is>
      </c>
      <c r="B707" s="1" t="n">
        <v>45240.45217592592</v>
      </c>
      <c r="C707" s="1" t="n">
        <v>45925</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23873-2024</t>
        </is>
      </c>
      <c r="B708" s="1" t="n">
        <v>45455</v>
      </c>
      <c r="C708" s="1" t="n">
        <v>45925</v>
      </c>
      <c r="D708" t="inlineStr">
        <is>
          <t>KALMAR LÄN</t>
        </is>
      </c>
      <c r="E708" t="inlineStr">
        <is>
          <t>VÄSTERVIK</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47124-2023</t>
        </is>
      </c>
      <c r="B709" s="1" t="n">
        <v>45201</v>
      </c>
      <c r="C709" s="1" t="n">
        <v>45925</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29784-2024</t>
        </is>
      </c>
      <c r="B710" s="1" t="n">
        <v>45485.46129629629</v>
      </c>
      <c r="C710" s="1" t="n">
        <v>45925</v>
      </c>
      <c r="D710" t="inlineStr">
        <is>
          <t>KALMAR LÄN</t>
        </is>
      </c>
      <c r="E710" t="inlineStr">
        <is>
          <t>VÄSTERVIK</t>
        </is>
      </c>
      <c r="G710" t="n">
        <v>1.8</v>
      </c>
      <c r="H710" t="n">
        <v>0</v>
      </c>
      <c r="I710" t="n">
        <v>0</v>
      </c>
      <c r="J710" t="n">
        <v>0</v>
      </c>
      <c r="K710" t="n">
        <v>0</v>
      </c>
      <c r="L710" t="n">
        <v>0</v>
      </c>
      <c r="M710" t="n">
        <v>0</v>
      </c>
      <c r="N710" t="n">
        <v>0</v>
      </c>
      <c r="O710" t="n">
        <v>0</v>
      </c>
      <c r="P710" t="n">
        <v>0</v>
      </c>
      <c r="Q710" t="n">
        <v>0</v>
      </c>
      <c r="R710" s="2" t="inlineStr"/>
    </row>
    <row r="711" ht="15" customHeight="1">
      <c r="A711" t="inlineStr">
        <is>
          <t>A 24562-2024</t>
        </is>
      </c>
      <c r="B711" s="1" t="n">
        <v>45460</v>
      </c>
      <c r="C711" s="1" t="n">
        <v>45925</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10807-2023</t>
        </is>
      </c>
      <c r="B712" s="1" t="n">
        <v>44989.64261574074</v>
      </c>
      <c r="C712" s="1" t="n">
        <v>45925</v>
      </c>
      <c r="D712" t="inlineStr">
        <is>
          <t>KALMAR LÄN</t>
        </is>
      </c>
      <c r="E712" t="inlineStr">
        <is>
          <t>VÄSTERVIK</t>
        </is>
      </c>
      <c r="G712" t="n">
        <v>0.4</v>
      </c>
      <c r="H712" t="n">
        <v>0</v>
      </c>
      <c r="I712" t="n">
        <v>0</v>
      </c>
      <c r="J712" t="n">
        <v>0</v>
      </c>
      <c r="K712" t="n">
        <v>0</v>
      </c>
      <c r="L712" t="n">
        <v>0</v>
      </c>
      <c r="M712" t="n">
        <v>0</v>
      </c>
      <c r="N712" t="n">
        <v>0</v>
      </c>
      <c r="O712" t="n">
        <v>0</v>
      </c>
      <c r="P712" t="n">
        <v>0</v>
      </c>
      <c r="Q712" t="n">
        <v>0</v>
      </c>
      <c r="R712" s="2" t="inlineStr"/>
    </row>
    <row r="713" ht="15" customHeight="1">
      <c r="A713" t="inlineStr">
        <is>
          <t>A 9110-2023</t>
        </is>
      </c>
      <c r="B713" s="1" t="n">
        <v>44979</v>
      </c>
      <c r="C713" s="1" t="n">
        <v>45925</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9112-2023</t>
        </is>
      </c>
      <c r="B714" s="1" t="n">
        <v>44979</v>
      </c>
      <c r="C714" s="1" t="n">
        <v>45925</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46161-2025</t>
        </is>
      </c>
      <c r="B715" s="1" t="n">
        <v>45924.63733796297</v>
      </c>
      <c r="C715" s="1" t="n">
        <v>45925</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22740-2024</t>
        </is>
      </c>
      <c r="B716" s="1" t="n">
        <v>45448.39869212963</v>
      </c>
      <c r="C716" s="1" t="n">
        <v>45925</v>
      </c>
      <c r="D716" t="inlineStr">
        <is>
          <t>KALMAR LÄN</t>
        </is>
      </c>
      <c r="E716" t="inlineStr">
        <is>
          <t>VÄSTERVIK</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32763-2022</t>
        </is>
      </c>
      <c r="B717" s="1" t="n">
        <v>44783</v>
      </c>
      <c r="C717" s="1" t="n">
        <v>45925</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24829-2022</t>
        </is>
      </c>
      <c r="B718" s="1" t="n">
        <v>44728.45674768519</v>
      </c>
      <c r="C718" s="1" t="n">
        <v>45925</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46790-2022</t>
        </is>
      </c>
      <c r="B719" s="1" t="n">
        <v>44851</v>
      </c>
      <c r="C719" s="1" t="n">
        <v>45925</v>
      </c>
      <c r="D719" t="inlineStr">
        <is>
          <t>KALMAR LÄN</t>
        </is>
      </c>
      <c r="E719" t="inlineStr">
        <is>
          <t>VÄSTERVIK</t>
        </is>
      </c>
      <c r="G719" t="n">
        <v>9.9</v>
      </c>
      <c r="H719" t="n">
        <v>0</v>
      </c>
      <c r="I719" t="n">
        <v>0</v>
      </c>
      <c r="J719" t="n">
        <v>0</v>
      </c>
      <c r="K719" t="n">
        <v>0</v>
      </c>
      <c r="L719" t="n">
        <v>0</v>
      </c>
      <c r="M719" t="n">
        <v>0</v>
      </c>
      <c r="N719" t="n">
        <v>0</v>
      </c>
      <c r="O719" t="n">
        <v>0</v>
      </c>
      <c r="P719" t="n">
        <v>0</v>
      </c>
      <c r="Q719" t="n">
        <v>0</v>
      </c>
      <c r="R719" s="2" t="inlineStr"/>
    </row>
    <row r="720" ht="15" customHeight="1">
      <c r="A720" t="inlineStr">
        <is>
          <t>A 50127-2023</t>
        </is>
      </c>
      <c r="B720" s="1" t="n">
        <v>45215.65043981482</v>
      </c>
      <c r="C720" s="1" t="n">
        <v>45925</v>
      </c>
      <c r="D720" t="inlineStr">
        <is>
          <t>KALMAR LÄN</t>
        </is>
      </c>
      <c r="E720" t="inlineStr">
        <is>
          <t>VÄSTERVIK</t>
        </is>
      </c>
      <c r="G720" t="n">
        <v>1.2</v>
      </c>
      <c r="H720" t="n">
        <v>0</v>
      </c>
      <c r="I720" t="n">
        <v>0</v>
      </c>
      <c r="J720" t="n">
        <v>0</v>
      </c>
      <c r="K720" t="n">
        <v>0</v>
      </c>
      <c r="L720" t="n">
        <v>0</v>
      </c>
      <c r="M720" t="n">
        <v>0</v>
      </c>
      <c r="N720" t="n">
        <v>0</v>
      </c>
      <c r="O720" t="n">
        <v>0</v>
      </c>
      <c r="P720" t="n">
        <v>0</v>
      </c>
      <c r="Q720" t="n">
        <v>0</v>
      </c>
      <c r="R720" s="2" t="inlineStr"/>
    </row>
    <row r="721" ht="15" customHeight="1">
      <c r="A721" t="inlineStr">
        <is>
          <t>A 15379-2025</t>
        </is>
      </c>
      <c r="B721" s="1" t="n">
        <v>45747.40813657407</v>
      </c>
      <c r="C721" s="1" t="n">
        <v>45925</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57802-2024</t>
        </is>
      </c>
      <c r="B722" s="1" t="n">
        <v>45631.34590277778</v>
      </c>
      <c r="C722" s="1" t="n">
        <v>45925</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46157-2025</t>
        </is>
      </c>
      <c r="B723" s="1" t="n">
        <v>45924.63246527778</v>
      </c>
      <c r="C723" s="1" t="n">
        <v>45925</v>
      </c>
      <c r="D723" t="inlineStr">
        <is>
          <t>KALMAR LÄN</t>
        </is>
      </c>
      <c r="E723" t="inlineStr">
        <is>
          <t>VÄSTERVIK</t>
        </is>
      </c>
      <c r="G723" t="n">
        <v>3.1</v>
      </c>
      <c r="H723" t="n">
        <v>0</v>
      </c>
      <c r="I723" t="n">
        <v>0</v>
      </c>
      <c r="J723" t="n">
        <v>0</v>
      </c>
      <c r="K723" t="n">
        <v>0</v>
      </c>
      <c r="L723" t="n">
        <v>0</v>
      </c>
      <c r="M723" t="n">
        <v>0</v>
      </c>
      <c r="N723" t="n">
        <v>0</v>
      </c>
      <c r="O723" t="n">
        <v>0</v>
      </c>
      <c r="P723" t="n">
        <v>0</v>
      </c>
      <c r="Q723" t="n">
        <v>0</v>
      </c>
      <c r="R723" s="2" t="inlineStr"/>
    </row>
    <row r="724" ht="15" customHeight="1">
      <c r="A724" t="inlineStr">
        <is>
          <t>A 46158-2025</t>
        </is>
      </c>
      <c r="B724" s="1" t="n">
        <v>45924.63511574074</v>
      </c>
      <c r="C724" s="1" t="n">
        <v>45925</v>
      </c>
      <c r="D724" t="inlineStr">
        <is>
          <t>KALMAR LÄN</t>
        </is>
      </c>
      <c r="E724" t="inlineStr">
        <is>
          <t>VÄSTERVIK</t>
        </is>
      </c>
      <c r="G724" t="n">
        <v>1.8</v>
      </c>
      <c r="H724" t="n">
        <v>0</v>
      </c>
      <c r="I724" t="n">
        <v>0</v>
      </c>
      <c r="J724" t="n">
        <v>0</v>
      </c>
      <c r="K724" t="n">
        <v>0</v>
      </c>
      <c r="L724" t="n">
        <v>0</v>
      </c>
      <c r="M724" t="n">
        <v>0</v>
      </c>
      <c r="N724" t="n">
        <v>0</v>
      </c>
      <c r="O724" t="n">
        <v>0</v>
      </c>
      <c r="P724" t="n">
        <v>0</v>
      </c>
      <c r="Q724" t="n">
        <v>0</v>
      </c>
      <c r="R724" s="2" t="inlineStr"/>
    </row>
    <row r="725" ht="15" customHeight="1">
      <c r="A725" t="inlineStr">
        <is>
          <t>A 9760-2024</t>
        </is>
      </c>
      <c r="B725" s="1" t="n">
        <v>45362</v>
      </c>
      <c r="C725" s="1" t="n">
        <v>45925</v>
      </c>
      <c r="D725" t="inlineStr">
        <is>
          <t>KALMAR LÄN</t>
        </is>
      </c>
      <c r="E725" t="inlineStr">
        <is>
          <t>VÄSTERVIK</t>
        </is>
      </c>
      <c r="G725" t="n">
        <v>2.1</v>
      </c>
      <c r="H725" t="n">
        <v>0</v>
      </c>
      <c r="I725" t="n">
        <v>0</v>
      </c>
      <c r="J725" t="n">
        <v>0</v>
      </c>
      <c r="K725" t="n">
        <v>0</v>
      </c>
      <c r="L725" t="n">
        <v>0</v>
      </c>
      <c r="M725" t="n">
        <v>0</v>
      </c>
      <c r="N725" t="n">
        <v>0</v>
      </c>
      <c r="O725" t="n">
        <v>0</v>
      </c>
      <c r="P725" t="n">
        <v>0</v>
      </c>
      <c r="Q725" t="n">
        <v>0</v>
      </c>
      <c r="R725" s="2" t="inlineStr"/>
    </row>
    <row r="726" ht="15" customHeight="1">
      <c r="A726" t="inlineStr">
        <is>
          <t>A 62304-2022</t>
        </is>
      </c>
      <c r="B726" s="1" t="n">
        <v>44923.46215277778</v>
      </c>
      <c r="C726" s="1" t="n">
        <v>45925</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62306-2022</t>
        </is>
      </c>
      <c r="B727" s="1" t="n">
        <v>44923</v>
      </c>
      <c r="C727" s="1" t="n">
        <v>45925</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4461-2025</t>
        </is>
      </c>
      <c r="B728" s="1" t="n">
        <v>45686</v>
      </c>
      <c r="C728" s="1" t="n">
        <v>45925</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c r="U728">
        <f>HYPERLINK("https://klasma.github.io/Logging_0883/knärot/A 4461-2025 karta knärot.png", "A 4461-2025")</f>
        <v/>
      </c>
      <c r="V728">
        <f>HYPERLINK("https://klasma.github.io/Logging_0883/klagomål/A 4461-2025 FSC-klagomål.docx", "A 4461-2025")</f>
        <v/>
      </c>
      <c r="W728">
        <f>HYPERLINK("https://klasma.github.io/Logging_0883/klagomålsmail/A 4461-2025 FSC-klagomål mail.docx", "A 4461-2025")</f>
        <v/>
      </c>
      <c r="X728">
        <f>HYPERLINK("https://klasma.github.io/Logging_0883/tillsyn/A 4461-2025 tillsynsbegäran.docx", "A 4461-2025")</f>
        <v/>
      </c>
      <c r="Y728">
        <f>HYPERLINK("https://klasma.github.io/Logging_0883/tillsynsmail/A 4461-2025 tillsynsbegäran mail.docx", "A 4461-2025")</f>
        <v/>
      </c>
    </row>
    <row r="729" ht="15" customHeight="1">
      <c r="A729" t="inlineStr">
        <is>
          <t>A 23080-2023</t>
        </is>
      </c>
      <c r="B729" s="1" t="n">
        <v>45075</v>
      </c>
      <c r="C729" s="1" t="n">
        <v>45925</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17214-2024</t>
        </is>
      </c>
      <c r="B730" s="1" t="n">
        <v>45414</v>
      </c>
      <c r="C730" s="1" t="n">
        <v>45925</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20204-2021</t>
        </is>
      </c>
      <c r="B731" s="1" t="n">
        <v>44314</v>
      </c>
      <c r="C731" s="1" t="n">
        <v>45925</v>
      </c>
      <c r="D731" t="inlineStr">
        <is>
          <t>KALMAR LÄN</t>
        </is>
      </c>
      <c r="E731" t="inlineStr">
        <is>
          <t>VÄSTERVIK</t>
        </is>
      </c>
      <c r="F731" t="inlineStr">
        <is>
          <t>Holmen skog AB</t>
        </is>
      </c>
      <c r="G731" t="n">
        <v>12.1</v>
      </c>
      <c r="H731" t="n">
        <v>0</v>
      </c>
      <c r="I731" t="n">
        <v>0</v>
      </c>
      <c r="J731" t="n">
        <v>0</v>
      </c>
      <c r="K731" t="n">
        <v>0</v>
      </c>
      <c r="L731" t="n">
        <v>0</v>
      </c>
      <c r="M731" t="n">
        <v>0</v>
      </c>
      <c r="N731" t="n">
        <v>0</v>
      </c>
      <c r="O731" t="n">
        <v>0</v>
      </c>
      <c r="P731" t="n">
        <v>0</v>
      </c>
      <c r="Q731" t="n">
        <v>0</v>
      </c>
      <c r="R731" s="2" t="inlineStr"/>
    </row>
    <row r="732" ht="15" customHeight="1">
      <c r="A732" t="inlineStr">
        <is>
          <t>A 45877-2025</t>
        </is>
      </c>
      <c r="B732" s="1" t="n">
        <v>45923.65804398148</v>
      </c>
      <c r="C732" s="1" t="n">
        <v>45925</v>
      </c>
      <c r="D732" t="inlineStr">
        <is>
          <t>KALMAR LÄN</t>
        </is>
      </c>
      <c r="E732" t="inlineStr">
        <is>
          <t>VÄSTERVIK</t>
        </is>
      </c>
      <c r="G732" t="n">
        <v>5.6</v>
      </c>
      <c r="H732" t="n">
        <v>0</v>
      </c>
      <c r="I732" t="n">
        <v>0</v>
      </c>
      <c r="J732" t="n">
        <v>0</v>
      </c>
      <c r="K732" t="n">
        <v>0</v>
      </c>
      <c r="L732" t="n">
        <v>0</v>
      </c>
      <c r="M732" t="n">
        <v>0</v>
      </c>
      <c r="N732" t="n">
        <v>0</v>
      </c>
      <c r="O732" t="n">
        <v>0</v>
      </c>
      <c r="P732" t="n">
        <v>0</v>
      </c>
      <c r="Q732" t="n">
        <v>0</v>
      </c>
      <c r="R732" s="2" t="inlineStr"/>
    </row>
    <row r="733" ht="15" customHeight="1">
      <c r="A733" t="inlineStr">
        <is>
          <t>A 15021-2025</t>
        </is>
      </c>
      <c r="B733" s="1" t="n">
        <v>45743.64482638889</v>
      </c>
      <c r="C733" s="1" t="n">
        <v>45925</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11741-2023</t>
        </is>
      </c>
      <c r="B734" s="1" t="n">
        <v>44994.58689814815</v>
      </c>
      <c r="C734" s="1" t="n">
        <v>45925</v>
      </c>
      <c r="D734" t="inlineStr">
        <is>
          <t>KALMAR LÄN</t>
        </is>
      </c>
      <c r="E734" t="inlineStr">
        <is>
          <t>VÄSTERVIK</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35961-2023</t>
        </is>
      </c>
      <c r="B735" s="1" t="n">
        <v>45148.85041666667</v>
      </c>
      <c r="C735" s="1" t="n">
        <v>45925</v>
      </c>
      <c r="D735" t="inlineStr">
        <is>
          <t>KALMAR LÄN</t>
        </is>
      </c>
      <c r="E735" t="inlineStr">
        <is>
          <t>VÄSTERVIK</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3555-2021</t>
        </is>
      </c>
      <c r="B736" s="1" t="n">
        <v>44218</v>
      </c>
      <c r="C736" s="1" t="n">
        <v>45925</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10808-2025</t>
        </is>
      </c>
      <c r="B737" s="1" t="n">
        <v>45722.53427083333</v>
      </c>
      <c r="C737" s="1" t="n">
        <v>45925</v>
      </c>
      <c r="D737" t="inlineStr">
        <is>
          <t>KALMAR LÄN</t>
        </is>
      </c>
      <c r="E737" t="inlineStr">
        <is>
          <t>VÄSTERVIK</t>
        </is>
      </c>
      <c r="G737" t="n">
        <v>2.2</v>
      </c>
      <c r="H737" t="n">
        <v>0</v>
      </c>
      <c r="I737" t="n">
        <v>0</v>
      </c>
      <c r="J737" t="n">
        <v>0</v>
      </c>
      <c r="K737" t="n">
        <v>0</v>
      </c>
      <c r="L737" t="n">
        <v>0</v>
      </c>
      <c r="M737" t="n">
        <v>0</v>
      </c>
      <c r="N737" t="n">
        <v>0</v>
      </c>
      <c r="O737" t="n">
        <v>0</v>
      </c>
      <c r="P737" t="n">
        <v>0</v>
      </c>
      <c r="Q737" t="n">
        <v>0</v>
      </c>
      <c r="R737" s="2" t="inlineStr"/>
    </row>
    <row r="738" ht="15" customHeight="1">
      <c r="A738" t="inlineStr">
        <is>
          <t>A 11120-2025</t>
        </is>
      </c>
      <c r="B738" s="1" t="n">
        <v>45723.63655092593</v>
      </c>
      <c r="C738" s="1" t="n">
        <v>45925</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11122-2025</t>
        </is>
      </c>
      <c r="B739" s="1" t="n">
        <v>45723.63827546296</v>
      </c>
      <c r="C739" s="1" t="n">
        <v>45925</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16680-2025</t>
        </is>
      </c>
      <c r="B740" s="1" t="n">
        <v>45754.44952546297</v>
      </c>
      <c r="C740" s="1" t="n">
        <v>45925</v>
      </c>
      <c r="D740" t="inlineStr">
        <is>
          <t>KALMAR LÄN</t>
        </is>
      </c>
      <c r="E740" t="inlineStr">
        <is>
          <t>VÄSTERVIK</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16691-2025</t>
        </is>
      </c>
      <c r="B741" s="1" t="n">
        <v>45754.46086805555</v>
      </c>
      <c r="C741" s="1" t="n">
        <v>45925</v>
      </c>
      <c r="D741" t="inlineStr">
        <is>
          <t>KALMAR LÄN</t>
        </is>
      </c>
      <c r="E741" t="inlineStr">
        <is>
          <t>VÄSTERVIK</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43199-2024</t>
        </is>
      </c>
      <c r="B742" s="1" t="n">
        <v>45567.68774305555</v>
      </c>
      <c r="C742" s="1" t="n">
        <v>45925</v>
      </c>
      <c r="D742" t="inlineStr">
        <is>
          <t>KALMAR LÄN</t>
        </is>
      </c>
      <c r="E742" t="inlineStr">
        <is>
          <t>VÄSTERVIK</t>
        </is>
      </c>
      <c r="G742" t="n">
        <v>1.8</v>
      </c>
      <c r="H742" t="n">
        <v>0</v>
      </c>
      <c r="I742" t="n">
        <v>0</v>
      </c>
      <c r="J742" t="n">
        <v>0</v>
      </c>
      <c r="K742" t="n">
        <v>0</v>
      </c>
      <c r="L742" t="n">
        <v>0</v>
      </c>
      <c r="M742" t="n">
        <v>0</v>
      </c>
      <c r="N742" t="n">
        <v>0</v>
      </c>
      <c r="O742" t="n">
        <v>0</v>
      </c>
      <c r="P742" t="n">
        <v>0</v>
      </c>
      <c r="Q742" t="n">
        <v>0</v>
      </c>
      <c r="R742" s="2" t="inlineStr"/>
    </row>
    <row r="743" ht="15" customHeight="1">
      <c r="A743" t="inlineStr">
        <is>
          <t>A 8597-2023</t>
        </is>
      </c>
      <c r="B743" s="1" t="n">
        <v>44977</v>
      </c>
      <c r="C743" s="1" t="n">
        <v>45925</v>
      </c>
      <c r="D743" t="inlineStr">
        <is>
          <t>KALMAR LÄN</t>
        </is>
      </c>
      <c r="E743" t="inlineStr">
        <is>
          <t>VÄSTERVIK</t>
        </is>
      </c>
      <c r="G743" t="n">
        <v>0.2</v>
      </c>
      <c r="H743" t="n">
        <v>0</v>
      </c>
      <c r="I743" t="n">
        <v>0</v>
      </c>
      <c r="J743" t="n">
        <v>0</v>
      </c>
      <c r="K743" t="n">
        <v>0</v>
      </c>
      <c r="L743" t="n">
        <v>0</v>
      </c>
      <c r="M743" t="n">
        <v>0</v>
      </c>
      <c r="N743" t="n">
        <v>0</v>
      </c>
      <c r="O743" t="n">
        <v>0</v>
      </c>
      <c r="P743" t="n">
        <v>0</v>
      </c>
      <c r="Q743" t="n">
        <v>0</v>
      </c>
      <c r="R743" s="2" t="inlineStr"/>
    </row>
    <row r="744" ht="15" customHeight="1">
      <c r="A744" t="inlineStr">
        <is>
          <t>A 21831-2023</t>
        </is>
      </c>
      <c r="B744" s="1" t="n">
        <v>45068</v>
      </c>
      <c r="C744" s="1" t="n">
        <v>45925</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7165-2025</t>
        </is>
      </c>
      <c r="B745" s="1" t="n">
        <v>45702.39491898148</v>
      </c>
      <c r="C745" s="1" t="n">
        <v>45925</v>
      </c>
      <c r="D745" t="inlineStr">
        <is>
          <t>KALMAR LÄN</t>
        </is>
      </c>
      <c r="E745" t="inlineStr">
        <is>
          <t>VÄSTERVIK</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33969-2024</t>
        </is>
      </c>
      <c r="B746" s="1" t="n">
        <v>45523.49450231482</v>
      </c>
      <c r="C746" s="1" t="n">
        <v>45925</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6346-2023</t>
        </is>
      </c>
      <c r="B747" s="1" t="n">
        <v>44960</v>
      </c>
      <c r="C747" s="1" t="n">
        <v>45925</v>
      </c>
      <c r="D747" t="inlineStr">
        <is>
          <t>KALMAR LÄN</t>
        </is>
      </c>
      <c r="E747" t="inlineStr">
        <is>
          <t>VÄSTERVIK</t>
        </is>
      </c>
      <c r="G747" t="n">
        <v>4.5</v>
      </c>
      <c r="H747" t="n">
        <v>0</v>
      </c>
      <c r="I747" t="n">
        <v>0</v>
      </c>
      <c r="J747" t="n">
        <v>0</v>
      </c>
      <c r="K747" t="n">
        <v>0</v>
      </c>
      <c r="L747" t="n">
        <v>0</v>
      </c>
      <c r="M747" t="n">
        <v>0</v>
      </c>
      <c r="N747" t="n">
        <v>0</v>
      </c>
      <c r="O747" t="n">
        <v>0</v>
      </c>
      <c r="P747" t="n">
        <v>0</v>
      </c>
      <c r="Q747" t="n">
        <v>0</v>
      </c>
      <c r="R747" s="2" t="inlineStr"/>
    </row>
    <row r="748" ht="15" customHeight="1">
      <c r="A748" t="inlineStr">
        <is>
          <t>A 26285-2024</t>
        </is>
      </c>
      <c r="B748" s="1" t="n">
        <v>45468.70357638889</v>
      </c>
      <c r="C748" s="1" t="n">
        <v>45925</v>
      </c>
      <c r="D748" t="inlineStr">
        <is>
          <t>KALMAR LÄN</t>
        </is>
      </c>
      <c r="E748" t="inlineStr">
        <is>
          <t>VÄSTERVIK</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9037-2023</t>
        </is>
      </c>
      <c r="B749" s="1" t="n">
        <v>44979.65015046296</v>
      </c>
      <c r="C749" s="1" t="n">
        <v>45925</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50086-2023</t>
        </is>
      </c>
      <c r="B750" s="1" t="n">
        <v>45215.59601851852</v>
      </c>
      <c r="C750" s="1" t="n">
        <v>45925</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23316-2023</t>
        </is>
      </c>
      <c r="B751" s="1" t="n">
        <v>45076.02563657407</v>
      </c>
      <c r="C751" s="1" t="n">
        <v>45925</v>
      </c>
      <c r="D751" t="inlineStr">
        <is>
          <t>KALMAR LÄN</t>
        </is>
      </c>
      <c r="E751" t="inlineStr">
        <is>
          <t>VÄSTERVIK</t>
        </is>
      </c>
      <c r="G751" t="n">
        <v>3.6</v>
      </c>
      <c r="H751" t="n">
        <v>0</v>
      </c>
      <c r="I751" t="n">
        <v>0</v>
      </c>
      <c r="J751" t="n">
        <v>0</v>
      </c>
      <c r="K751" t="n">
        <v>0</v>
      </c>
      <c r="L751" t="n">
        <v>0</v>
      </c>
      <c r="M751" t="n">
        <v>0</v>
      </c>
      <c r="N751" t="n">
        <v>0</v>
      </c>
      <c r="O751" t="n">
        <v>0</v>
      </c>
      <c r="P751" t="n">
        <v>0</v>
      </c>
      <c r="Q751" t="n">
        <v>0</v>
      </c>
      <c r="R751" s="2" t="inlineStr"/>
    </row>
    <row r="752" ht="15" customHeight="1">
      <c r="A752" t="inlineStr">
        <is>
          <t>A 13275-2023</t>
        </is>
      </c>
      <c r="B752" s="1" t="n">
        <v>45003</v>
      </c>
      <c r="C752" s="1" t="n">
        <v>45925</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c r="U752">
        <f>HYPERLINK("https://klasma.github.io/Logging_0883/knärot/A 13275-2023 karta knärot.png", "A 13275-2023")</f>
        <v/>
      </c>
      <c r="V752">
        <f>HYPERLINK("https://klasma.github.io/Logging_0883/klagomål/A 13275-2023 FSC-klagomål.docx", "A 13275-2023")</f>
        <v/>
      </c>
      <c r="W752">
        <f>HYPERLINK("https://klasma.github.io/Logging_0883/klagomålsmail/A 13275-2023 FSC-klagomål mail.docx", "A 13275-2023")</f>
        <v/>
      </c>
      <c r="X752">
        <f>HYPERLINK("https://klasma.github.io/Logging_0883/tillsyn/A 13275-2023 tillsynsbegäran.docx", "A 13275-2023")</f>
        <v/>
      </c>
      <c r="Y752">
        <f>HYPERLINK("https://klasma.github.io/Logging_0883/tillsynsmail/A 13275-2023 tillsynsbegäran mail.docx", "A 13275-2023")</f>
        <v/>
      </c>
    </row>
    <row r="753" ht="15" customHeight="1">
      <c r="A753" t="inlineStr">
        <is>
          <t>A 17200-2021</t>
        </is>
      </c>
      <c r="B753" s="1" t="n">
        <v>44298.47847222222</v>
      </c>
      <c r="C753" s="1" t="n">
        <v>45925</v>
      </c>
      <c r="D753" t="inlineStr">
        <is>
          <t>KALMAR LÄN</t>
        </is>
      </c>
      <c r="E753" t="inlineStr">
        <is>
          <t>VÄSTERVIK</t>
        </is>
      </c>
      <c r="G753" t="n">
        <v>3.4</v>
      </c>
      <c r="H753" t="n">
        <v>0</v>
      </c>
      <c r="I753" t="n">
        <v>0</v>
      </c>
      <c r="J753" t="n">
        <v>0</v>
      </c>
      <c r="K753" t="n">
        <v>0</v>
      </c>
      <c r="L753" t="n">
        <v>0</v>
      </c>
      <c r="M753" t="n">
        <v>0</v>
      </c>
      <c r="N753" t="n">
        <v>0</v>
      </c>
      <c r="O753" t="n">
        <v>0</v>
      </c>
      <c r="P753" t="n">
        <v>0</v>
      </c>
      <c r="Q753" t="n">
        <v>0</v>
      </c>
      <c r="R753" s="2" t="inlineStr"/>
    </row>
    <row r="754" ht="15" customHeight="1">
      <c r="A754" t="inlineStr">
        <is>
          <t>A 9269-2025</t>
        </is>
      </c>
      <c r="B754" s="1" t="n">
        <v>45714.61543981481</v>
      </c>
      <c r="C754" s="1" t="n">
        <v>45925</v>
      </c>
      <c r="D754" t="inlineStr">
        <is>
          <t>KALMAR LÄN</t>
        </is>
      </c>
      <c r="E754" t="inlineStr">
        <is>
          <t>VÄSTERVIK</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9042-2023</t>
        </is>
      </c>
      <c r="B755" s="1" t="n">
        <v>44979</v>
      </c>
      <c r="C755" s="1" t="n">
        <v>45925</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782-2024</t>
        </is>
      </c>
      <c r="B756" s="1" t="n">
        <v>45300.55188657407</v>
      </c>
      <c r="C756" s="1" t="n">
        <v>45925</v>
      </c>
      <c r="D756" t="inlineStr">
        <is>
          <t>KALMAR LÄN</t>
        </is>
      </c>
      <c r="E756" t="inlineStr">
        <is>
          <t>VÄSTERVIK</t>
        </is>
      </c>
      <c r="G756" t="n">
        <v>2.7</v>
      </c>
      <c r="H756" t="n">
        <v>0</v>
      </c>
      <c r="I756" t="n">
        <v>0</v>
      </c>
      <c r="J756" t="n">
        <v>0</v>
      </c>
      <c r="K756" t="n">
        <v>0</v>
      </c>
      <c r="L756" t="n">
        <v>0</v>
      </c>
      <c r="M756" t="n">
        <v>0</v>
      </c>
      <c r="N756" t="n">
        <v>0</v>
      </c>
      <c r="O756" t="n">
        <v>0</v>
      </c>
      <c r="P756" t="n">
        <v>0</v>
      </c>
      <c r="Q756" t="n">
        <v>0</v>
      </c>
      <c r="R756" s="2" t="inlineStr"/>
    </row>
    <row r="757" ht="15" customHeight="1">
      <c r="A757" t="inlineStr">
        <is>
          <t>A 5348-2024</t>
        </is>
      </c>
      <c r="B757" s="1" t="n">
        <v>45331</v>
      </c>
      <c r="C757" s="1" t="n">
        <v>45925</v>
      </c>
      <c r="D757" t="inlineStr">
        <is>
          <t>KALMAR LÄN</t>
        </is>
      </c>
      <c r="E757" t="inlineStr">
        <is>
          <t>VÄSTERVIK</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69753-2021</t>
        </is>
      </c>
      <c r="B758" s="1" t="n">
        <v>44532.56175925926</v>
      </c>
      <c r="C758" s="1" t="n">
        <v>45925</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46562-2022</t>
        </is>
      </c>
      <c r="B759" s="1" t="n">
        <v>44848</v>
      </c>
      <c r="C759" s="1" t="n">
        <v>45925</v>
      </c>
      <c r="D759" t="inlineStr">
        <is>
          <t>KALMAR LÄN</t>
        </is>
      </c>
      <c r="E759" t="inlineStr">
        <is>
          <t>VÄSTERVIK</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32822-2021</t>
        </is>
      </c>
      <c r="B760" s="1" t="n">
        <v>44375</v>
      </c>
      <c r="C760" s="1" t="n">
        <v>45925</v>
      </c>
      <c r="D760" t="inlineStr">
        <is>
          <t>KALMAR LÄN</t>
        </is>
      </c>
      <c r="E760" t="inlineStr">
        <is>
          <t>VÄSTERVIK</t>
        </is>
      </c>
      <c r="G760" t="n">
        <v>5.1</v>
      </c>
      <c r="H760" t="n">
        <v>0</v>
      </c>
      <c r="I760" t="n">
        <v>0</v>
      </c>
      <c r="J760" t="n">
        <v>0</v>
      </c>
      <c r="K760" t="n">
        <v>0</v>
      </c>
      <c r="L760" t="n">
        <v>0</v>
      </c>
      <c r="M760" t="n">
        <v>0</v>
      </c>
      <c r="N760" t="n">
        <v>0</v>
      </c>
      <c r="O760" t="n">
        <v>0</v>
      </c>
      <c r="P760" t="n">
        <v>0</v>
      </c>
      <c r="Q760" t="n">
        <v>0</v>
      </c>
      <c r="R760" s="2" t="inlineStr"/>
    </row>
    <row r="761" ht="15" customHeight="1">
      <c r="A761" t="inlineStr">
        <is>
          <t>A 16692-2025</t>
        </is>
      </c>
      <c r="B761" s="1" t="n">
        <v>45754.4621412037</v>
      </c>
      <c r="C761" s="1" t="n">
        <v>45925</v>
      </c>
      <c r="D761" t="inlineStr">
        <is>
          <t>KALMAR LÄN</t>
        </is>
      </c>
      <c r="E761" t="inlineStr">
        <is>
          <t>VÄSTERVIK</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54569-2023</t>
        </is>
      </c>
      <c r="B762" s="1" t="n">
        <v>45233.65532407408</v>
      </c>
      <c r="C762" s="1" t="n">
        <v>45925</v>
      </c>
      <c r="D762" t="inlineStr">
        <is>
          <t>KALMAR LÄN</t>
        </is>
      </c>
      <c r="E762" t="inlineStr">
        <is>
          <t>VÄSTERVIK</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10725-2023</t>
        </is>
      </c>
      <c r="B763" s="1" t="n">
        <v>44988.66966435185</v>
      </c>
      <c r="C763" s="1" t="n">
        <v>45925</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808-2023</t>
        </is>
      </c>
      <c r="B764" s="1" t="n">
        <v>44931</v>
      </c>
      <c r="C764" s="1" t="n">
        <v>45925</v>
      </c>
      <c r="D764" t="inlineStr">
        <is>
          <t>KALMAR LÄN</t>
        </is>
      </c>
      <c r="E764" t="inlineStr">
        <is>
          <t>VÄSTERVIK</t>
        </is>
      </c>
      <c r="F764" t="inlineStr">
        <is>
          <t>Holmen skog AB</t>
        </is>
      </c>
      <c r="G764" t="n">
        <v>0.3</v>
      </c>
      <c r="H764" t="n">
        <v>0</v>
      </c>
      <c r="I764" t="n">
        <v>0</v>
      </c>
      <c r="J764" t="n">
        <v>0</v>
      </c>
      <c r="K764" t="n">
        <v>0</v>
      </c>
      <c r="L764" t="n">
        <v>0</v>
      </c>
      <c r="M764" t="n">
        <v>0</v>
      </c>
      <c r="N764" t="n">
        <v>0</v>
      </c>
      <c r="O764" t="n">
        <v>0</v>
      </c>
      <c r="P764" t="n">
        <v>0</v>
      </c>
      <c r="Q764" t="n">
        <v>0</v>
      </c>
      <c r="R764" s="2" t="inlineStr"/>
    </row>
    <row r="765" ht="15" customHeight="1">
      <c r="A765" t="inlineStr">
        <is>
          <t>A 7360-2023</t>
        </is>
      </c>
      <c r="B765" s="1" t="n">
        <v>44971</v>
      </c>
      <c r="C765" s="1" t="n">
        <v>45925</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17306-2023</t>
        </is>
      </c>
      <c r="B766" s="1" t="n">
        <v>45035</v>
      </c>
      <c r="C766" s="1" t="n">
        <v>45925</v>
      </c>
      <c r="D766" t="inlineStr">
        <is>
          <t>KALMAR LÄN</t>
        </is>
      </c>
      <c r="E766" t="inlineStr">
        <is>
          <t>VÄSTERVIK</t>
        </is>
      </c>
      <c r="G766" t="n">
        <v>4.3</v>
      </c>
      <c r="H766" t="n">
        <v>0</v>
      </c>
      <c r="I766" t="n">
        <v>0</v>
      </c>
      <c r="J766" t="n">
        <v>0</v>
      </c>
      <c r="K766" t="n">
        <v>0</v>
      </c>
      <c r="L766" t="n">
        <v>0</v>
      </c>
      <c r="M766" t="n">
        <v>0</v>
      </c>
      <c r="N766" t="n">
        <v>0</v>
      </c>
      <c r="O766" t="n">
        <v>0</v>
      </c>
      <c r="P766" t="n">
        <v>0</v>
      </c>
      <c r="Q766" t="n">
        <v>0</v>
      </c>
      <c r="R766" s="2" t="inlineStr"/>
    </row>
    <row r="767" ht="15" customHeight="1">
      <c r="A767" t="inlineStr">
        <is>
          <t>A 23317-2023</t>
        </is>
      </c>
      <c r="B767" s="1" t="n">
        <v>45076</v>
      </c>
      <c r="C767" s="1" t="n">
        <v>45925</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33204-2022</t>
        </is>
      </c>
      <c r="B768" s="1" t="n">
        <v>44785</v>
      </c>
      <c r="C768" s="1" t="n">
        <v>45925</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39983-2024</t>
        </is>
      </c>
      <c r="B769" s="1" t="n">
        <v>45553.61674768518</v>
      </c>
      <c r="C769" s="1" t="n">
        <v>45925</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11167-2024</t>
        </is>
      </c>
      <c r="B770" s="1" t="n">
        <v>45371.4966087963</v>
      </c>
      <c r="C770" s="1" t="n">
        <v>45925</v>
      </c>
      <c r="D770" t="inlineStr">
        <is>
          <t>KALMAR LÄN</t>
        </is>
      </c>
      <c r="E770" t="inlineStr">
        <is>
          <t>VÄSTERVIK</t>
        </is>
      </c>
      <c r="G770" t="n">
        <v>1.1</v>
      </c>
      <c r="H770" t="n">
        <v>0</v>
      </c>
      <c r="I770" t="n">
        <v>0</v>
      </c>
      <c r="J770" t="n">
        <v>0</v>
      </c>
      <c r="K770" t="n">
        <v>0</v>
      </c>
      <c r="L770" t="n">
        <v>0</v>
      </c>
      <c r="M770" t="n">
        <v>0</v>
      </c>
      <c r="N770" t="n">
        <v>0</v>
      </c>
      <c r="O770" t="n">
        <v>0</v>
      </c>
      <c r="P770" t="n">
        <v>0</v>
      </c>
      <c r="Q770" t="n">
        <v>0</v>
      </c>
      <c r="R770" s="2" t="inlineStr"/>
    </row>
    <row r="771" ht="15" customHeight="1">
      <c r="A771" t="inlineStr">
        <is>
          <t>A 2543-2024</t>
        </is>
      </c>
      <c r="B771" s="1" t="n">
        <v>45313</v>
      </c>
      <c r="C771" s="1" t="n">
        <v>45925</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9220-2023</t>
        </is>
      </c>
      <c r="B772" s="1" t="n">
        <v>44980.52182870371</v>
      </c>
      <c r="C772" s="1" t="n">
        <v>45925</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19950-2025</t>
        </is>
      </c>
      <c r="B773" s="1" t="n">
        <v>45771.65724537037</v>
      </c>
      <c r="C773" s="1" t="n">
        <v>45925</v>
      </c>
      <c r="D773" t="inlineStr">
        <is>
          <t>KALMAR LÄN</t>
        </is>
      </c>
      <c r="E773" t="inlineStr">
        <is>
          <t>VÄSTERVIK</t>
        </is>
      </c>
      <c r="G773" t="n">
        <v>2.4</v>
      </c>
      <c r="H773" t="n">
        <v>0</v>
      </c>
      <c r="I773" t="n">
        <v>0</v>
      </c>
      <c r="J773" t="n">
        <v>0</v>
      </c>
      <c r="K773" t="n">
        <v>0</v>
      </c>
      <c r="L773" t="n">
        <v>0</v>
      </c>
      <c r="M773" t="n">
        <v>0</v>
      </c>
      <c r="N773" t="n">
        <v>0</v>
      </c>
      <c r="O773" t="n">
        <v>0</v>
      </c>
      <c r="P773" t="n">
        <v>0</v>
      </c>
      <c r="Q773" t="n">
        <v>0</v>
      </c>
      <c r="R773" s="2" t="inlineStr"/>
    </row>
    <row r="774" ht="15" customHeight="1">
      <c r="A774" t="inlineStr">
        <is>
          <t>A 36418-2023</t>
        </is>
      </c>
      <c r="B774" s="1" t="n">
        <v>45152</v>
      </c>
      <c r="C774" s="1" t="n">
        <v>45925</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c r="U774">
        <f>HYPERLINK("https://klasma.github.io/Logging_0883/knärot/A 36418-2023 karta knärot.png", "A 36418-2023")</f>
        <v/>
      </c>
      <c r="V774">
        <f>HYPERLINK("https://klasma.github.io/Logging_0883/klagomål/A 36418-2023 FSC-klagomål.docx", "A 36418-2023")</f>
        <v/>
      </c>
      <c r="W774">
        <f>HYPERLINK("https://klasma.github.io/Logging_0883/klagomålsmail/A 36418-2023 FSC-klagomål mail.docx", "A 36418-2023")</f>
        <v/>
      </c>
      <c r="X774">
        <f>HYPERLINK("https://klasma.github.io/Logging_0883/tillsyn/A 36418-2023 tillsynsbegäran.docx", "A 36418-2023")</f>
        <v/>
      </c>
      <c r="Y774">
        <f>HYPERLINK("https://klasma.github.io/Logging_0883/tillsynsmail/A 36418-2023 tillsynsbegäran mail.docx", "A 36418-2023")</f>
        <v/>
      </c>
    </row>
    <row r="775" ht="15" customHeight="1">
      <c r="A775" t="inlineStr">
        <is>
          <t>A 55828-2022</t>
        </is>
      </c>
      <c r="B775" s="1" t="n">
        <v>44888</v>
      </c>
      <c r="C775" s="1" t="n">
        <v>45925</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53077-2024</t>
        </is>
      </c>
      <c r="B776" s="1" t="n">
        <v>45611.49178240741</v>
      </c>
      <c r="C776" s="1" t="n">
        <v>45925</v>
      </c>
      <c r="D776" t="inlineStr">
        <is>
          <t>KALMAR LÄN</t>
        </is>
      </c>
      <c r="E776" t="inlineStr">
        <is>
          <t>VÄSTERVIK</t>
        </is>
      </c>
      <c r="F776" t="inlineStr">
        <is>
          <t>Holmen skog AB</t>
        </is>
      </c>
      <c r="G776" t="n">
        <v>3</v>
      </c>
      <c r="H776" t="n">
        <v>0</v>
      </c>
      <c r="I776" t="n">
        <v>0</v>
      </c>
      <c r="J776" t="n">
        <v>0</v>
      </c>
      <c r="K776" t="n">
        <v>0</v>
      </c>
      <c r="L776" t="n">
        <v>0</v>
      </c>
      <c r="M776" t="n">
        <v>0</v>
      </c>
      <c r="N776" t="n">
        <v>0</v>
      </c>
      <c r="O776" t="n">
        <v>0</v>
      </c>
      <c r="P776" t="n">
        <v>0</v>
      </c>
      <c r="Q776" t="n">
        <v>0</v>
      </c>
      <c r="R776" s="2" t="inlineStr"/>
    </row>
    <row r="777" ht="15" customHeight="1">
      <c r="A777" t="inlineStr">
        <is>
          <t>A 28222-2024</t>
        </is>
      </c>
      <c r="B777" s="1" t="n">
        <v>45477.36993055556</v>
      </c>
      <c r="C777" s="1" t="n">
        <v>45925</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34646-2023</t>
        </is>
      </c>
      <c r="B778" s="1" t="n">
        <v>45140</v>
      </c>
      <c r="C778" s="1" t="n">
        <v>45925</v>
      </c>
      <c r="D778" t="inlineStr">
        <is>
          <t>KALMAR LÄN</t>
        </is>
      </c>
      <c r="E778" t="inlineStr">
        <is>
          <t>VÄSTERVIK</t>
        </is>
      </c>
      <c r="G778" t="n">
        <v>3.1</v>
      </c>
      <c r="H778" t="n">
        <v>0</v>
      </c>
      <c r="I778" t="n">
        <v>0</v>
      </c>
      <c r="J778" t="n">
        <v>0</v>
      </c>
      <c r="K778" t="n">
        <v>0</v>
      </c>
      <c r="L778" t="n">
        <v>0</v>
      </c>
      <c r="M778" t="n">
        <v>0</v>
      </c>
      <c r="N778" t="n">
        <v>0</v>
      </c>
      <c r="O778" t="n">
        <v>0</v>
      </c>
      <c r="P778" t="n">
        <v>0</v>
      </c>
      <c r="Q778" t="n">
        <v>0</v>
      </c>
      <c r="R778" s="2" t="inlineStr"/>
    </row>
    <row r="779" ht="15" customHeight="1">
      <c r="A779" t="inlineStr">
        <is>
          <t>A 6941-2025</t>
        </is>
      </c>
      <c r="B779" s="1" t="n">
        <v>45701.46835648148</v>
      </c>
      <c r="C779" s="1" t="n">
        <v>45925</v>
      </c>
      <c r="D779" t="inlineStr">
        <is>
          <t>KALMAR LÄN</t>
        </is>
      </c>
      <c r="E779" t="inlineStr">
        <is>
          <t>VÄSTERVIK</t>
        </is>
      </c>
      <c r="G779" t="n">
        <v>1.3</v>
      </c>
      <c r="H779" t="n">
        <v>0</v>
      </c>
      <c r="I779" t="n">
        <v>0</v>
      </c>
      <c r="J779" t="n">
        <v>0</v>
      </c>
      <c r="K779" t="n">
        <v>0</v>
      </c>
      <c r="L779" t="n">
        <v>0</v>
      </c>
      <c r="M779" t="n">
        <v>0</v>
      </c>
      <c r="N779" t="n">
        <v>0</v>
      </c>
      <c r="O779" t="n">
        <v>0</v>
      </c>
      <c r="P779" t="n">
        <v>0</v>
      </c>
      <c r="Q779" t="n">
        <v>0</v>
      </c>
      <c r="R779" s="2" t="inlineStr"/>
    </row>
    <row r="780" ht="15" customHeight="1">
      <c r="A780" t="inlineStr">
        <is>
          <t>A 37033-2021</t>
        </is>
      </c>
      <c r="B780" s="1" t="n">
        <v>44393</v>
      </c>
      <c r="C780" s="1" t="n">
        <v>45925</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29952-2022</t>
        </is>
      </c>
      <c r="B781" s="1" t="n">
        <v>44756.62649305556</v>
      </c>
      <c r="C781" s="1" t="n">
        <v>45925</v>
      </c>
      <c r="D781" t="inlineStr">
        <is>
          <t>KALMAR LÄN</t>
        </is>
      </c>
      <c r="E781" t="inlineStr">
        <is>
          <t>VÄSTERVIK</t>
        </is>
      </c>
      <c r="G781" t="n">
        <v>1.9</v>
      </c>
      <c r="H781" t="n">
        <v>0</v>
      </c>
      <c r="I781" t="n">
        <v>0</v>
      </c>
      <c r="J781" t="n">
        <v>0</v>
      </c>
      <c r="K781" t="n">
        <v>0</v>
      </c>
      <c r="L781" t="n">
        <v>0</v>
      </c>
      <c r="M781" t="n">
        <v>0</v>
      </c>
      <c r="N781" t="n">
        <v>0</v>
      </c>
      <c r="O781" t="n">
        <v>0</v>
      </c>
      <c r="P781" t="n">
        <v>0</v>
      </c>
      <c r="Q781" t="n">
        <v>0</v>
      </c>
      <c r="R781" s="2" t="inlineStr"/>
    </row>
    <row r="782" ht="15" customHeight="1">
      <c r="A782" t="inlineStr">
        <is>
          <t>A 58707-2022</t>
        </is>
      </c>
      <c r="B782" s="1" t="n">
        <v>44902.80462962963</v>
      </c>
      <c r="C782" s="1" t="n">
        <v>45925</v>
      </c>
      <c r="D782" t="inlineStr">
        <is>
          <t>KALMAR LÄN</t>
        </is>
      </c>
      <c r="E782" t="inlineStr">
        <is>
          <t>VÄSTERVIK</t>
        </is>
      </c>
      <c r="G782" t="n">
        <v>2.3</v>
      </c>
      <c r="H782" t="n">
        <v>0</v>
      </c>
      <c r="I782" t="n">
        <v>0</v>
      </c>
      <c r="J782" t="n">
        <v>0</v>
      </c>
      <c r="K782" t="n">
        <v>0</v>
      </c>
      <c r="L782" t="n">
        <v>0</v>
      </c>
      <c r="M782" t="n">
        <v>0</v>
      </c>
      <c r="N782" t="n">
        <v>0</v>
      </c>
      <c r="O782" t="n">
        <v>0</v>
      </c>
      <c r="P782" t="n">
        <v>0</v>
      </c>
      <c r="Q782" t="n">
        <v>0</v>
      </c>
      <c r="R782" s="2" t="inlineStr"/>
    </row>
    <row r="783" ht="15" customHeight="1">
      <c r="A783" t="inlineStr">
        <is>
          <t>A 65-2023</t>
        </is>
      </c>
      <c r="B783" s="1" t="n">
        <v>44928.44431712963</v>
      </c>
      <c r="C783" s="1" t="n">
        <v>45925</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25714-2023</t>
        </is>
      </c>
      <c r="B784" s="1" t="n">
        <v>45089</v>
      </c>
      <c r="C784" s="1" t="n">
        <v>45925</v>
      </c>
      <c r="D784" t="inlineStr">
        <is>
          <t>KALMAR LÄN</t>
        </is>
      </c>
      <c r="E784" t="inlineStr">
        <is>
          <t>VÄSTERVIK</t>
        </is>
      </c>
      <c r="G784" t="n">
        <v>10.5</v>
      </c>
      <c r="H784" t="n">
        <v>0</v>
      </c>
      <c r="I784" t="n">
        <v>0</v>
      </c>
      <c r="J784" t="n">
        <v>0</v>
      </c>
      <c r="K784" t="n">
        <v>0</v>
      </c>
      <c r="L784" t="n">
        <v>0</v>
      </c>
      <c r="M784" t="n">
        <v>0</v>
      </c>
      <c r="N784" t="n">
        <v>0</v>
      </c>
      <c r="O784" t="n">
        <v>0</v>
      </c>
      <c r="P784" t="n">
        <v>0</v>
      </c>
      <c r="Q784" t="n">
        <v>0</v>
      </c>
      <c r="R784" s="2" t="inlineStr"/>
    </row>
    <row r="785" ht="15" customHeight="1">
      <c r="A785" t="inlineStr">
        <is>
          <t>A 45202-2023</t>
        </is>
      </c>
      <c r="B785" s="1" t="n">
        <v>45191</v>
      </c>
      <c r="C785" s="1" t="n">
        <v>45925</v>
      </c>
      <c r="D785" t="inlineStr">
        <is>
          <t>KALMAR LÄN</t>
        </is>
      </c>
      <c r="E785" t="inlineStr">
        <is>
          <t>VÄSTERVIK</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63361-2023</t>
        </is>
      </c>
      <c r="B786" s="1" t="n">
        <v>45274.46324074074</v>
      </c>
      <c r="C786" s="1" t="n">
        <v>45925</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9267-2025</t>
        </is>
      </c>
      <c r="B787" s="1" t="n">
        <v>45714.61418981481</v>
      </c>
      <c r="C787" s="1" t="n">
        <v>45925</v>
      </c>
      <c r="D787" t="inlineStr">
        <is>
          <t>KALMAR LÄN</t>
        </is>
      </c>
      <c r="E787" t="inlineStr">
        <is>
          <t>VÄSTERVIK</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52845-2023</t>
        </is>
      </c>
      <c r="B788" s="1" t="n">
        <v>45226.43667824074</v>
      </c>
      <c r="C788" s="1" t="n">
        <v>45925</v>
      </c>
      <c r="D788" t="inlineStr">
        <is>
          <t>KALMAR LÄN</t>
        </is>
      </c>
      <c r="E788" t="inlineStr">
        <is>
          <t>VÄSTERVIK</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14114-2025</t>
        </is>
      </c>
      <c r="B789" s="1" t="n">
        <v>45740.45964120371</v>
      </c>
      <c r="C789" s="1" t="n">
        <v>45925</v>
      </c>
      <c r="D789" t="inlineStr">
        <is>
          <t>KALMAR LÄN</t>
        </is>
      </c>
      <c r="E789" t="inlineStr">
        <is>
          <t>VÄSTERVIK</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18880-2025</t>
        </is>
      </c>
      <c r="B790" s="1" t="n">
        <v>45764.43959490741</v>
      </c>
      <c r="C790" s="1" t="n">
        <v>45925</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5691-2025</t>
        </is>
      </c>
      <c r="B791" s="1" t="n">
        <v>45694.37447916667</v>
      </c>
      <c r="C791" s="1" t="n">
        <v>45925</v>
      </c>
      <c r="D791" t="inlineStr">
        <is>
          <t>KALMAR LÄN</t>
        </is>
      </c>
      <c r="E791" t="inlineStr">
        <is>
          <t>VÄSTERVIK</t>
        </is>
      </c>
      <c r="G791" t="n">
        <v>0.8</v>
      </c>
      <c r="H791" t="n">
        <v>0</v>
      </c>
      <c r="I791" t="n">
        <v>0</v>
      </c>
      <c r="J791" t="n">
        <v>0</v>
      </c>
      <c r="K791" t="n">
        <v>0</v>
      </c>
      <c r="L791" t="n">
        <v>0</v>
      </c>
      <c r="M791" t="n">
        <v>0</v>
      </c>
      <c r="N791" t="n">
        <v>0</v>
      </c>
      <c r="O791" t="n">
        <v>0</v>
      </c>
      <c r="P791" t="n">
        <v>0</v>
      </c>
      <c r="Q791" t="n">
        <v>0</v>
      </c>
      <c r="R791" s="2" t="inlineStr"/>
    </row>
    <row r="792" ht="15" customHeight="1">
      <c r="A792" t="inlineStr">
        <is>
          <t>A 25488-2023</t>
        </is>
      </c>
      <c r="B792" s="1" t="n">
        <v>45089</v>
      </c>
      <c r="C792" s="1" t="n">
        <v>45925</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14212-2022</t>
        </is>
      </c>
      <c r="B793" s="1" t="n">
        <v>44651</v>
      </c>
      <c r="C793" s="1" t="n">
        <v>45925</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17652-2023</t>
        </is>
      </c>
      <c r="B794" s="1" t="n">
        <v>45036.70626157407</v>
      </c>
      <c r="C794" s="1" t="n">
        <v>45925</v>
      </c>
      <c r="D794" t="inlineStr">
        <is>
          <t>KALMAR LÄN</t>
        </is>
      </c>
      <c r="E794" t="inlineStr">
        <is>
          <t>VÄSTERVIK</t>
        </is>
      </c>
      <c r="G794" t="n">
        <v>0.2</v>
      </c>
      <c r="H794" t="n">
        <v>0</v>
      </c>
      <c r="I794" t="n">
        <v>0</v>
      </c>
      <c r="J794" t="n">
        <v>0</v>
      </c>
      <c r="K794" t="n">
        <v>0</v>
      </c>
      <c r="L794" t="n">
        <v>0</v>
      </c>
      <c r="M794" t="n">
        <v>0</v>
      </c>
      <c r="N794" t="n">
        <v>0</v>
      </c>
      <c r="O794" t="n">
        <v>0</v>
      </c>
      <c r="P794" t="n">
        <v>0</v>
      </c>
      <c r="Q794" t="n">
        <v>0</v>
      </c>
      <c r="R794" s="2" t="inlineStr"/>
    </row>
    <row r="795" ht="15" customHeight="1">
      <c r="A795" t="inlineStr">
        <is>
          <t>A 49706-2024</t>
        </is>
      </c>
      <c r="B795" s="1" t="n">
        <v>45596.69706018519</v>
      </c>
      <c r="C795" s="1" t="n">
        <v>45925</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5060-2025</t>
        </is>
      </c>
      <c r="B796" s="1" t="n">
        <v>45691.47354166667</v>
      </c>
      <c r="C796" s="1" t="n">
        <v>45925</v>
      </c>
      <c r="D796" t="inlineStr">
        <is>
          <t>KALMAR LÄN</t>
        </is>
      </c>
      <c r="E796" t="inlineStr">
        <is>
          <t>VÄSTERVIK</t>
        </is>
      </c>
      <c r="F796" t="inlineStr">
        <is>
          <t>Holmen skog AB</t>
        </is>
      </c>
      <c r="G796" t="n">
        <v>2.9</v>
      </c>
      <c r="H796" t="n">
        <v>0</v>
      </c>
      <c r="I796" t="n">
        <v>0</v>
      </c>
      <c r="J796" t="n">
        <v>0</v>
      </c>
      <c r="K796" t="n">
        <v>0</v>
      </c>
      <c r="L796" t="n">
        <v>0</v>
      </c>
      <c r="M796" t="n">
        <v>0</v>
      </c>
      <c r="N796" t="n">
        <v>0</v>
      </c>
      <c r="O796" t="n">
        <v>0</v>
      </c>
      <c r="P796" t="n">
        <v>0</v>
      </c>
      <c r="Q796" t="n">
        <v>0</v>
      </c>
      <c r="R796" s="2" t="inlineStr"/>
    </row>
    <row r="797" ht="15" customHeight="1">
      <c r="A797" t="inlineStr">
        <is>
          <t>A 14105-2025</t>
        </is>
      </c>
      <c r="B797" s="1" t="n">
        <v>45740.45425925926</v>
      </c>
      <c r="C797" s="1" t="n">
        <v>45925</v>
      </c>
      <c r="D797" t="inlineStr">
        <is>
          <t>KALMAR LÄN</t>
        </is>
      </c>
      <c r="E797" t="inlineStr">
        <is>
          <t>VÄSTERVIK</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14109-2025</t>
        </is>
      </c>
      <c r="B798" s="1" t="n">
        <v>45740.45748842593</v>
      </c>
      <c r="C798" s="1" t="n">
        <v>45925</v>
      </c>
      <c r="D798" t="inlineStr">
        <is>
          <t>KALMAR LÄN</t>
        </is>
      </c>
      <c r="E798" t="inlineStr">
        <is>
          <t>VÄSTERVIK</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57019-2023</t>
        </is>
      </c>
      <c r="B799" s="1" t="n">
        <v>45244</v>
      </c>
      <c r="C799" s="1" t="n">
        <v>45925</v>
      </c>
      <c r="D799" t="inlineStr">
        <is>
          <t>KALMAR LÄN</t>
        </is>
      </c>
      <c r="E799" t="inlineStr">
        <is>
          <t>VÄSTERVIK</t>
        </is>
      </c>
      <c r="G799" t="n">
        <v>2.2</v>
      </c>
      <c r="H799" t="n">
        <v>0</v>
      </c>
      <c r="I799" t="n">
        <v>0</v>
      </c>
      <c r="J799" t="n">
        <v>0</v>
      </c>
      <c r="K799" t="n">
        <v>0</v>
      </c>
      <c r="L799" t="n">
        <v>0</v>
      </c>
      <c r="M799" t="n">
        <v>0</v>
      </c>
      <c r="N799" t="n">
        <v>0</v>
      </c>
      <c r="O799" t="n">
        <v>0</v>
      </c>
      <c r="P799" t="n">
        <v>0</v>
      </c>
      <c r="Q799" t="n">
        <v>0</v>
      </c>
      <c r="R799" s="2" t="inlineStr"/>
    </row>
    <row r="800" ht="15" customHeight="1">
      <c r="A800" t="inlineStr">
        <is>
          <t>A 28894-2023</t>
        </is>
      </c>
      <c r="B800" s="1" t="n">
        <v>45104.49659722222</v>
      </c>
      <c r="C800" s="1" t="n">
        <v>45925</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37858-2023</t>
        </is>
      </c>
      <c r="B801" s="1" t="n">
        <v>45160.40577546296</v>
      </c>
      <c r="C801" s="1" t="n">
        <v>45925</v>
      </c>
      <c r="D801" t="inlineStr">
        <is>
          <t>KALMAR LÄN</t>
        </is>
      </c>
      <c r="E801" t="inlineStr">
        <is>
          <t>VÄSTERVIK</t>
        </is>
      </c>
      <c r="G801" t="n">
        <v>3</v>
      </c>
      <c r="H801" t="n">
        <v>0</v>
      </c>
      <c r="I801" t="n">
        <v>0</v>
      </c>
      <c r="J801" t="n">
        <v>0</v>
      </c>
      <c r="K801" t="n">
        <v>0</v>
      </c>
      <c r="L801" t="n">
        <v>0</v>
      </c>
      <c r="M801" t="n">
        <v>0</v>
      </c>
      <c r="N801" t="n">
        <v>0</v>
      </c>
      <c r="O801" t="n">
        <v>0</v>
      </c>
      <c r="P801" t="n">
        <v>0</v>
      </c>
      <c r="Q801" t="n">
        <v>0</v>
      </c>
      <c r="R801" s="2" t="inlineStr"/>
    </row>
    <row r="802" ht="15" customHeight="1">
      <c r="A802" t="inlineStr">
        <is>
          <t>A 14092-2025</t>
        </is>
      </c>
      <c r="B802" s="1" t="n">
        <v>45740.44686342592</v>
      </c>
      <c r="C802" s="1" t="n">
        <v>45925</v>
      </c>
      <c r="D802" t="inlineStr">
        <is>
          <t>KALMAR LÄN</t>
        </is>
      </c>
      <c r="E802" t="inlineStr">
        <is>
          <t>VÄSTERVIK</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19333-2023</t>
        </is>
      </c>
      <c r="B803" s="1" t="n">
        <v>45049.566875</v>
      </c>
      <c r="C803" s="1" t="n">
        <v>45925</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15097-2023</t>
        </is>
      </c>
      <c r="B804" s="1" t="n">
        <v>45016</v>
      </c>
      <c r="C804" s="1" t="n">
        <v>45925</v>
      </c>
      <c r="D804" t="inlineStr">
        <is>
          <t>KALMAR LÄN</t>
        </is>
      </c>
      <c r="E804" t="inlineStr">
        <is>
          <t>VÄSTERVIK</t>
        </is>
      </c>
      <c r="G804" t="n">
        <v>5.9</v>
      </c>
      <c r="H804" t="n">
        <v>0</v>
      </c>
      <c r="I804" t="n">
        <v>0</v>
      </c>
      <c r="J804" t="n">
        <v>0</v>
      </c>
      <c r="K804" t="n">
        <v>0</v>
      </c>
      <c r="L804" t="n">
        <v>0</v>
      </c>
      <c r="M804" t="n">
        <v>0</v>
      </c>
      <c r="N804" t="n">
        <v>0</v>
      </c>
      <c r="O804" t="n">
        <v>0</v>
      </c>
      <c r="P804" t="n">
        <v>0</v>
      </c>
      <c r="Q804" t="n">
        <v>0</v>
      </c>
      <c r="R804" s="2" t="inlineStr"/>
    </row>
    <row r="805" ht="15" customHeight="1">
      <c r="A805" t="inlineStr">
        <is>
          <t>A 46070-2023</t>
        </is>
      </c>
      <c r="B805" s="1" t="n">
        <v>45196</v>
      </c>
      <c r="C805" s="1" t="n">
        <v>45925</v>
      </c>
      <c r="D805" t="inlineStr">
        <is>
          <t>KALMAR LÄN</t>
        </is>
      </c>
      <c r="E805" t="inlineStr">
        <is>
          <t>VÄSTERVIK</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14072-2025</t>
        </is>
      </c>
      <c r="B806" s="1" t="n">
        <v>45740.42978009259</v>
      </c>
      <c r="C806" s="1" t="n">
        <v>45925</v>
      </c>
      <c r="D806" t="inlineStr">
        <is>
          <t>KALMAR LÄN</t>
        </is>
      </c>
      <c r="E806" t="inlineStr">
        <is>
          <t>VÄSTERVIK</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14075-2025</t>
        </is>
      </c>
      <c r="B807" s="1" t="n">
        <v>45740.43222222223</v>
      </c>
      <c r="C807" s="1" t="n">
        <v>45925</v>
      </c>
      <c r="D807" t="inlineStr">
        <is>
          <t>KALMAR LÄN</t>
        </is>
      </c>
      <c r="E807" t="inlineStr">
        <is>
          <t>VÄSTERVIK</t>
        </is>
      </c>
      <c r="F807" t="inlineStr">
        <is>
          <t>Sveaskog</t>
        </is>
      </c>
      <c r="G807" t="n">
        <v>4.6</v>
      </c>
      <c r="H807" t="n">
        <v>0</v>
      </c>
      <c r="I807" t="n">
        <v>0</v>
      </c>
      <c r="J807" t="n">
        <v>0</v>
      </c>
      <c r="K807" t="n">
        <v>0</v>
      </c>
      <c r="L807" t="n">
        <v>0</v>
      </c>
      <c r="M807" t="n">
        <v>0</v>
      </c>
      <c r="N807" t="n">
        <v>0</v>
      </c>
      <c r="O807" t="n">
        <v>0</v>
      </c>
      <c r="P807" t="n">
        <v>0</v>
      </c>
      <c r="Q807" t="n">
        <v>0</v>
      </c>
      <c r="R807" s="2" t="inlineStr"/>
    </row>
    <row r="808" ht="15" customHeight="1">
      <c r="A808" t="inlineStr">
        <is>
          <t>A 38174-2023</t>
        </is>
      </c>
      <c r="B808" s="1" t="n">
        <v>45161</v>
      </c>
      <c r="C808" s="1" t="n">
        <v>45925</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949-2024</t>
        </is>
      </c>
      <c r="B809" s="1" t="n">
        <v>45301</v>
      </c>
      <c r="C809" s="1" t="n">
        <v>45925</v>
      </c>
      <c r="D809" t="inlineStr">
        <is>
          <t>KALMAR LÄN</t>
        </is>
      </c>
      <c r="E809" t="inlineStr">
        <is>
          <t>VÄSTERVIK</t>
        </is>
      </c>
      <c r="G809" t="n">
        <v>2.3</v>
      </c>
      <c r="H809" t="n">
        <v>0</v>
      </c>
      <c r="I809" t="n">
        <v>0</v>
      </c>
      <c r="J809" t="n">
        <v>0</v>
      </c>
      <c r="K809" t="n">
        <v>0</v>
      </c>
      <c r="L809" t="n">
        <v>0</v>
      </c>
      <c r="M809" t="n">
        <v>0</v>
      </c>
      <c r="N809" t="n">
        <v>0</v>
      </c>
      <c r="O809" t="n">
        <v>0</v>
      </c>
      <c r="P809" t="n">
        <v>0</v>
      </c>
      <c r="Q809" t="n">
        <v>0</v>
      </c>
      <c r="R809" s="2" t="inlineStr"/>
    </row>
    <row r="810" ht="15" customHeight="1">
      <c r="A810" t="inlineStr">
        <is>
          <t>A 37716-2023</t>
        </is>
      </c>
      <c r="B810" s="1" t="n">
        <v>45159</v>
      </c>
      <c r="C810" s="1" t="n">
        <v>45925</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58216-2022</t>
        </is>
      </c>
      <c r="B811" s="1" t="n">
        <v>44901.36292824074</v>
      </c>
      <c r="C811" s="1" t="n">
        <v>45925</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5234-2024</t>
        </is>
      </c>
      <c r="B812" s="1" t="n">
        <v>45330.80729166666</v>
      </c>
      <c r="C812" s="1" t="n">
        <v>45925</v>
      </c>
      <c r="D812" t="inlineStr">
        <is>
          <t>KALMAR LÄN</t>
        </is>
      </c>
      <c r="E812" t="inlineStr">
        <is>
          <t>VÄSTERVIK</t>
        </is>
      </c>
      <c r="G812" t="n">
        <v>1.3</v>
      </c>
      <c r="H812" t="n">
        <v>0</v>
      </c>
      <c r="I812" t="n">
        <v>0</v>
      </c>
      <c r="J812" t="n">
        <v>0</v>
      </c>
      <c r="K812" t="n">
        <v>0</v>
      </c>
      <c r="L812" t="n">
        <v>0</v>
      </c>
      <c r="M812" t="n">
        <v>0</v>
      </c>
      <c r="N812" t="n">
        <v>0</v>
      </c>
      <c r="O812" t="n">
        <v>0</v>
      </c>
      <c r="P812" t="n">
        <v>0</v>
      </c>
      <c r="Q812" t="n">
        <v>0</v>
      </c>
      <c r="R812" s="2" t="inlineStr"/>
    </row>
    <row r="813" ht="15" customHeight="1">
      <c r="A813" t="inlineStr">
        <is>
          <t>A 29786-2024</t>
        </is>
      </c>
      <c r="B813" s="1" t="n">
        <v>45485.46388888889</v>
      </c>
      <c r="C813" s="1" t="n">
        <v>45925</v>
      </c>
      <c r="D813" t="inlineStr">
        <is>
          <t>KALMAR LÄN</t>
        </is>
      </c>
      <c r="E813" t="inlineStr">
        <is>
          <t>VÄSTERVIK</t>
        </is>
      </c>
      <c r="G813" t="n">
        <v>2.1</v>
      </c>
      <c r="H813" t="n">
        <v>0</v>
      </c>
      <c r="I813" t="n">
        <v>0</v>
      </c>
      <c r="J813" t="n">
        <v>0</v>
      </c>
      <c r="K813" t="n">
        <v>0</v>
      </c>
      <c r="L813" t="n">
        <v>0</v>
      </c>
      <c r="M813" t="n">
        <v>0</v>
      </c>
      <c r="N813" t="n">
        <v>0</v>
      </c>
      <c r="O813" t="n">
        <v>0</v>
      </c>
      <c r="P813" t="n">
        <v>0</v>
      </c>
      <c r="Q813" t="n">
        <v>0</v>
      </c>
      <c r="R813" s="2" t="inlineStr"/>
    </row>
    <row r="814" ht="15" customHeight="1">
      <c r="A814" t="inlineStr">
        <is>
          <t>A 13748-2024</t>
        </is>
      </c>
      <c r="B814" s="1" t="n">
        <v>45390</v>
      </c>
      <c r="C814" s="1" t="n">
        <v>45925</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36888-2024</t>
        </is>
      </c>
      <c r="B815" s="1" t="n">
        <v>45538</v>
      </c>
      <c r="C815" s="1" t="n">
        <v>45925</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2746-2023</t>
        </is>
      </c>
      <c r="B816" s="1" t="n">
        <v>44944</v>
      </c>
      <c r="C816" s="1" t="n">
        <v>45925</v>
      </c>
      <c r="D816" t="inlineStr">
        <is>
          <t>KALMAR LÄN</t>
        </is>
      </c>
      <c r="E816" t="inlineStr">
        <is>
          <t>VÄSTERVIK</t>
        </is>
      </c>
      <c r="G816" t="n">
        <v>5.5</v>
      </c>
      <c r="H816" t="n">
        <v>0</v>
      </c>
      <c r="I816" t="n">
        <v>0</v>
      </c>
      <c r="J816" t="n">
        <v>0</v>
      </c>
      <c r="K816" t="n">
        <v>0</v>
      </c>
      <c r="L816" t="n">
        <v>0</v>
      </c>
      <c r="M816" t="n">
        <v>0</v>
      </c>
      <c r="N816" t="n">
        <v>0</v>
      </c>
      <c r="O816" t="n">
        <v>0</v>
      </c>
      <c r="P816" t="n">
        <v>0</v>
      </c>
      <c r="Q816" t="n">
        <v>0</v>
      </c>
      <c r="R816" s="2" t="inlineStr"/>
    </row>
    <row r="817" ht="15" customHeight="1">
      <c r="A817" t="inlineStr">
        <is>
          <t>A 58209-2022</t>
        </is>
      </c>
      <c r="B817" s="1" t="n">
        <v>44901</v>
      </c>
      <c r="C817" s="1" t="n">
        <v>45925</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39278-2024</t>
        </is>
      </c>
      <c r="B818" s="1" t="n">
        <v>45551.35216435185</v>
      </c>
      <c r="C818" s="1" t="n">
        <v>45925</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52155-2021</t>
        </is>
      </c>
      <c r="B819" s="1" t="n">
        <v>44463</v>
      </c>
      <c r="C819" s="1" t="n">
        <v>45925</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1877-2025</t>
        </is>
      </c>
      <c r="B820" s="1" t="n">
        <v>45671.62141203704</v>
      </c>
      <c r="C820" s="1" t="n">
        <v>45925</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21015-2025</t>
        </is>
      </c>
      <c r="B821" s="1" t="n">
        <v>45777.50200231482</v>
      </c>
      <c r="C821" s="1" t="n">
        <v>45925</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4583-2023</t>
        </is>
      </c>
      <c r="B822" s="1" t="n">
        <v>44956</v>
      </c>
      <c r="C822" s="1" t="n">
        <v>45925</v>
      </c>
      <c r="D822" t="inlineStr">
        <is>
          <t>KALMAR LÄN</t>
        </is>
      </c>
      <c r="E822" t="inlineStr">
        <is>
          <t>VÄSTERVIK</t>
        </is>
      </c>
      <c r="G822" t="n">
        <v>2.2</v>
      </c>
      <c r="H822" t="n">
        <v>0</v>
      </c>
      <c r="I822" t="n">
        <v>0</v>
      </c>
      <c r="J822" t="n">
        <v>0</v>
      </c>
      <c r="K822" t="n">
        <v>0</v>
      </c>
      <c r="L822" t="n">
        <v>0</v>
      </c>
      <c r="M822" t="n">
        <v>0</v>
      </c>
      <c r="N822" t="n">
        <v>0</v>
      </c>
      <c r="O822" t="n">
        <v>0</v>
      </c>
      <c r="P822" t="n">
        <v>0</v>
      </c>
      <c r="Q822" t="n">
        <v>0</v>
      </c>
      <c r="R822" s="2" t="inlineStr"/>
    </row>
    <row r="823" ht="15" customHeight="1">
      <c r="A823" t="inlineStr">
        <is>
          <t>A 21503-2025</t>
        </is>
      </c>
      <c r="B823" s="1" t="n">
        <v>45782.61456018518</v>
      </c>
      <c r="C823" s="1" t="n">
        <v>45925</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11848-2024</t>
        </is>
      </c>
      <c r="B824" s="1" t="n">
        <v>45376.41653935185</v>
      </c>
      <c r="C824" s="1" t="n">
        <v>45925</v>
      </c>
      <c r="D824" t="inlineStr">
        <is>
          <t>KALMAR LÄN</t>
        </is>
      </c>
      <c r="E824" t="inlineStr">
        <is>
          <t>VÄSTERVIK</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21657-2025</t>
        </is>
      </c>
      <c r="B825" s="1" t="n">
        <v>45783.45325231482</v>
      </c>
      <c r="C825" s="1" t="n">
        <v>45925</v>
      </c>
      <c r="D825" t="inlineStr">
        <is>
          <t>KALMAR LÄN</t>
        </is>
      </c>
      <c r="E825" t="inlineStr">
        <is>
          <t>VÄSTERVIK</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21991-2025</t>
        </is>
      </c>
      <c r="B826" s="1" t="n">
        <v>45784.6615625</v>
      </c>
      <c r="C826" s="1" t="n">
        <v>45925</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47120-2023</t>
        </is>
      </c>
      <c r="B827" s="1" t="n">
        <v>45201</v>
      </c>
      <c r="C827" s="1" t="n">
        <v>45925</v>
      </c>
      <c r="D827" t="inlineStr">
        <is>
          <t>KALMAR LÄN</t>
        </is>
      </c>
      <c r="E827" t="inlineStr">
        <is>
          <t>VÄSTERVIK</t>
        </is>
      </c>
      <c r="G827" t="n">
        <v>1.1</v>
      </c>
      <c r="H827" t="n">
        <v>0</v>
      </c>
      <c r="I827" t="n">
        <v>0</v>
      </c>
      <c r="J827" t="n">
        <v>0</v>
      </c>
      <c r="K827" t="n">
        <v>0</v>
      </c>
      <c r="L827" t="n">
        <v>0</v>
      </c>
      <c r="M827" t="n">
        <v>0</v>
      </c>
      <c r="N827" t="n">
        <v>0</v>
      </c>
      <c r="O827" t="n">
        <v>0</v>
      </c>
      <c r="P827" t="n">
        <v>0</v>
      </c>
      <c r="Q827" t="n">
        <v>0</v>
      </c>
      <c r="R827" s="2" t="inlineStr"/>
    </row>
    <row r="828" ht="15" customHeight="1">
      <c r="A828" t="inlineStr">
        <is>
          <t>A 47123-2023</t>
        </is>
      </c>
      <c r="B828" s="1" t="n">
        <v>45201.68075231482</v>
      </c>
      <c r="C828" s="1" t="n">
        <v>45925</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46718-2023</t>
        </is>
      </c>
      <c r="B829" s="1" t="n">
        <v>45198</v>
      </c>
      <c r="C829" s="1" t="n">
        <v>45925</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21661-2025</t>
        </is>
      </c>
      <c r="B830" s="1" t="n">
        <v>45783.45644675926</v>
      </c>
      <c r="C830" s="1" t="n">
        <v>45925</v>
      </c>
      <c r="D830" t="inlineStr">
        <is>
          <t>KALMAR LÄN</t>
        </is>
      </c>
      <c r="E830" t="inlineStr">
        <is>
          <t>VÄSTERVIK</t>
        </is>
      </c>
      <c r="G830" t="n">
        <v>3.5</v>
      </c>
      <c r="H830" t="n">
        <v>0</v>
      </c>
      <c r="I830" t="n">
        <v>0</v>
      </c>
      <c r="J830" t="n">
        <v>0</v>
      </c>
      <c r="K830" t="n">
        <v>0</v>
      </c>
      <c r="L830" t="n">
        <v>0</v>
      </c>
      <c r="M830" t="n">
        <v>0</v>
      </c>
      <c r="N830" t="n">
        <v>0</v>
      </c>
      <c r="O830" t="n">
        <v>0</v>
      </c>
      <c r="P830" t="n">
        <v>0</v>
      </c>
      <c r="Q830" t="n">
        <v>0</v>
      </c>
      <c r="R830" s="2" t="inlineStr"/>
    </row>
    <row r="831" ht="15" customHeight="1">
      <c r="A831" t="inlineStr">
        <is>
          <t>A 60263-2022</t>
        </is>
      </c>
      <c r="B831" s="1" t="n">
        <v>44910.48520833333</v>
      </c>
      <c r="C831" s="1" t="n">
        <v>45925</v>
      </c>
      <c r="D831" t="inlineStr">
        <is>
          <t>KALMAR LÄN</t>
        </is>
      </c>
      <c r="E831" t="inlineStr">
        <is>
          <t>VÄSTERVIK</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1798-2023</t>
        </is>
      </c>
      <c r="B832" s="1" t="n">
        <v>44938</v>
      </c>
      <c r="C832" s="1" t="n">
        <v>45925</v>
      </c>
      <c r="D832" t="inlineStr">
        <is>
          <t>KALMAR LÄN</t>
        </is>
      </c>
      <c r="E832" t="inlineStr">
        <is>
          <t>VÄSTERVIK</t>
        </is>
      </c>
      <c r="G832" t="n">
        <v>3.9</v>
      </c>
      <c r="H832" t="n">
        <v>0</v>
      </c>
      <c r="I832" t="n">
        <v>0</v>
      </c>
      <c r="J832" t="n">
        <v>0</v>
      </c>
      <c r="K832" t="n">
        <v>0</v>
      </c>
      <c r="L832" t="n">
        <v>0</v>
      </c>
      <c r="M832" t="n">
        <v>0</v>
      </c>
      <c r="N832" t="n">
        <v>0</v>
      </c>
      <c r="O832" t="n">
        <v>0</v>
      </c>
      <c r="P832" t="n">
        <v>0</v>
      </c>
      <c r="Q832" t="n">
        <v>0</v>
      </c>
      <c r="R832" s="2" t="inlineStr"/>
    </row>
    <row r="833" ht="15" customHeight="1">
      <c r="A833" t="inlineStr">
        <is>
          <t>A 26776-2023</t>
        </is>
      </c>
      <c r="B833" s="1" t="n">
        <v>45093</v>
      </c>
      <c r="C833" s="1" t="n">
        <v>45925</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8402-2025</t>
        </is>
      </c>
      <c r="B834" s="1" t="n">
        <v>45709.38065972222</v>
      </c>
      <c r="C834" s="1" t="n">
        <v>45925</v>
      </c>
      <c r="D834" t="inlineStr">
        <is>
          <t>KALMAR LÄN</t>
        </is>
      </c>
      <c r="E834" t="inlineStr">
        <is>
          <t>VÄSTERVIK</t>
        </is>
      </c>
      <c r="G834" t="n">
        <v>4.3</v>
      </c>
      <c r="H834" t="n">
        <v>0</v>
      </c>
      <c r="I834" t="n">
        <v>0</v>
      </c>
      <c r="J834" t="n">
        <v>0</v>
      </c>
      <c r="K834" t="n">
        <v>0</v>
      </c>
      <c r="L834" t="n">
        <v>0</v>
      </c>
      <c r="M834" t="n">
        <v>0</v>
      </c>
      <c r="N834" t="n">
        <v>0</v>
      </c>
      <c r="O834" t="n">
        <v>0</v>
      </c>
      <c r="P834" t="n">
        <v>0</v>
      </c>
      <c r="Q834" t="n">
        <v>0</v>
      </c>
      <c r="R834" s="2" t="inlineStr"/>
    </row>
    <row r="835" ht="15" customHeight="1">
      <c r="A835" t="inlineStr">
        <is>
          <t>A 28037-2024</t>
        </is>
      </c>
      <c r="B835" s="1" t="n">
        <v>45476</v>
      </c>
      <c r="C835" s="1" t="n">
        <v>45925</v>
      </c>
      <c r="D835" t="inlineStr">
        <is>
          <t>KALMAR LÄN</t>
        </is>
      </c>
      <c r="E835" t="inlineStr">
        <is>
          <t>VÄSTERVIK</t>
        </is>
      </c>
      <c r="G835" t="n">
        <v>1</v>
      </c>
      <c r="H835" t="n">
        <v>0</v>
      </c>
      <c r="I835" t="n">
        <v>0</v>
      </c>
      <c r="J835" t="n">
        <v>0</v>
      </c>
      <c r="K835" t="n">
        <v>0</v>
      </c>
      <c r="L835" t="n">
        <v>0</v>
      </c>
      <c r="M835" t="n">
        <v>0</v>
      </c>
      <c r="N835" t="n">
        <v>0</v>
      </c>
      <c r="O835" t="n">
        <v>0</v>
      </c>
      <c r="P835" t="n">
        <v>0</v>
      </c>
      <c r="Q835" t="n">
        <v>0</v>
      </c>
      <c r="R835" s="2" t="inlineStr"/>
    </row>
    <row r="836" ht="15" customHeight="1">
      <c r="A836" t="inlineStr">
        <is>
          <t>A 6731-2024</t>
        </is>
      </c>
      <c r="B836" s="1" t="n">
        <v>45342.38787037037</v>
      </c>
      <c r="C836" s="1" t="n">
        <v>45925</v>
      </c>
      <c r="D836" t="inlineStr">
        <is>
          <t>KALMAR LÄN</t>
        </is>
      </c>
      <c r="E836" t="inlineStr">
        <is>
          <t>VÄSTERVIK</t>
        </is>
      </c>
      <c r="F836" t="inlineStr">
        <is>
          <t>Holmen skog AB</t>
        </is>
      </c>
      <c r="G836" t="n">
        <v>6.7</v>
      </c>
      <c r="H836" t="n">
        <v>0</v>
      </c>
      <c r="I836" t="n">
        <v>0</v>
      </c>
      <c r="J836" t="n">
        <v>0</v>
      </c>
      <c r="K836" t="n">
        <v>0</v>
      </c>
      <c r="L836" t="n">
        <v>0</v>
      </c>
      <c r="M836" t="n">
        <v>0</v>
      </c>
      <c r="N836" t="n">
        <v>0</v>
      </c>
      <c r="O836" t="n">
        <v>0</v>
      </c>
      <c r="P836" t="n">
        <v>0</v>
      </c>
      <c r="Q836" t="n">
        <v>0</v>
      </c>
      <c r="R836" s="2" t="inlineStr"/>
    </row>
    <row r="837" ht="15" customHeight="1">
      <c r="A837" t="inlineStr">
        <is>
          <t>A 73640-2021</t>
        </is>
      </c>
      <c r="B837" s="1" t="n">
        <v>44552.43644675926</v>
      </c>
      <c r="C837" s="1" t="n">
        <v>45925</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56377-2024</t>
        </is>
      </c>
      <c r="B838" s="1" t="n">
        <v>45625.33342592593</v>
      </c>
      <c r="C838" s="1" t="n">
        <v>45925</v>
      </c>
      <c r="D838" t="inlineStr">
        <is>
          <t>KALMAR LÄN</t>
        </is>
      </c>
      <c r="E838" t="inlineStr">
        <is>
          <t>VÄSTERVIK</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51496-2024</t>
        </is>
      </c>
      <c r="B839" s="1" t="n">
        <v>45604.54060185186</v>
      </c>
      <c r="C839" s="1" t="n">
        <v>45925</v>
      </c>
      <c r="D839" t="inlineStr">
        <is>
          <t>KALMAR LÄN</t>
        </is>
      </c>
      <c r="E839" t="inlineStr">
        <is>
          <t>VÄSTERVIK</t>
        </is>
      </c>
      <c r="F839" t="inlineStr">
        <is>
          <t>Övriga Aktiebolag</t>
        </is>
      </c>
      <c r="G839" t="n">
        <v>4.6</v>
      </c>
      <c r="H839" t="n">
        <v>0</v>
      </c>
      <c r="I839" t="n">
        <v>0</v>
      </c>
      <c r="J839" t="n">
        <v>0</v>
      </c>
      <c r="K839" t="n">
        <v>0</v>
      </c>
      <c r="L839" t="n">
        <v>0</v>
      </c>
      <c r="M839" t="n">
        <v>0</v>
      </c>
      <c r="N839" t="n">
        <v>0</v>
      </c>
      <c r="O839" t="n">
        <v>0</v>
      </c>
      <c r="P839" t="n">
        <v>0</v>
      </c>
      <c r="Q839" t="n">
        <v>0</v>
      </c>
      <c r="R839" s="2" t="inlineStr"/>
    </row>
    <row r="840" ht="15" customHeight="1">
      <c r="A840" t="inlineStr">
        <is>
          <t>A 40050-2022</t>
        </is>
      </c>
      <c r="B840" s="1" t="n">
        <v>44820.44106481481</v>
      </c>
      <c r="C840" s="1" t="n">
        <v>45925</v>
      </c>
      <c r="D840" t="inlineStr">
        <is>
          <t>KALMAR LÄN</t>
        </is>
      </c>
      <c r="E840" t="inlineStr">
        <is>
          <t>VÄSTERVIK</t>
        </is>
      </c>
      <c r="G840" t="n">
        <v>1.8</v>
      </c>
      <c r="H840" t="n">
        <v>0</v>
      </c>
      <c r="I840" t="n">
        <v>0</v>
      </c>
      <c r="J840" t="n">
        <v>0</v>
      </c>
      <c r="K840" t="n">
        <v>0</v>
      </c>
      <c r="L840" t="n">
        <v>0</v>
      </c>
      <c r="M840" t="n">
        <v>0</v>
      </c>
      <c r="N840" t="n">
        <v>0</v>
      </c>
      <c r="O840" t="n">
        <v>0</v>
      </c>
      <c r="P840" t="n">
        <v>0</v>
      </c>
      <c r="Q840" t="n">
        <v>0</v>
      </c>
      <c r="R840" s="2" t="inlineStr"/>
    </row>
    <row r="841" ht="15" customHeight="1">
      <c r="A841" t="inlineStr">
        <is>
          <t>A 6406-2024</t>
        </is>
      </c>
      <c r="B841" s="1" t="n">
        <v>45338</v>
      </c>
      <c r="C841" s="1" t="n">
        <v>45925</v>
      </c>
      <c r="D841" t="inlineStr">
        <is>
          <t>KALMAR LÄN</t>
        </is>
      </c>
      <c r="E841" t="inlineStr">
        <is>
          <t>VÄSTERVIK</t>
        </is>
      </c>
      <c r="G841" t="n">
        <v>5.5</v>
      </c>
      <c r="H841" t="n">
        <v>0</v>
      </c>
      <c r="I841" t="n">
        <v>0</v>
      </c>
      <c r="J841" t="n">
        <v>0</v>
      </c>
      <c r="K841" t="n">
        <v>0</v>
      </c>
      <c r="L841" t="n">
        <v>0</v>
      </c>
      <c r="M841" t="n">
        <v>0</v>
      </c>
      <c r="N841" t="n">
        <v>0</v>
      </c>
      <c r="O841" t="n">
        <v>0</v>
      </c>
      <c r="P841" t="n">
        <v>0</v>
      </c>
      <c r="Q841" t="n">
        <v>0</v>
      </c>
      <c r="R841" s="2" t="inlineStr"/>
      <c r="U841">
        <f>HYPERLINK("https://klasma.github.io/Logging_0883/knärot/A 6406-2024 karta knärot.png", "A 6406-2024")</f>
        <v/>
      </c>
      <c r="V841">
        <f>HYPERLINK("https://klasma.github.io/Logging_0883/klagomål/A 6406-2024 FSC-klagomål.docx", "A 6406-2024")</f>
        <v/>
      </c>
      <c r="W841">
        <f>HYPERLINK("https://klasma.github.io/Logging_0883/klagomålsmail/A 6406-2024 FSC-klagomål mail.docx", "A 6406-2024")</f>
        <v/>
      </c>
      <c r="X841">
        <f>HYPERLINK("https://klasma.github.io/Logging_0883/tillsyn/A 6406-2024 tillsynsbegäran.docx", "A 6406-2024")</f>
        <v/>
      </c>
      <c r="Y841">
        <f>HYPERLINK("https://klasma.github.io/Logging_0883/tillsynsmail/A 6406-2024 tillsynsbegäran mail.docx", "A 6406-2024")</f>
        <v/>
      </c>
    </row>
    <row r="842" ht="15" customHeight="1">
      <c r="A842" t="inlineStr">
        <is>
          <t>A 22891-2025</t>
        </is>
      </c>
      <c r="B842" s="1" t="n">
        <v>45790.39267361111</v>
      </c>
      <c r="C842" s="1" t="n">
        <v>45925</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22893-2025</t>
        </is>
      </c>
      <c r="B843" s="1" t="n">
        <v>45790.39622685185</v>
      </c>
      <c r="C843" s="1" t="n">
        <v>45925</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39980-2024</t>
        </is>
      </c>
      <c r="B844" s="1" t="n">
        <v>45553.61098379629</v>
      </c>
      <c r="C844" s="1" t="n">
        <v>45925</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39982-2024</t>
        </is>
      </c>
      <c r="B845" s="1" t="n">
        <v>45553.61355324074</v>
      </c>
      <c r="C845" s="1" t="n">
        <v>45925</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1568-2024</t>
        </is>
      </c>
      <c r="B846" s="1" t="n">
        <v>45306.53221064815</v>
      </c>
      <c r="C846" s="1" t="n">
        <v>45925</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1572-2024</t>
        </is>
      </c>
      <c r="B847" s="1" t="n">
        <v>45306</v>
      </c>
      <c r="C847" s="1" t="n">
        <v>45925</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23042-2025</t>
        </is>
      </c>
      <c r="B848" s="1" t="n">
        <v>45790.67273148148</v>
      </c>
      <c r="C848" s="1" t="n">
        <v>45925</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7934-2023</t>
        </is>
      </c>
      <c r="B849" s="1" t="n">
        <v>44973.65422453704</v>
      </c>
      <c r="C849" s="1" t="n">
        <v>45925</v>
      </c>
      <c r="D849" t="inlineStr">
        <is>
          <t>KALMAR LÄN</t>
        </is>
      </c>
      <c r="E849" t="inlineStr">
        <is>
          <t>VÄSTERVIK</t>
        </is>
      </c>
      <c r="G849" t="n">
        <v>4.1</v>
      </c>
      <c r="H849" t="n">
        <v>0</v>
      </c>
      <c r="I849" t="n">
        <v>0</v>
      </c>
      <c r="J849" t="n">
        <v>0</v>
      </c>
      <c r="K849" t="n">
        <v>0</v>
      </c>
      <c r="L849" t="n">
        <v>0</v>
      </c>
      <c r="M849" t="n">
        <v>0</v>
      </c>
      <c r="N849" t="n">
        <v>0</v>
      </c>
      <c r="O849" t="n">
        <v>0</v>
      </c>
      <c r="P849" t="n">
        <v>0</v>
      </c>
      <c r="Q849" t="n">
        <v>0</v>
      </c>
      <c r="R849" s="2" t="inlineStr"/>
    </row>
    <row r="850" ht="15" customHeight="1">
      <c r="A850" t="inlineStr">
        <is>
          <t>A 17314-2023</t>
        </is>
      </c>
      <c r="B850" s="1" t="n">
        <v>45035</v>
      </c>
      <c r="C850" s="1" t="n">
        <v>45925</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8594-2023</t>
        </is>
      </c>
      <c r="B851" s="1" t="n">
        <v>44977</v>
      </c>
      <c r="C851" s="1" t="n">
        <v>45925</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28344-2024</t>
        </is>
      </c>
      <c r="B852" s="1" t="n">
        <v>45477.55280092593</v>
      </c>
      <c r="C852" s="1" t="n">
        <v>45925</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23745-2025</t>
        </is>
      </c>
      <c r="B853" s="1" t="n">
        <v>45793.44484953704</v>
      </c>
      <c r="C853" s="1" t="n">
        <v>45925</v>
      </c>
      <c r="D853" t="inlineStr">
        <is>
          <t>KALMAR LÄN</t>
        </is>
      </c>
      <c r="E853" t="inlineStr">
        <is>
          <t>VÄSTERVIK</t>
        </is>
      </c>
      <c r="F853" t="inlineStr">
        <is>
          <t>Holmen skog AB</t>
        </is>
      </c>
      <c r="G853" t="n">
        <v>3.7</v>
      </c>
      <c r="H853" t="n">
        <v>0</v>
      </c>
      <c r="I853" t="n">
        <v>0</v>
      </c>
      <c r="J853" t="n">
        <v>0</v>
      </c>
      <c r="K853" t="n">
        <v>0</v>
      </c>
      <c r="L853" t="n">
        <v>0</v>
      </c>
      <c r="M853" t="n">
        <v>0</v>
      </c>
      <c r="N853" t="n">
        <v>0</v>
      </c>
      <c r="O853" t="n">
        <v>0</v>
      </c>
      <c r="P853" t="n">
        <v>0</v>
      </c>
      <c r="Q853" t="n">
        <v>0</v>
      </c>
      <c r="R853" s="2" t="inlineStr"/>
    </row>
    <row r="854" ht="15" customHeight="1">
      <c r="A854" t="inlineStr">
        <is>
          <t>A 23739-2025</t>
        </is>
      </c>
      <c r="B854" s="1" t="n">
        <v>45793.42939814815</v>
      </c>
      <c r="C854" s="1" t="n">
        <v>45925</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23859-2025</t>
        </is>
      </c>
      <c r="B855" s="1" t="n">
        <v>45793.65996527778</v>
      </c>
      <c r="C855" s="1" t="n">
        <v>45925</v>
      </c>
      <c r="D855" t="inlineStr">
        <is>
          <t>KALMAR LÄN</t>
        </is>
      </c>
      <c r="E855" t="inlineStr">
        <is>
          <t>VÄSTERVIK</t>
        </is>
      </c>
      <c r="F855" t="inlineStr">
        <is>
          <t>Holmen skog AB</t>
        </is>
      </c>
      <c r="G855" t="n">
        <v>17.7</v>
      </c>
      <c r="H855" t="n">
        <v>0</v>
      </c>
      <c r="I855" t="n">
        <v>0</v>
      </c>
      <c r="J855" t="n">
        <v>0</v>
      </c>
      <c r="K855" t="n">
        <v>0</v>
      </c>
      <c r="L855" t="n">
        <v>0</v>
      </c>
      <c r="M855" t="n">
        <v>0</v>
      </c>
      <c r="N855" t="n">
        <v>0</v>
      </c>
      <c r="O855" t="n">
        <v>0</v>
      </c>
      <c r="P855" t="n">
        <v>0</v>
      </c>
      <c r="Q855" t="n">
        <v>0</v>
      </c>
      <c r="R855" s="2" t="inlineStr"/>
    </row>
    <row r="856" ht="15" customHeight="1">
      <c r="A856" t="inlineStr">
        <is>
          <t>A 42746-2024</t>
        </is>
      </c>
      <c r="B856" s="1" t="n">
        <v>45566.48361111111</v>
      </c>
      <c r="C856" s="1" t="n">
        <v>45925</v>
      </c>
      <c r="D856" t="inlineStr">
        <is>
          <t>KALMAR LÄN</t>
        </is>
      </c>
      <c r="E856" t="inlineStr">
        <is>
          <t>VÄSTERVIK</t>
        </is>
      </c>
      <c r="G856" t="n">
        <v>2</v>
      </c>
      <c r="H856" t="n">
        <v>0</v>
      </c>
      <c r="I856" t="n">
        <v>0</v>
      </c>
      <c r="J856" t="n">
        <v>0</v>
      </c>
      <c r="K856" t="n">
        <v>0</v>
      </c>
      <c r="L856" t="n">
        <v>0</v>
      </c>
      <c r="M856" t="n">
        <v>0</v>
      </c>
      <c r="N856" t="n">
        <v>0</v>
      </c>
      <c r="O856" t="n">
        <v>0</v>
      </c>
      <c r="P856" t="n">
        <v>0</v>
      </c>
      <c r="Q856" t="n">
        <v>0</v>
      </c>
      <c r="R856" s="2" t="inlineStr"/>
    </row>
    <row r="857" ht="15" customHeight="1">
      <c r="A857" t="inlineStr">
        <is>
          <t>A 61529-2022</t>
        </is>
      </c>
      <c r="B857" s="1" t="n">
        <v>44910</v>
      </c>
      <c r="C857" s="1" t="n">
        <v>45925</v>
      </c>
      <c r="D857" t="inlineStr">
        <is>
          <t>KALMAR LÄN</t>
        </is>
      </c>
      <c r="E857" t="inlineStr">
        <is>
          <t>VÄSTERVIK</t>
        </is>
      </c>
      <c r="G857" t="n">
        <v>6.5</v>
      </c>
      <c r="H857" t="n">
        <v>0</v>
      </c>
      <c r="I857" t="n">
        <v>0</v>
      </c>
      <c r="J857" t="n">
        <v>0</v>
      </c>
      <c r="K857" t="n">
        <v>0</v>
      </c>
      <c r="L857" t="n">
        <v>0</v>
      </c>
      <c r="M857" t="n">
        <v>0</v>
      </c>
      <c r="N857" t="n">
        <v>0</v>
      </c>
      <c r="O857" t="n">
        <v>0</v>
      </c>
      <c r="P857" t="n">
        <v>0</v>
      </c>
      <c r="Q857" t="n">
        <v>0</v>
      </c>
      <c r="R857" s="2" t="inlineStr"/>
    </row>
    <row r="858" ht="15" customHeight="1">
      <c r="A858" t="inlineStr">
        <is>
          <t>A 53259-2021</t>
        </is>
      </c>
      <c r="B858" s="1" t="n">
        <v>44468.47153935185</v>
      </c>
      <c r="C858" s="1" t="n">
        <v>45925</v>
      </c>
      <c r="D858" t="inlineStr">
        <is>
          <t>KALMAR LÄN</t>
        </is>
      </c>
      <c r="E858" t="inlineStr">
        <is>
          <t>VÄSTERVIK</t>
        </is>
      </c>
      <c r="G858" t="n">
        <v>2.8</v>
      </c>
      <c r="H858" t="n">
        <v>0</v>
      </c>
      <c r="I858" t="n">
        <v>0</v>
      </c>
      <c r="J858" t="n">
        <v>0</v>
      </c>
      <c r="K858" t="n">
        <v>0</v>
      </c>
      <c r="L858" t="n">
        <v>0</v>
      </c>
      <c r="M858" t="n">
        <v>0</v>
      </c>
      <c r="N858" t="n">
        <v>0</v>
      </c>
      <c r="O858" t="n">
        <v>0</v>
      </c>
      <c r="P858" t="n">
        <v>0</v>
      </c>
      <c r="Q858" t="n">
        <v>0</v>
      </c>
      <c r="R858" s="2" t="inlineStr"/>
    </row>
    <row r="859" ht="15" customHeight="1">
      <c r="A859" t="inlineStr">
        <is>
          <t>A 10116-2022</t>
        </is>
      </c>
      <c r="B859" s="1" t="n">
        <v>44621</v>
      </c>
      <c r="C859" s="1" t="n">
        <v>45925</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54629-2024</t>
        </is>
      </c>
      <c r="B860" s="1" t="n">
        <v>45617.85399305556</v>
      </c>
      <c r="C860" s="1" t="n">
        <v>45925</v>
      </c>
      <c r="D860" t="inlineStr">
        <is>
          <t>KALMAR LÄN</t>
        </is>
      </c>
      <c r="E860" t="inlineStr">
        <is>
          <t>VÄSTERVIK</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29557-2024</t>
        </is>
      </c>
      <c r="B861" s="1" t="n">
        <v>45484.52023148148</v>
      </c>
      <c r="C861" s="1" t="n">
        <v>45925</v>
      </c>
      <c r="D861" t="inlineStr">
        <is>
          <t>KALMAR LÄN</t>
        </is>
      </c>
      <c r="E861" t="inlineStr">
        <is>
          <t>VÄSTERVIK</t>
        </is>
      </c>
      <c r="G861" t="n">
        <v>5.9</v>
      </c>
      <c r="H861" t="n">
        <v>0</v>
      </c>
      <c r="I861" t="n">
        <v>0</v>
      </c>
      <c r="J861" t="n">
        <v>0</v>
      </c>
      <c r="K861" t="n">
        <v>0</v>
      </c>
      <c r="L861" t="n">
        <v>0</v>
      </c>
      <c r="M861" t="n">
        <v>0</v>
      </c>
      <c r="N861" t="n">
        <v>0</v>
      </c>
      <c r="O861" t="n">
        <v>0</v>
      </c>
      <c r="P861" t="n">
        <v>0</v>
      </c>
      <c r="Q861" t="n">
        <v>0</v>
      </c>
      <c r="R861" s="2" t="inlineStr"/>
    </row>
    <row r="862" ht="15" customHeight="1">
      <c r="A862" t="inlineStr">
        <is>
          <t>A 8382-2023</t>
        </is>
      </c>
      <c r="B862" s="1" t="n">
        <v>44977.40112268519</v>
      </c>
      <c r="C862" s="1" t="n">
        <v>45925</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35959-2023</t>
        </is>
      </c>
      <c r="B863" s="1" t="n">
        <v>45148.84875</v>
      </c>
      <c r="C863" s="1" t="n">
        <v>45925</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60685-2024</t>
        </is>
      </c>
      <c r="B864" s="1" t="n">
        <v>45644.46804398148</v>
      </c>
      <c r="C864" s="1" t="n">
        <v>45925</v>
      </c>
      <c r="D864" t="inlineStr">
        <is>
          <t>KALMAR LÄN</t>
        </is>
      </c>
      <c r="E864" t="inlineStr">
        <is>
          <t>VÄSTERVIK</t>
        </is>
      </c>
      <c r="F864" t="inlineStr">
        <is>
          <t>Holmen skog AB</t>
        </is>
      </c>
      <c r="G864" t="n">
        <v>1</v>
      </c>
      <c r="H864" t="n">
        <v>0</v>
      </c>
      <c r="I864" t="n">
        <v>0</v>
      </c>
      <c r="J864" t="n">
        <v>0</v>
      </c>
      <c r="K864" t="n">
        <v>0</v>
      </c>
      <c r="L864" t="n">
        <v>0</v>
      </c>
      <c r="M864" t="n">
        <v>0</v>
      </c>
      <c r="N864" t="n">
        <v>0</v>
      </c>
      <c r="O864" t="n">
        <v>0</v>
      </c>
      <c r="P864" t="n">
        <v>0</v>
      </c>
      <c r="Q864" t="n">
        <v>0</v>
      </c>
      <c r="R864" s="2" t="inlineStr"/>
    </row>
    <row r="865" ht="15" customHeight="1">
      <c r="A865" t="inlineStr">
        <is>
          <t>A 23022-2025</t>
        </is>
      </c>
      <c r="B865" s="1" t="n">
        <v>45790.65489583334</v>
      </c>
      <c r="C865" s="1" t="n">
        <v>45925</v>
      </c>
      <c r="D865" t="inlineStr">
        <is>
          <t>KALMAR LÄN</t>
        </is>
      </c>
      <c r="E865" t="inlineStr">
        <is>
          <t>VÄSTERVIK</t>
        </is>
      </c>
      <c r="G865" t="n">
        <v>3.3</v>
      </c>
      <c r="H865" t="n">
        <v>0</v>
      </c>
      <c r="I865" t="n">
        <v>0</v>
      </c>
      <c r="J865" t="n">
        <v>0</v>
      </c>
      <c r="K865" t="n">
        <v>0</v>
      </c>
      <c r="L865" t="n">
        <v>0</v>
      </c>
      <c r="M865" t="n">
        <v>0</v>
      </c>
      <c r="N865" t="n">
        <v>0</v>
      </c>
      <c r="O865" t="n">
        <v>0</v>
      </c>
      <c r="P865" t="n">
        <v>0</v>
      </c>
      <c r="Q865" t="n">
        <v>0</v>
      </c>
      <c r="R865" s="2" t="inlineStr"/>
    </row>
    <row r="866" ht="15" customHeight="1">
      <c r="A866" t="inlineStr">
        <is>
          <t>A 33814-2023</t>
        </is>
      </c>
      <c r="B866" s="1" t="n">
        <v>45133.59230324074</v>
      </c>
      <c r="C866" s="1" t="n">
        <v>45925</v>
      </c>
      <c r="D866" t="inlineStr">
        <is>
          <t>KALMAR LÄN</t>
        </is>
      </c>
      <c r="E866" t="inlineStr">
        <is>
          <t>VÄSTERVIK</t>
        </is>
      </c>
      <c r="G866" t="n">
        <v>3.9</v>
      </c>
      <c r="H866" t="n">
        <v>0</v>
      </c>
      <c r="I866" t="n">
        <v>0</v>
      </c>
      <c r="J866" t="n">
        <v>0</v>
      </c>
      <c r="K866" t="n">
        <v>0</v>
      </c>
      <c r="L866" t="n">
        <v>0</v>
      </c>
      <c r="M866" t="n">
        <v>0</v>
      </c>
      <c r="N866" t="n">
        <v>0</v>
      </c>
      <c r="O866" t="n">
        <v>0</v>
      </c>
      <c r="P866" t="n">
        <v>0</v>
      </c>
      <c r="Q866" t="n">
        <v>0</v>
      </c>
      <c r="R866" s="2" t="inlineStr"/>
    </row>
    <row r="867" ht="15" customHeight="1">
      <c r="A867" t="inlineStr">
        <is>
          <t>A 1787-2025</t>
        </is>
      </c>
      <c r="B867" s="1" t="n">
        <v>45671.45357638889</v>
      </c>
      <c r="C867" s="1" t="n">
        <v>45925</v>
      </c>
      <c r="D867" t="inlineStr">
        <is>
          <t>KALMAR LÄN</t>
        </is>
      </c>
      <c r="E867" t="inlineStr">
        <is>
          <t>VÄSTERVIK</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40674-2023</t>
        </is>
      </c>
      <c r="B868" s="1" t="n">
        <v>45170.59288194445</v>
      </c>
      <c r="C868" s="1" t="n">
        <v>45925</v>
      </c>
      <c r="D868" t="inlineStr">
        <is>
          <t>KALMAR LÄN</t>
        </is>
      </c>
      <c r="E868" t="inlineStr">
        <is>
          <t>VÄSTERVIK</t>
        </is>
      </c>
      <c r="G868" t="n">
        <v>4.2</v>
      </c>
      <c r="H868" t="n">
        <v>0</v>
      </c>
      <c r="I868" t="n">
        <v>0</v>
      </c>
      <c r="J868" t="n">
        <v>0</v>
      </c>
      <c r="K868" t="n">
        <v>0</v>
      </c>
      <c r="L868" t="n">
        <v>0</v>
      </c>
      <c r="M868" t="n">
        <v>0</v>
      </c>
      <c r="N868" t="n">
        <v>0</v>
      </c>
      <c r="O868" t="n">
        <v>0</v>
      </c>
      <c r="P868" t="n">
        <v>0</v>
      </c>
      <c r="Q868" t="n">
        <v>0</v>
      </c>
      <c r="R868" s="2" t="inlineStr"/>
    </row>
    <row r="869" ht="15" customHeight="1">
      <c r="A869" t="inlineStr">
        <is>
          <t>A 40677-2023</t>
        </is>
      </c>
      <c r="B869" s="1" t="n">
        <v>45170.59443287037</v>
      </c>
      <c r="C869" s="1" t="n">
        <v>45925</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57688-2024</t>
        </is>
      </c>
      <c r="B870" s="1" t="n">
        <v>45630.65180555556</v>
      </c>
      <c r="C870" s="1" t="n">
        <v>45925</v>
      </c>
      <c r="D870" t="inlineStr">
        <is>
          <t>KALMAR LÄN</t>
        </is>
      </c>
      <c r="E870" t="inlineStr">
        <is>
          <t>VÄSTERVIK</t>
        </is>
      </c>
      <c r="G870" t="n">
        <v>3.1</v>
      </c>
      <c r="H870" t="n">
        <v>0</v>
      </c>
      <c r="I870" t="n">
        <v>0</v>
      </c>
      <c r="J870" t="n">
        <v>0</v>
      </c>
      <c r="K870" t="n">
        <v>0</v>
      </c>
      <c r="L870" t="n">
        <v>0</v>
      </c>
      <c r="M870" t="n">
        <v>0</v>
      </c>
      <c r="N870" t="n">
        <v>0</v>
      </c>
      <c r="O870" t="n">
        <v>0</v>
      </c>
      <c r="P870" t="n">
        <v>0</v>
      </c>
      <c r="Q870" t="n">
        <v>0</v>
      </c>
      <c r="R870" s="2" t="inlineStr"/>
    </row>
    <row r="871" ht="15" customHeight="1">
      <c r="A871" t="inlineStr">
        <is>
          <t>A 5923-2024</t>
        </is>
      </c>
      <c r="B871" s="1" t="n">
        <v>45335</v>
      </c>
      <c r="C871" s="1" t="n">
        <v>45925</v>
      </c>
      <c r="D871" t="inlineStr">
        <is>
          <t>KALMAR LÄN</t>
        </is>
      </c>
      <c r="E871" t="inlineStr">
        <is>
          <t>VÄSTERVIK</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7840-2025</t>
        </is>
      </c>
      <c r="B872" s="1" t="n">
        <v>45706.65895833333</v>
      </c>
      <c r="C872" s="1" t="n">
        <v>45925</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24819-2025</t>
        </is>
      </c>
      <c r="B873" s="1" t="n">
        <v>45799.45109953704</v>
      </c>
      <c r="C873" s="1" t="n">
        <v>45925</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55359-2024</t>
        </is>
      </c>
      <c r="B874" s="1" t="n">
        <v>45621.82230324074</v>
      </c>
      <c r="C874" s="1" t="n">
        <v>45925</v>
      </c>
      <c r="D874" t="inlineStr">
        <is>
          <t>KALMAR LÄN</t>
        </is>
      </c>
      <c r="E874" t="inlineStr">
        <is>
          <t>VÄSTERVIK</t>
        </is>
      </c>
      <c r="F874" t="inlineStr">
        <is>
          <t>Sveaskog</t>
        </is>
      </c>
      <c r="G874" t="n">
        <v>6.8</v>
      </c>
      <c r="H874" t="n">
        <v>0</v>
      </c>
      <c r="I874" t="n">
        <v>0</v>
      </c>
      <c r="J874" t="n">
        <v>0</v>
      </c>
      <c r="K874" t="n">
        <v>0</v>
      </c>
      <c r="L874" t="n">
        <v>0</v>
      </c>
      <c r="M874" t="n">
        <v>0</v>
      </c>
      <c r="N874" t="n">
        <v>0</v>
      </c>
      <c r="O874" t="n">
        <v>0</v>
      </c>
      <c r="P874" t="n">
        <v>0</v>
      </c>
      <c r="Q874" t="n">
        <v>0</v>
      </c>
      <c r="R874" s="2" t="inlineStr"/>
    </row>
    <row r="875" ht="15" customHeight="1">
      <c r="A875" t="inlineStr">
        <is>
          <t>A 16080-2025</t>
        </is>
      </c>
      <c r="B875" s="1" t="n">
        <v>45749.72953703703</v>
      </c>
      <c r="C875" s="1" t="n">
        <v>45925</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41926-2024</t>
        </is>
      </c>
      <c r="B876" s="1" t="n">
        <v>45561</v>
      </c>
      <c r="C876" s="1" t="n">
        <v>45925</v>
      </c>
      <c r="D876" t="inlineStr">
        <is>
          <t>KALMAR LÄN</t>
        </is>
      </c>
      <c r="E876" t="inlineStr">
        <is>
          <t>VÄSTERVIK</t>
        </is>
      </c>
      <c r="F876" t="inlineStr">
        <is>
          <t>Kyrkan</t>
        </is>
      </c>
      <c r="G876" t="n">
        <v>10</v>
      </c>
      <c r="H876" t="n">
        <v>0</v>
      </c>
      <c r="I876" t="n">
        <v>0</v>
      </c>
      <c r="J876" t="n">
        <v>0</v>
      </c>
      <c r="K876" t="n">
        <v>0</v>
      </c>
      <c r="L876" t="n">
        <v>0</v>
      </c>
      <c r="M876" t="n">
        <v>0</v>
      </c>
      <c r="N876" t="n">
        <v>0</v>
      </c>
      <c r="O876" t="n">
        <v>0</v>
      </c>
      <c r="P876" t="n">
        <v>0</v>
      </c>
      <c r="Q876" t="n">
        <v>0</v>
      </c>
      <c r="R876" s="2" t="inlineStr"/>
    </row>
    <row r="877" ht="15" customHeight="1">
      <c r="A877" t="inlineStr">
        <is>
          <t>A 14237-2024</t>
        </is>
      </c>
      <c r="B877" s="1" t="n">
        <v>45393.47158564815</v>
      </c>
      <c r="C877" s="1" t="n">
        <v>45925</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9263-2025</t>
        </is>
      </c>
      <c r="B878" s="1" t="n">
        <v>45714.60927083333</v>
      </c>
      <c r="C878" s="1" t="n">
        <v>45925</v>
      </c>
      <c r="D878" t="inlineStr">
        <is>
          <t>KALMAR LÄN</t>
        </is>
      </c>
      <c r="E878" t="inlineStr">
        <is>
          <t>VÄSTERVIK</t>
        </is>
      </c>
      <c r="F878" t="inlineStr">
        <is>
          <t>Sveaskog</t>
        </is>
      </c>
      <c r="G878" t="n">
        <v>5.2</v>
      </c>
      <c r="H878" t="n">
        <v>0</v>
      </c>
      <c r="I878" t="n">
        <v>0</v>
      </c>
      <c r="J878" t="n">
        <v>0</v>
      </c>
      <c r="K878" t="n">
        <v>0</v>
      </c>
      <c r="L878" t="n">
        <v>0</v>
      </c>
      <c r="M878" t="n">
        <v>0</v>
      </c>
      <c r="N878" t="n">
        <v>0</v>
      </c>
      <c r="O878" t="n">
        <v>0</v>
      </c>
      <c r="P878" t="n">
        <v>0</v>
      </c>
      <c r="Q878" t="n">
        <v>0</v>
      </c>
      <c r="R878" s="2" t="inlineStr"/>
    </row>
    <row r="879" ht="15" customHeight="1">
      <c r="A879" t="inlineStr">
        <is>
          <t>A 38045-2023</t>
        </is>
      </c>
      <c r="B879" s="1" t="n">
        <v>45160.67251157408</v>
      </c>
      <c r="C879" s="1" t="n">
        <v>45925</v>
      </c>
      <c r="D879" t="inlineStr">
        <is>
          <t>KALMAR LÄN</t>
        </is>
      </c>
      <c r="E879" t="inlineStr">
        <is>
          <t>VÄSTERVIK</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36555-2024</t>
        </is>
      </c>
      <c r="B880" s="1" t="n">
        <v>45537</v>
      </c>
      <c r="C880" s="1" t="n">
        <v>45925</v>
      </c>
      <c r="D880" t="inlineStr">
        <is>
          <t>KALMAR LÄN</t>
        </is>
      </c>
      <c r="E880" t="inlineStr">
        <is>
          <t>VÄSTERVIK</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4579-2023</t>
        </is>
      </c>
      <c r="B881" s="1" t="n">
        <v>44956.72383101852</v>
      </c>
      <c r="C881" s="1" t="n">
        <v>45925</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65059-2023</t>
        </is>
      </c>
      <c r="B882" s="1" t="n">
        <v>45287</v>
      </c>
      <c r="C882" s="1" t="n">
        <v>45925</v>
      </c>
      <c r="D882" t="inlineStr">
        <is>
          <t>KALMAR LÄN</t>
        </is>
      </c>
      <c r="E882" t="inlineStr">
        <is>
          <t>VÄSTERVIK</t>
        </is>
      </c>
      <c r="F882" t="inlineStr">
        <is>
          <t>Holmen skog AB</t>
        </is>
      </c>
      <c r="G882" t="n">
        <v>4.9</v>
      </c>
      <c r="H882" t="n">
        <v>0</v>
      </c>
      <c r="I882" t="n">
        <v>0</v>
      </c>
      <c r="J882" t="n">
        <v>0</v>
      </c>
      <c r="K882" t="n">
        <v>0</v>
      </c>
      <c r="L882" t="n">
        <v>0</v>
      </c>
      <c r="M882" t="n">
        <v>0</v>
      </c>
      <c r="N882" t="n">
        <v>0</v>
      </c>
      <c r="O882" t="n">
        <v>0</v>
      </c>
      <c r="P882" t="n">
        <v>0</v>
      </c>
      <c r="Q882" t="n">
        <v>0</v>
      </c>
      <c r="R882" s="2" t="inlineStr"/>
    </row>
    <row r="883" ht="15" customHeight="1">
      <c r="A883" t="inlineStr">
        <is>
          <t>A 25819-2025</t>
        </is>
      </c>
      <c r="B883" s="1" t="n">
        <v>45804.43547453704</v>
      </c>
      <c r="C883" s="1" t="n">
        <v>45925</v>
      </c>
      <c r="D883" t="inlineStr">
        <is>
          <t>KALMAR LÄN</t>
        </is>
      </c>
      <c r="E883" t="inlineStr">
        <is>
          <t>VÄSTERVIK</t>
        </is>
      </c>
      <c r="G883" t="n">
        <v>1.1</v>
      </c>
      <c r="H883" t="n">
        <v>0</v>
      </c>
      <c r="I883" t="n">
        <v>0</v>
      </c>
      <c r="J883" t="n">
        <v>0</v>
      </c>
      <c r="K883" t="n">
        <v>0</v>
      </c>
      <c r="L883" t="n">
        <v>0</v>
      </c>
      <c r="M883" t="n">
        <v>0</v>
      </c>
      <c r="N883" t="n">
        <v>0</v>
      </c>
      <c r="O883" t="n">
        <v>0</v>
      </c>
      <c r="P883" t="n">
        <v>0</v>
      </c>
      <c r="Q883" t="n">
        <v>0</v>
      </c>
      <c r="R883" s="2" t="inlineStr"/>
    </row>
    <row r="884" ht="15" customHeight="1">
      <c r="A884" t="inlineStr">
        <is>
          <t>A 25827-2025</t>
        </is>
      </c>
      <c r="B884" s="1" t="n">
        <v>45804.443125</v>
      </c>
      <c r="C884" s="1" t="n">
        <v>45925</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55361-2024</t>
        </is>
      </c>
      <c r="B885" s="1" t="n">
        <v>45621.83300925926</v>
      </c>
      <c r="C885" s="1" t="n">
        <v>45925</v>
      </c>
      <c r="D885" t="inlineStr">
        <is>
          <t>KALMAR LÄN</t>
        </is>
      </c>
      <c r="E885" t="inlineStr">
        <is>
          <t>VÄSTERVIK</t>
        </is>
      </c>
      <c r="F885" t="inlineStr">
        <is>
          <t>Sveaskog</t>
        </is>
      </c>
      <c r="G885" t="n">
        <v>2.4</v>
      </c>
      <c r="H885" t="n">
        <v>0</v>
      </c>
      <c r="I885" t="n">
        <v>0</v>
      </c>
      <c r="J885" t="n">
        <v>0</v>
      </c>
      <c r="K885" t="n">
        <v>0</v>
      </c>
      <c r="L885" t="n">
        <v>0</v>
      </c>
      <c r="M885" t="n">
        <v>0</v>
      </c>
      <c r="N885" t="n">
        <v>0</v>
      </c>
      <c r="O885" t="n">
        <v>0</v>
      </c>
      <c r="P885" t="n">
        <v>0</v>
      </c>
      <c r="Q885" t="n">
        <v>0</v>
      </c>
      <c r="R885" s="2" t="inlineStr"/>
    </row>
    <row r="886" ht="15" customHeight="1">
      <c r="A886" t="inlineStr">
        <is>
          <t>A 55362-2024</t>
        </is>
      </c>
      <c r="B886" s="1" t="n">
        <v>45621.83461805555</v>
      </c>
      <c r="C886" s="1" t="n">
        <v>45925</v>
      </c>
      <c r="D886" t="inlineStr">
        <is>
          <t>KALMAR LÄN</t>
        </is>
      </c>
      <c r="E886" t="inlineStr">
        <is>
          <t>VÄSTERVIK</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3041-2025</t>
        </is>
      </c>
      <c r="B887" s="1" t="n">
        <v>45678.60493055556</v>
      </c>
      <c r="C887" s="1" t="n">
        <v>45925</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c r="U887">
        <f>HYPERLINK("https://klasma.github.io/Logging_0883/knärot/A 3041-2025 karta knärot.png", "A 3041-2025")</f>
        <v/>
      </c>
      <c r="V887">
        <f>HYPERLINK("https://klasma.github.io/Logging_0883/klagomål/A 3041-2025 FSC-klagomål.docx", "A 3041-2025")</f>
        <v/>
      </c>
      <c r="W887">
        <f>HYPERLINK("https://klasma.github.io/Logging_0883/klagomålsmail/A 3041-2025 FSC-klagomål mail.docx", "A 3041-2025")</f>
        <v/>
      </c>
      <c r="X887">
        <f>HYPERLINK("https://klasma.github.io/Logging_0883/tillsyn/A 3041-2025 tillsynsbegäran.docx", "A 3041-2025")</f>
        <v/>
      </c>
      <c r="Y887">
        <f>HYPERLINK("https://klasma.github.io/Logging_0883/tillsynsmail/A 3041-2025 tillsynsbegäran mail.docx", "A 3041-2025")</f>
        <v/>
      </c>
    </row>
    <row r="888" ht="15" customHeight="1">
      <c r="A888" t="inlineStr">
        <is>
          <t>A 2360-2025</t>
        </is>
      </c>
      <c r="B888" s="1" t="n">
        <v>45673.69037037037</v>
      </c>
      <c r="C888" s="1" t="n">
        <v>45925</v>
      </c>
      <c r="D888" t="inlineStr">
        <is>
          <t>KALMAR LÄN</t>
        </is>
      </c>
      <c r="E888" t="inlineStr">
        <is>
          <t>VÄSTERVIK</t>
        </is>
      </c>
      <c r="G888" t="n">
        <v>3</v>
      </c>
      <c r="H888" t="n">
        <v>0</v>
      </c>
      <c r="I888" t="n">
        <v>0</v>
      </c>
      <c r="J888" t="n">
        <v>0</v>
      </c>
      <c r="K888" t="n">
        <v>0</v>
      </c>
      <c r="L888" t="n">
        <v>0</v>
      </c>
      <c r="M888" t="n">
        <v>0</v>
      </c>
      <c r="N888" t="n">
        <v>0</v>
      </c>
      <c r="O888" t="n">
        <v>0</v>
      </c>
      <c r="P888" t="n">
        <v>0</v>
      </c>
      <c r="Q888" t="n">
        <v>0</v>
      </c>
      <c r="R888" s="2" t="inlineStr"/>
    </row>
    <row r="889" ht="15" customHeight="1">
      <c r="A889" t="inlineStr">
        <is>
          <t>A 42816-2024</t>
        </is>
      </c>
      <c r="B889" s="1" t="n">
        <v>45566</v>
      </c>
      <c r="C889" s="1" t="n">
        <v>45925</v>
      </c>
      <c r="D889" t="inlineStr">
        <is>
          <t>KALMAR LÄN</t>
        </is>
      </c>
      <c r="E889" t="inlineStr">
        <is>
          <t>VÄSTERVIK</t>
        </is>
      </c>
      <c r="G889" t="n">
        <v>0.1</v>
      </c>
      <c r="H889" t="n">
        <v>0</v>
      </c>
      <c r="I889" t="n">
        <v>0</v>
      </c>
      <c r="J889" t="n">
        <v>0</v>
      </c>
      <c r="K889" t="n">
        <v>0</v>
      </c>
      <c r="L889" t="n">
        <v>0</v>
      </c>
      <c r="M889" t="n">
        <v>0</v>
      </c>
      <c r="N889" t="n">
        <v>0</v>
      </c>
      <c r="O889" t="n">
        <v>0</v>
      </c>
      <c r="P889" t="n">
        <v>0</v>
      </c>
      <c r="Q889" t="n">
        <v>0</v>
      </c>
      <c r="R889" s="2" t="inlineStr"/>
    </row>
    <row r="890" ht="15" customHeight="1">
      <c r="A890" t="inlineStr">
        <is>
          <t>A 21824-2023</t>
        </is>
      </c>
      <c r="B890" s="1" t="n">
        <v>45068</v>
      </c>
      <c r="C890" s="1" t="n">
        <v>45925</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1788-2025</t>
        </is>
      </c>
      <c r="B891" s="1" t="n">
        <v>45671.45521990741</v>
      </c>
      <c r="C891" s="1" t="n">
        <v>45925</v>
      </c>
      <c r="D891" t="inlineStr">
        <is>
          <t>KALMAR LÄN</t>
        </is>
      </c>
      <c r="E891" t="inlineStr">
        <is>
          <t>VÄSTERVIK</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26633-2025</t>
        </is>
      </c>
      <c r="B892" s="1" t="n">
        <v>45810.35262731482</v>
      </c>
      <c r="C892" s="1" t="n">
        <v>45925</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55565-2024</t>
        </is>
      </c>
      <c r="B893" s="1" t="n">
        <v>45622.54515046296</v>
      </c>
      <c r="C893" s="1" t="n">
        <v>45925</v>
      </c>
      <c r="D893" t="inlineStr">
        <is>
          <t>KALMAR LÄN</t>
        </is>
      </c>
      <c r="E893" t="inlineStr">
        <is>
          <t>VÄSTERVIK</t>
        </is>
      </c>
      <c r="G893" t="n">
        <v>2.2</v>
      </c>
      <c r="H893" t="n">
        <v>0</v>
      </c>
      <c r="I893" t="n">
        <v>0</v>
      </c>
      <c r="J893" t="n">
        <v>0</v>
      </c>
      <c r="K893" t="n">
        <v>0</v>
      </c>
      <c r="L893" t="n">
        <v>0</v>
      </c>
      <c r="M893" t="n">
        <v>0</v>
      </c>
      <c r="N893" t="n">
        <v>0</v>
      </c>
      <c r="O893" t="n">
        <v>0</v>
      </c>
      <c r="P893" t="n">
        <v>0</v>
      </c>
      <c r="Q893" t="n">
        <v>0</v>
      </c>
      <c r="R893" s="2" t="inlineStr"/>
    </row>
    <row r="894" ht="15" customHeight="1">
      <c r="A894" t="inlineStr">
        <is>
          <t>A 10771-2025</t>
        </is>
      </c>
      <c r="B894" s="1" t="n">
        <v>45722.46953703704</v>
      </c>
      <c r="C894" s="1" t="n">
        <v>45925</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26566-2025</t>
        </is>
      </c>
      <c r="B895" s="1" t="n">
        <v>45807.66685185185</v>
      </c>
      <c r="C895" s="1" t="n">
        <v>45925</v>
      </c>
      <c r="D895" t="inlineStr">
        <is>
          <t>KALMAR LÄN</t>
        </is>
      </c>
      <c r="E895" t="inlineStr">
        <is>
          <t>VÄSTERVIK</t>
        </is>
      </c>
      <c r="G895" t="n">
        <v>2.5</v>
      </c>
      <c r="H895" t="n">
        <v>0</v>
      </c>
      <c r="I895" t="n">
        <v>0</v>
      </c>
      <c r="J895" t="n">
        <v>0</v>
      </c>
      <c r="K895" t="n">
        <v>0</v>
      </c>
      <c r="L895" t="n">
        <v>0</v>
      </c>
      <c r="M895" t="n">
        <v>0</v>
      </c>
      <c r="N895" t="n">
        <v>0</v>
      </c>
      <c r="O895" t="n">
        <v>0</v>
      </c>
      <c r="P895" t="n">
        <v>0</v>
      </c>
      <c r="Q895" t="n">
        <v>0</v>
      </c>
      <c r="R895" s="2" t="inlineStr"/>
    </row>
    <row r="896" ht="15" customHeight="1">
      <c r="A896" t="inlineStr">
        <is>
          <t>A 26569-2025</t>
        </is>
      </c>
      <c r="B896" s="1" t="n">
        <v>45807.67638888889</v>
      </c>
      <c r="C896" s="1" t="n">
        <v>45925</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26572-2025</t>
        </is>
      </c>
      <c r="B897" s="1" t="n">
        <v>45807.68232638889</v>
      </c>
      <c r="C897" s="1" t="n">
        <v>45925</v>
      </c>
      <c r="D897" t="inlineStr">
        <is>
          <t>KALMAR LÄN</t>
        </is>
      </c>
      <c r="E897" t="inlineStr">
        <is>
          <t>VÄSTERVIK</t>
        </is>
      </c>
      <c r="G897" t="n">
        <v>2.9</v>
      </c>
      <c r="H897" t="n">
        <v>0</v>
      </c>
      <c r="I897" t="n">
        <v>0</v>
      </c>
      <c r="J897" t="n">
        <v>0</v>
      </c>
      <c r="K897" t="n">
        <v>0</v>
      </c>
      <c r="L897" t="n">
        <v>0</v>
      </c>
      <c r="M897" t="n">
        <v>0</v>
      </c>
      <c r="N897" t="n">
        <v>0</v>
      </c>
      <c r="O897" t="n">
        <v>0</v>
      </c>
      <c r="P897" t="n">
        <v>0</v>
      </c>
      <c r="Q897" t="n">
        <v>0</v>
      </c>
      <c r="R897" s="2" t="inlineStr"/>
    </row>
    <row r="898" ht="15" customHeight="1">
      <c r="A898" t="inlineStr">
        <is>
          <t>A 28657-2024</t>
        </is>
      </c>
      <c r="B898" s="1" t="n">
        <v>45478</v>
      </c>
      <c r="C898" s="1" t="n">
        <v>45925</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26061-2024</t>
        </is>
      </c>
      <c r="B899" s="1" t="n">
        <v>45468.35030092593</v>
      </c>
      <c r="C899" s="1" t="n">
        <v>45925</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26066-2024</t>
        </is>
      </c>
      <c r="B900" s="1" t="n">
        <v>45468.35390046296</v>
      </c>
      <c r="C900" s="1" t="n">
        <v>45925</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58764-2024</t>
        </is>
      </c>
      <c r="B901" s="1" t="n">
        <v>45635.72293981481</v>
      </c>
      <c r="C901" s="1" t="n">
        <v>45925</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26568-2025</t>
        </is>
      </c>
      <c r="B902" s="1" t="n">
        <v>45807.67447916666</v>
      </c>
      <c r="C902" s="1" t="n">
        <v>45925</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26571-2025</t>
        </is>
      </c>
      <c r="B903" s="1" t="n">
        <v>45807.6794212963</v>
      </c>
      <c r="C903" s="1" t="n">
        <v>45925</v>
      </c>
      <c r="D903" t="inlineStr">
        <is>
          <t>KALMAR LÄN</t>
        </is>
      </c>
      <c r="E903" t="inlineStr">
        <is>
          <t>VÄSTERVIK</t>
        </is>
      </c>
      <c r="G903" t="n">
        <v>2.8</v>
      </c>
      <c r="H903" t="n">
        <v>0</v>
      </c>
      <c r="I903" t="n">
        <v>0</v>
      </c>
      <c r="J903" t="n">
        <v>0</v>
      </c>
      <c r="K903" t="n">
        <v>0</v>
      </c>
      <c r="L903" t="n">
        <v>0</v>
      </c>
      <c r="M903" t="n">
        <v>0</v>
      </c>
      <c r="N903" t="n">
        <v>0</v>
      </c>
      <c r="O903" t="n">
        <v>0</v>
      </c>
      <c r="P903" t="n">
        <v>0</v>
      </c>
      <c r="Q903" t="n">
        <v>0</v>
      </c>
      <c r="R903" s="2" t="inlineStr"/>
    </row>
    <row r="904" ht="15" customHeight="1">
      <c r="A904" t="inlineStr">
        <is>
          <t>A 13489-2022</t>
        </is>
      </c>
      <c r="B904" s="1" t="n">
        <v>44646</v>
      </c>
      <c r="C904" s="1" t="n">
        <v>45925</v>
      </c>
      <c r="D904" t="inlineStr">
        <is>
          <t>KALMAR LÄN</t>
        </is>
      </c>
      <c r="E904" t="inlineStr">
        <is>
          <t>VÄSTERVIK</t>
        </is>
      </c>
      <c r="G904" t="n">
        <v>2.5</v>
      </c>
      <c r="H904" t="n">
        <v>0</v>
      </c>
      <c r="I904" t="n">
        <v>0</v>
      </c>
      <c r="J904" t="n">
        <v>0</v>
      </c>
      <c r="K904" t="n">
        <v>0</v>
      </c>
      <c r="L904" t="n">
        <v>0</v>
      </c>
      <c r="M904" t="n">
        <v>0</v>
      </c>
      <c r="N904" t="n">
        <v>0</v>
      </c>
      <c r="O904" t="n">
        <v>0</v>
      </c>
      <c r="P904" t="n">
        <v>0</v>
      </c>
      <c r="Q904" t="n">
        <v>0</v>
      </c>
      <c r="R904" s="2" t="inlineStr"/>
    </row>
    <row r="905" ht="15" customHeight="1">
      <c r="A905" t="inlineStr">
        <is>
          <t>A 7883-2025</t>
        </is>
      </c>
      <c r="B905" s="1" t="n">
        <v>45706.8156712963</v>
      </c>
      <c r="C905" s="1" t="n">
        <v>45925</v>
      </c>
      <c r="D905" t="inlineStr">
        <is>
          <t>KALMAR LÄN</t>
        </is>
      </c>
      <c r="E905" t="inlineStr">
        <is>
          <t>VÄSTERVIK</t>
        </is>
      </c>
      <c r="G905" t="n">
        <v>0.2</v>
      </c>
      <c r="H905" t="n">
        <v>0</v>
      </c>
      <c r="I905" t="n">
        <v>0</v>
      </c>
      <c r="J905" t="n">
        <v>0</v>
      </c>
      <c r="K905" t="n">
        <v>0</v>
      </c>
      <c r="L905" t="n">
        <v>0</v>
      </c>
      <c r="M905" t="n">
        <v>0</v>
      </c>
      <c r="N905" t="n">
        <v>0</v>
      </c>
      <c r="O905" t="n">
        <v>0</v>
      </c>
      <c r="P905" t="n">
        <v>0</v>
      </c>
      <c r="Q905" t="n">
        <v>0</v>
      </c>
      <c r="R905" s="2" t="inlineStr"/>
    </row>
    <row r="906" ht="15" customHeight="1">
      <c r="A906" t="inlineStr">
        <is>
          <t>A 27446-2025</t>
        </is>
      </c>
      <c r="B906" s="1" t="n">
        <v>45813.32667824074</v>
      </c>
      <c r="C906" s="1" t="n">
        <v>45925</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27980-2025</t>
        </is>
      </c>
      <c r="B907" s="1" t="n">
        <v>45817.57395833333</v>
      </c>
      <c r="C907" s="1" t="n">
        <v>45925</v>
      </c>
      <c r="D907" t="inlineStr">
        <is>
          <t>KALMAR LÄN</t>
        </is>
      </c>
      <c r="E907" t="inlineStr">
        <is>
          <t>VÄSTERVIK</t>
        </is>
      </c>
      <c r="F907" t="inlineStr">
        <is>
          <t>Sveaskog</t>
        </is>
      </c>
      <c r="G907" t="n">
        <v>7.2</v>
      </c>
      <c r="H907" t="n">
        <v>0</v>
      </c>
      <c r="I907" t="n">
        <v>0</v>
      </c>
      <c r="J907" t="n">
        <v>0</v>
      </c>
      <c r="K907" t="n">
        <v>0</v>
      </c>
      <c r="L907" t="n">
        <v>0</v>
      </c>
      <c r="M907" t="n">
        <v>0</v>
      </c>
      <c r="N907" t="n">
        <v>0</v>
      </c>
      <c r="O907" t="n">
        <v>0</v>
      </c>
      <c r="P907" t="n">
        <v>0</v>
      </c>
      <c r="Q907" t="n">
        <v>0</v>
      </c>
      <c r="R907" s="2" t="inlineStr"/>
    </row>
    <row r="908" ht="15" customHeight="1">
      <c r="A908" t="inlineStr">
        <is>
          <t>A 2859-2025</t>
        </is>
      </c>
      <c r="B908" s="1" t="n">
        <v>45677.67003472222</v>
      </c>
      <c r="C908" s="1" t="n">
        <v>45925</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2870-2025</t>
        </is>
      </c>
      <c r="B909" s="1" t="n">
        <v>45677.68149305556</v>
      </c>
      <c r="C909" s="1" t="n">
        <v>45925</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27978-2025</t>
        </is>
      </c>
      <c r="B910" s="1" t="n">
        <v>45817.57153935185</v>
      </c>
      <c r="C910" s="1" t="n">
        <v>45925</v>
      </c>
      <c r="D910" t="inlineStr">
        <is>
          <t>KALMAR LÄN</t>
        </is>
      </c>
      <c r="E910" t="inlineStr">
        <is>
          <t>VÄSTERVIK</t>
        </is>
      </c>
      <c r="F910" t="inlineStr">
        <is>
          <t>Sveaskog</t>
        </is>
      </c>
      <c r="G910" t="n">
        <v>10.8</v>
      </c>
      <c r="H910" t="n">
        <v>0</v>
      </c>
      <c r="I910" t="n">
        <v>0</v>
      </c>
      <c r="J910" t="n">
        <v>0</v>
      </c>
      <c r="K910" t="n">
        <v>0</v>
      </c>
      <c r="L910" t="n">
        <v>0</v>
      </c>
      <c r="M910" t="n">
        <v>0</v>
      </c>
      <c r="N910" t="n">
        <v>0</v>
      </c>
      <c r="O910" t="n">
        <v>0</v>
      </c>
      <c r="P910" t="n">
        <v>0</v>
      </c>
      <c r="Q910" t="n">
        <v>0</v>
      </c>
      <c r="R910" s="2" t="inlineStr"/>
    </row>
    <row r="911" ht="15" customHeight="1">
      <c r="A911" t="inlineStr">
        <is>
          <t>A 28203-2025</t>
        </is>
      </c>
      <c r="B911" s="1" t="n">
        <v>45818.44662037037</v>
      </c>
      <c r="C911" s="1" t="n">
        <v>45925</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27974-2025</t>
        </is>
      </c>
      <c r="B912" s="1" t="n">
        <v>45817.56891203704</v>
      </c>
      <c r="C912" s="1" t="n">
        <v>45925</v>
      </c>
      <c r="D912" t="inlineStr">
        <is>
          <t>KALMAR LÄN</t>
        </is>
      </c>
      <c r="E912" t="inlineStr">
        <is>
          <t>VÄSTERVIK</t>
        </is>
      </c>
      <c r="F912" t="inlineStr">
        <is>
          <t>Sveaskog</t>
        </is>
      </c>
      <c r="G912" t="n">
        <v>5</v>
      </c>
      <c r="H912" t="n">
        <v>0</v>
      </c>
      <c r="I912" t="n">
        <v>0</v>
      </c>
      <c r="J912" t="n">
        <v>0</v>
      </c>
      <c r="K912" t="n">
        <v>0</v>
      </c>
      <c r="L912" t="n">
        <v>0</v>
      </c>
      <c r="M912" t="n">
        <v>0</v>
      </c>
      <c r="N912" t="n">
        <v>0</v>
      </c>
      <c r="O912" t="n">
        <v>0</v>
      </c>
      <c r="P912" t="n">
        <v>0</v>
      </c>
      <c r="Q912" t="n">
        <v>0</v>
      </c>
      <c r="R912" s="2" t="inlineStr"/>
    </row>
    <row r="913" ht="15" customHeight="1">
      <c r="A913" t="inlineStr">
        <is>
          <t>A 28096-2025</t>
        </is>
      </c>
      <c r="B913" s="1" t="n">
        <v>45817.81831018518</v>
      </c>
      <c r="C913" s="1" t="n">
        <v>45925</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28696-2025</t>
        </is>
      </c>
      <c r="B914" s="1" t="n">
        <v>45819.91342592592</v>
      </c>
      <c r="C914" s="1" t="n">
        <v>45925</v>
      </c>
      <c r="D914" t="inlineStr">
        <is>
          <t>KALMAR LÄN</t>
        </is>
      </c>
      <c r="E914" t="inlineStr">
        <is>
          <t>VÄSTERVIK</t>
        </is>
      </c>
      <c r="G914" t="n">
        <v>2.8</v>
      </c>
      <c r="H914" t="n">
        <v>0</v>
      </c>
      <c r="I914" t="n">
        <v>0</v>
      </c>
      <c r="J914" t="n">
        <v>0</v>
      </c>
      <c r="K914" t="n">
        <v>0</v>
      </c>
      <c r="L914" t="n">
        <v>0</v>
      </c>
      <c r="M914" t="n">
        <v>0</v>
      </c>
      <c r="N914" t="n">
        <v>0</v>
      </c>
      <c r="O914" t="n">
        <v>0</v>
      </c>
      <c r="P914" t="n">
        <v>0</v>
      </c>
      <c r="Q914" t="n">
        <v>0</v>
      </c>
      <c r="R914" s="2" t="inlineStr"/>
    </row>
    <row r="915" ht="15" customHeight="1">
      <c r="A915" t="inlineStr">
        <is>
          <t>A 55032-2024</t>
        </is>
      </c>
      <c r="B915" s="1" t="n">
        <v>45621.38190972222</v>
      </c>
      <c r="C915" s="1" t="n">
        <v>45925</v>
      </c>
      <c r="D915" t="inlineStr">
        <is>
          <t>KALMAR LÄN</t>
        </is>
      </c>
      <c r="E915" t="inlineStr">
        <is>
          <t>VÄSTERVIK</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55037-2024</t>
        </is>
      </c>
      <c r="B916" s="1" t="n">
        <v>45621.38459490741</v>
      </c>
      <c r="C916" s="1" t="n">
        <v>45925</v>
      </c>
      <c r="D916" t="inlineStr">
        <is>
          <t>KALMAR LÄN</t>
        </is>
      </c>
      <c r="E916" t="inlineStr">
        <is>
          <t>VÄSTERVIK</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55358-2024</t>
        </is>
      </c>
      <c r="B917" s="1" t="n">
        <v>45621.82039351852</v>
      </c>
      <c r="C917" s="1" t="n">
        <v>45925</v>
      </c>
      <c r="D917" t="inlineStr">
        <is>
          <t>KALMAR LÄN</t>
        </is>
      </c>
      <c r="E917" t="inlineStr">
        <is>
          <t>VÄSTERVIK</t>
        </is>
      </c>
      <c r="F917" t="inlineStr">
        <is>
          <t>Sveaskog</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19551-2023</t>
        </is>
      </c>
      <c r="B918" s="1" t="n">
        <v>45049</v>
      </c>
      <c r="C918" s="1" t="n">
        <v>45925</v>
      </c>
      <c r="D918" t="inlineStr">
        <is>
          <t>KALMAR LÄN</t>
        </is>
      </c>
      <c r="E918" t="inlineStr">
        <is>
          <t>VÄSTERVIK</t>
        </is>
      </c>
      <c r="G918" t="n">
        <v>3.2</v>
      </c>
      <c r="H918" t="n">
        <v>0</v>
      </c>
      <c r="I918" t="n">
        <v>0</v>
      </c>
      <c r="J918" t="n">
        <v>0</v>
      </c>
      <c r="K918" t="n">
        <v>0</v>
      </c>
      <c r="L918" t="n">
        <v>0</v>
      </c>
      <c r="M918" t="n">
        <v>0</v>
      </c>
      <c r="N918" t="n">
        <v>0</v>
      </c>
      <c r="O918" t="n">
        <v>0</v>
      </c>
      <c r="P918" t="n">
        <v>0</v>
      </c>
      <c r="Q918" t="n">
        <v>0</v>
      </c>
      <c r="R918" s="2" t="inlineStr"/>
    </row>
    <row r="919" ht="15" customHeight="1">
      <c r="A919" t="inlineStr">
        <is>
          <t>A 32394-2021</t>
        </is>
      </c>
      <c r="B919" s="1" t="n">
        <v>44371.63414351852</v>
      </c>
      <c r="C919" s="1" t="n">
        <v>45925</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17052-2025</t>
        </is>
      </c>
      <c r="B920" s="1" t="n">
        <v>45755.60236111111</v>
      </c>
      <c r="C920" s="1" t="n">
        <v>45925</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17054-2025</t>
        </is>
      </c>
      <c r="B921" s="1" t="n">
        <v>45755.60278935185</v>
      </c>
      <c r="C921" s="1" t="n">
        <v>45925</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26770-2023</t>
        </is>
      </c>
      <c r="B922" s="1" t="n">
        <v>45093</v>
      </c>
      <c r="C922" s="1" t="n">
        <v>45925</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26772-2023</t>
        </is>
      </c>
      <c r="B923" s="1" t="n">
        <v>45093</v>
      </c>
      <c r="C923" s="1" t="n">
        <v>45925</v>
      </c>
      <c r="D923" t="inlineStr">
        <is>
          <t>KALMAR LÄN</t>
        </is>
      </c>
      <c r="E923" t="inlineStr">
        <is>
          <t>VÄSTERVIK</t>
        </is>
      </c>
      <c r="G923" t="n">
        <v>2</v>
      </c>
      <c r="H923" t="n">
        <v>0</v>
      </c>
      <c r="I923" t="n">
        <v>0</v>
      </c>
      <c r="J923" t="n">
        <v>0</v>
      </c>
      <c r="K923" t="n">
        <v>0</v>
      </c>
      <c r="L923" t="n">
        <v>0</v>
      </c>
      <c r="M923" t="n">
        <v>0</v>
      </c>
      <c r="N923" t="n">
        <v>0</v>
      </c>
      <c r="O923" t="n">
        <v>0</v>
      </c>
      <c r="P923" t="n">
        <v>0</v>
      </c>
      <c r="Q923" t="n">
        <v>0</v>
      </c>
      <c r="R923" s="2" t="inlineStr"/>
    </row>
    <row r="924" ht="15" customHeight="1">
      <c r="A924" t="inlineStr">
        <is>
          <t>A 26773-2023</t>
        </is>
      </c>
      <c r="B924" s="1" t="n">
        <v>45093</v>
      </c>
      <c r="C924" s="1" t="n">
        <v>45925</v>
      </c>
      <c r="D924" t="inlineStr">
        <is>
          <t>KALMAR LÄN</t>
        </is>
      </c>
      <c r="E924" t="inlineStr">
        <is>
          <t>VÄSTERVIK</t>
        </is>
      </c>
      <c r="G924" t="n">
        <v>2.2</v>
      </c>
      <c r="H924" t="n">
        <v>0</v>
      </c>
      <c r="I924" t="n">
        <v>0</v>
      </c>
      <c r="J924" t="n">
        <v>0</v>
      </c>
      <c r="K924" t="n">
        <v>0</v>
      </c>
      <c r="L924" t="n">
        <v>0</v>
      </c>
      <c r="M924" t="n">
        <v>0</v>
      </c>
      <c r="N924" t="n">
        <v>0</v>
      </c>
      <c r="O924" t="n">
        <v>0</v>
      </c>
      <c r="P924" t="n">
        <v>0</v>
      </c>
      <c r="Q924" t="n">
        <v>0</v>
      </c>
      <c r="R924" s="2" t="inlineStr"/>
    </row>
    <row r="925" ht="15" customHeight="1">
      <c r="A925" t="inlineStr">
        <is>
          <t>A 46130-2023</t>
        </is>
      </c>
      <c r="B925" s="1" t="n">
        <v>45196.55849537037</v>
      </c>
      <c r="C925" s="1" t="n">
        <v>45925</v>
      </c>
      <c r="D925" t="inlineStr">
        <is>
          <t>KALMAR LÄN</t>
        </is>
      </c>
      <c r="E925" t="inlineStr">
        <is>
          <t>VÄSTERVIK</t>
        </is>
      </c>
      <c r="F925" t="inlineStr">
        <is>
          <t>Sveaskog</t>
        </is>
      </c>
      <c r="G925" t="n">
        <v>1.7</v>
      </c>
      <c r="H925" t="n">
        <v>0</v>
      </c>
      <c r="I925" t="n">
        <v>0</v>
      </c>
      <c r="J925" t="n">
        <v>0</v>
      </c>
      <c r="K925" t="n">
        <v>0</v>
      </c>
      <c r="L925" t="n">
        <v>0</v>
      </c>
      <c r="M925" t="n">
        <v>0</v>
      </c>
      <c r="N925" t="n">
        <v>0</v>
      </c>
      <c r="O925" t="n">
        <v>0</v>
      </c>
      <c r="P925" t="n">
        <v>0</v>
      </c>
      <c r="Q925" t="n">
        <v>0</v>
      </c>
      <c r="R925" s="2" t="inlineStr"/>
    </row>
    <row r="926" ht="15" customHeight="1">
      <c r="A926" t="inlineStr">
        <is>
          <t>A 16207-2022</t>
        </is>
      </c>
      <c r="B926" s="1" t="n">
        <v>44669</v>
      </c>
      <c r="C926" s="1" t="n">
        <v>45925</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54164-2020</t>
        </is>
      </c>
      <c r="B927" s="1" t="n">
        <v>44125</v>
      </c>
      <c r="C927" s="1" t="n">
        <v>45925</v>
      </c>
      <c r="D927" t="inlineStr">
        <is>
          <t>KALMAR LÄN</t>
        </is>
      </c>
      <c r="E927" t="inlineStr">
        <is>
          <t>VÄSTERVIK</t>
        </is>
      </c>
      <c r="F927" t="inlineStr">
        <is>
          <t>Sveaskog</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29678-2025</t>
        </is>
      </c>
      <c r="B928" s="1" t="n">
        <v>45825.50804398148</v>
      </c>
      <c r="C928" s="1" t="n">
        <v>45925</v>
      </c>
      <c r="D928" t="inlineStr">
        <is>
          <t>KALMAR LÄN</t>
        </is>
      </c>
      <c r="E928" t="inlineStr">
        <is>
          <t>VÄSTERVIK</t>
        </is>
      </c>
      <c r="G928" t="n">
        <v>1.6</v>
      </c>
      <c r="H928" t="n">
        <v>0</v>
      </c>
      <c r="I928" t="n">
        <v>0</v>
      </c>
      <c r="J928" t="n">
        <v>0</v>
      </c>
      <c r="K928" t="n">
        <v>0</v>
      </c>
      <c r="L928" t="n">
        <v>0</v>
      </c>
      <c r="M928" t="n">
        <v>0</v>
      </c>
      <c r="N928" t="n">
        <v>0</v>
      </c>
      <c r="O928" t="n">
        <v>0</v>
      </c>
      <c r="P928" t="n">
        <v>0</v>
      </c>
      <c r="Q928" t="n">
        <v>0</v>
      </c>
      <c r="R928" s="2" t="inlineStr"/>
    </row>
    <row r="929" ht="15" customHeight="1">
      <c r="A929" t="inlineStr">
        <is>
          <t>A 19694-2025</t>
        </is>
      </c>
      <c r="B929" s="1" t="n">
        <v>45771.30550925926</v>
      </c>
      <c r="C929" s="1" t="n">
        <v>45925</v>
      </c>
      <c r="D929" t="inlineStr">
        <is>
          <t>KALMAR LÄN</t>
        </is>
      </c>
      <c r="E929" t="inlineStr">
        <is>
          <t>VÄSTERVIK</t>
        </is>
      </c>
      <c r="G929" t="n">
        <v>1.4</v>
      </c>
      <c r="H929" t="n">
        <v>0</v>
      </c>
      <c r="I929" t="n">
        <v>0</v>
      </c>
      <c r="J929" t="n">
        <v>0</v>
      </c>
      <c r="K929" t="n">
        <v>0</v>
      </c>
      <c r="L929" t="n">
        <v>0</v>
      </c>
      <c r="M929" t="n">
        <v>0</v>
      </c>
      <c r="N929" t="n">
        <v>0</v>
      </c>
      <c r="O929" t="n">
        <v>0</v>
      </c>
      <c r="P929" t="n">
        <v>0</v>
      </c>
      <c r="Q929" t="n">
        <v>0</v>
      </c>
      <c r="R929" s="2" t="inlineStr"/>
    </row>
    <row r="930" ht="15" customHeight="1">
      <c r="A930" t="inlineStr">
        <is>
          <t>A 56042-2023</t>
        </is>
      </c>
      <c r="B930" s="1" t="n">
        <v>45240.44670138889</v>
      </c>
      <c r="C930" s="1" t="n">
        <v>45925</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35662-2023</t>
        </is>
      </c>
      <c r="B931" s="1" t="n">
        <v>45147</v>
      </c>
      <c r="C931" s="1" t="n">
        <v>45925</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30644-2025</t>
        </is>
      </c>
      <c r="B932" s="1" t="n">
        <v>45831</v>
      </c>
      <c r="C932" s="1" t="n">
        <v>45925</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30811-2025</t>
        </is>
      </c>
      <c r="B933" s="1" t="n">
        <v>45831.65712962963</v>
      </c>
      <c r="C933" s="1" t="n">
        <v>45925</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30800-2025</t>
        </is>
      </c>
      <c r="B934" s="1" t="n">
        <v>45831.65177083333</v>
      </c>
      <c r="C934" s="1" t="n">
        <v>45925</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7164-2025</t>
        </is>
      </c>
      <c r="B935" s="1" t="n">
        <v>45702.39331018519</v>
      </c>
      <c r="C935" s="1" t="n">
        <v>45925</v>
      </c>
      <c r="D935" t="inlineStr">
        <is>
          <t>KALMAR LÄN</t>
        </is>
      </c>
      <c r="E935" t="inlineStr">
        <is>
          <t>VÄSTERVIK</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1585-2022</t>
        </is>
      </c>
      <c r="B936" s="1" t="n">
        <v>44573</v>
      </c>
      <c r="C936" s="1" t="n">
        <v>45925</v>
      </c>
      <c r="D936" t="inlineStr">
        <is>
          <t>KALMAR LÄN</t>
        </is>
      </c>
      <c r="E936" t="inlineStr">
        <is>
          <t>VÄSTERVIK</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56077-2024</t>
        </is>
      </c>
      <c r="B937" s="1" t="n">
        <v>45624.38690972222</v>
      </c>
      <c r="C937" s="1" t="n">
        <v>45925</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30789-2025</t>
        </is>
      </c>
      <c r="B938" s="1" t="n">
        <v>45831.63174768518</v>
      </c>
      <c r="C938" s="1" t="n">
        <v>45925</v>
      </c>
      <c r="D938" t="inlineStr">
        <is>
          <t>KALMAR LÄN</t>
        </is>
      </c>
      <c r="E938" t="inlineStr">
        <is>
          <t>VÄSTERVIK</t>
        </is>
      </c>
      <c r="G938" t="n">
        <v>7</v>
      </c>
      <c r="H938" t="n">
        <v>0</v>
      </c>
      <c r="I938" t="n">
        <v>0</v>
      </c>
      <c r="J938" t="n">
        <v>0</v>
      </c>
      <c r="K938" t="n">
        <v>0</v>
      </c>
      <c r="L938" t="n">
        <v>0</v>
      </c>
      <c r="M938" t="n">
        <v>0</v>
      </c>
      <c r="N938" t="n">
        <v>0</v>
      </c>
      <c r="O938" t="n">
        <v>0</v>
      </c>
      <c r="P938" t="n">
        <v>0</v>
      </c>
      <c r="Q938" t="n">
        <v>0</v>
      </c>
      <c r="R938" s="2" t="inlineStr"/>
    </row>
    <row r="939" ht="15" customHeight="1">
      <c r="A939" t="inlineStr">
        <is>
          <t>A 11856-2024</t>
        </is>
      </c>
      <c r="B939" s="1" t="n">
        <v>45376.43302083333</v>
      </c>
      <c r="C939" s="1" t="n">
        <v>45925</v>
      </c>
      <c r="D939" t="inlineStr">
        <is>
          <t>KALMAR LÄN</t>
        </is>
      </c>
      <c r="E939" t="inlineStr">
        <is>
          <t>VÄSTERVIK</t>
        </is>
      </c>
      <c r="F939" t="inlineStr">
        <is>
          <t>Sveaskog</t>
        </is>
      </c>
      <c r="G939" t="n">
        <v>3.4</v>
      </c>
      <c r="H939" t="n">
        <v>0</v>
      </c>
      <c r="I939" t="n">
        <v>0</v>
      </c>
      <c r="J939" t="n">
        <v>0</v>
      </c>
      <c r="K939" t="n">
        <v>0</v>
      </c>
      <c r="L939" t="n">
        <v>0</v>
      </c>
      <c r="M939" t="n">
        <v>0</v>
      </c>
      <c r="N939" t="n">
        <v>0</v>
      </c>
      <c r="O939" t="n">
        <v>0</v>
      </c>
      <c r="P939" t="n">
        <v>0</v>
      </c>
      <c r="Q939" t="n">
        <v>0</v>
      </c>
      <c r="R939" s="2" t="inlineStr"/>
    </row>
    <row r="940" ht="15" customHeight="1">
      <c r="A940" t="inlineStr">
        <is>
          <t>A 30690-2025</t>
        </is>
      </c>
      <c r="B940" s="1" t="n">
        <v>45831.53775462963</v>
      </c>
      <c r="C940" s="1" t="n">
        <v>45925</v>
      </c>
      <c r="D940" t="inlineStr">
        <is>
          <t>KALMAR LÄN</t>
        </is>
      </c>
      <c r="E940" t="inlineStr">
        <is>
          <t>VÄSTERVIK</t>
        </is>
      </c>
      <c r="G940" t="n">
        <v>1.6</v>
      </c>
      <c r="H940" t="n">
        <v>0</v>
      </c>
      <c r="I940" t="n">
        <v>0</v>
      </c>
      <c r="J940" t="n">
        <v>0</v>
      </c>
      <c r="K940" t="n">
        <v>0</v>
      </c>
      <c r="L940" t="n">
        <v>0</v>
      </c>
      <c r="M940" t="n">
        <v>0</v>
      </c>
      <c r="N940" t="n">
        <v>0</v>
      </c>
      <c r="O940" t="n">
        <v>0</v>
      </c>
      <c r="P940" t="n">
        <v>0</v>
      </c>
      <c r="Q940" t="n">
        <v>0</v>
      </c>
      <c r="R940" s="2" t="inlineStr"/>
    </row>
    <row r="941" ht="15" customHeight="1">
      <c r="A941" t="inlineStr">
        <is>
          <t>A 57367-2023</t>
        </is>
      </c>
      <c r="B941" s="1" t="n">
        <v>45245</v>
      </c>
      <c r="C941" s="1" t="n">
        <v>45925</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30648-2025</t>
        </is>
      </c>
      <c r="B942" s="1" t="n">
        <v>45831</v>
      </c>
      <c r="C942" s="1" t="n">
        <v>45925</v>
      </c>
      <c r="D942" t="inlineStr">
        <is>
          <t>KALMAR LÄN</t>
        </is>
      </c>
      <c r="E942" t="inlineStr">
        <is>
          <t>VÄSTERVIK</t>
        </is>
      </c>
      <c r="G942" t="n">
        <v>3</v>
      </c>
      <c r="H942" t="n">
        <v>0</v>
      </c>
      <c r="I942" t="n">
        <v>0</v>
      </c>
      <c r="J942" t="n">
        <v>0</v>
      </c>
      <c r="K942" t="n">
        <v>0</v>
      </c>
      <c r="L942" t="n">
        <v>0</v>
      </c>
      <c r="M942" t="n">
        <v>0</v>
      </c>
      <c r="N942" t="n">
        <v>0</v>
      </c>
      <c r="O942" t="n">
        <v>0</v>
      </c>
      <c r="P942" t="n">
        <v>0</v>
      </c>
      <c r="Q942" t="n">
        <v>0</v>
      </c>
      <c r="R942" s="2" t="inlineStr"/>
    </row>
    <row r="943" ht="15" customHeight="1">
      <c r="A943" t="inlineStr">
        <is>
          <t>A 31576-2025</t>
        </is>
      </c>
      <c r="B943" s="1" t="n">
        <v>45833.67266203704</v>
      </c>
      <c r="C943" s="1" t="n">
        <v>45925</v>
      </c>
      <c r="D943" t="inlineStr">
        <is>
          <t>KALMAR LÄN</t>
        </is>
      </c>
      <c r="E943" t="inlineStr">
        <is>
          <t>VÄSTERVIK</t>
        </is>
      </c>
      <c r="F943" t="inlineStr">
        <is>
          <t>Holmen skog AB</t>
        </is>
      </c>
      <c r="G943" t="n">
        <v>3.5</v>
      </c>
      <c r="H943" t="n">
        <v>0</v>
      </c>
      <c r="I943" t="n">
        <v>0</v>
      </c>
      <c r="J943" t="n">
        <v>0</v>
      </c>
      <c r="K943" t="n">
        <v>0</v>
      </c>
      <c r="L943" t="n">
        <v>0</v>
      </c>
      <c r="M943" t="n">
        <v>0</v>
      </c>
      <c r="N943" t="n">
        <v>0</v>
      </c>
      <c r="O943" t="n">
        <v>0</v>
      </c>
      <c r="P943" t="n">
        <v>0</v>
      </c>
      <c r="Q943" t="n">
        <v>0</v>
      </c>
      <c r="R943" s="2" t="inlineStr"/>
    </row>
    <row r="944" ht="15" customHeight="1">
      <c r="A944" t="inlineStr">
        <is>
          <t>A 31826-2025</t>
        </is>
      </c>
      <c r="B944" s="1" t="n">
        <v>45834.58306712963</v>
      </c>
      <c r="C944" s="1" t="n">
        <v>45925</v>
      </c>
      <c r="D944" t="inlineStr">
        <is>
          <t>KALMAR LÄN</t>
        </is>
      </c>
      <c r="E944" t="inlineStr">
        <is>
          <t>VÄSTERVIK</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31843-2025</t>
        </is>
      </c>
      <c r="B945" s="1" t="n">
        <v>45834.5984375</v>
      </c>
      <c r="C945" s="1" t="n">
        <v>45925</v>
      </c>
      <c r="D945" t="inlineStr">
        <is>
          <t>KALMAR LÄN</t>
        </is>
      </c>
      <c r="E945" t="inlineStr">
        <is>
          <t>VÄSTERVIK</t>
        </is>
      </c>
      <c r="F945" t="inlineStr">
        <is>
          <t>Holmen skog AB</t>
        </is>
      </c>
      <c r="G945" t="n">
        <v>4.5</v>
      </c>
      <c r="H945" t="n">
        <v>0</v>
      </c>
      <c r="I945" t="n">
        <v>0</v>
      </c>
      <c r="J945" t="n">
        <v>0</v>
      </c>
      <c r="K945" t="n">
        <v>0</v>
      </c>
      <c r="L945" t="n">
        <v>0</v>
      </c>
      <c r="M945" t="n">
        <v>0</v>
      </c>
      <c r="N945" t="n">
        <v>0</v>
      </c>
      <c r="O945" t="n">
        <v>0</v>
      </c>
      <c r="P945" t="n">
        <v>0</v>
      </c>
      <c r="Q945" t="n">
        <v>0</v>
      </c>
      <c r="R945" s="2" t="inlineStr"/>
    </row>
    <row r="946" ht="15" customHeight="1">
      <c r="A946" t="inlineStr">
        <is>
          <t>A 31857-2025</t>
        </is>
      </c>
      <c r="B946" s="1" t="n">
        <v>45834.62629629629</v>
      </c>
      <c r="C946" s="1" t="n">
        <v>45925</v>
      </c>
      <c r="D946" t="inlineStr">
        <is>
          <t>KALMAR LÄN</t>
        </is>
      </c>
      <c r="E946" t="inlineStr">
        <is>
          <t>VÄSTERVIK</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31419-2025</t>
        </is>
      </c>
      <c r="B947" s="1" t="n">
        <v>45833.48370370371</v>
      </c>
      <c r="C947" s="1" t="n">
        <v>45925</v>
      </c>
      <c r="D947" t="inlineStr">
        <is>
          <t>KALMAR LÄN</t>
        </is>
      </c>
      <c r="E947" t="inlineStr">
        <is>
          <t>VÄSTERVIK</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35960-2023</t>
        </is>
      </c>
      <c r="B948" s="1" t="n">
        <v>45148.84990740741</v>
      </c>
      <c r="C948" s="1" t="n">
        <v>45925</v>
      </c>
      <c r="D948" t="inlineStr">
        <is>
          <t>KALMAR LÄN</t>
        </is>
      </c>
      <c r="E948" t="inlineStr">
        <is>
          <t>VÄSTERVIK</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35962-2023</t>
        </is>
      </c>
      <c r="B949" s="1" t="n">
        <v>45148</v>
      </c>
      <c r="C949" s="1" t="n">
        <v>45925</v>
      </c>
      <c r="D949" t="inlineStr">
        <is>
          <t>KALMAR LÄN</t>
        </is>
      </c>
      <c r="E949" t="inlineStr">
        <is>
          <t>VÄSTERVIK</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23706-2025</t>
        </is>
      </c>
      <c r="B950" s="1" t="n">
        <v>45793.36922453704</v>
      </c>
      <c r="C950" s="1" t="n">
        <v>45925</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10441-2022</t>
        </is>
      </c>
      <c r="B951" s="1" t="n">
        <v>44623</v>
      </c>
      <c r="C951" s="1" t="n">
        <v>45925</v>
      </c>
      <c r="D951" t="inlineStr">
        <is>
          <t>KALMAR LÄN</t>
        </is>
      </c>
      <c r="E951" t="inlineStr">
        <is>
          <t>VÄSTERVIK</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31886-2025</t>
        </is>
      </c>
      <c r="B952" s="1" t="n">
        <v>45834.65864583333</v>
      </c>
      <c r="C952" s="1" t="n">
        <v>45925</v>
      </c>
      <c r="D952" t="inlineStr">
        <is>
          <t>KALMAR LÄN</t>
        </is>
      </c>
      <c r="E952" t="inlineStr">
        <is>
          <t>VÄSTERVIK</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11988-2022</t>
        </is>
      </c>
      <c r="B953" s="1" t="n">
        <v>44635.68771990741</v>
      </c>
      <c r="C953" s="1" t="n">
        <v>45925</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31600-2025</t>
        </is>
      </c>
      <c r="B954" s="1" t="n">
        <v>45833.72505787037</v>
      </c>
      <c r="C954" s="1" t="n">
        <v>45925</v>
      </c>
      <c r="D954" t="inlineStr">
        <is>
          <t>KALMAR LÄN</t>
        </is>
      </c>
      <c r="E954" t="inlineStr">
        <is>
          <t>VÄSTERVIK</t>
        </is>
      </c>
      <c r="F954" t="inlineStr">
        <is>
          <t>Holmen skog AB</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55866-2023</t>
        </is>
      </c>
      <c r="B955" s="1" t="n">
        <v>45239</v>
      </c>
      <c r="C955" s="1" t="n">
        <v>45925</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32018-2025</t>
        </is>
      </c>
      <c r="B956" s="1" t="n">
        <v>45835.40452546296</v>
      </c>
      <c r="C956" s="1" t="n">
        <v>45925</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35770-2023</t>
        </is>
      </c>
      <c r="B957" s="1" t="n">
        <v>45147</v>
      </c>
      <c r="C957" s="1" t="n">
        <v>45925</v>
      </c>
      <c r="D957" t="inlineStr">
        <is>
          <t>KALMAR LÄN</t>
        </is>
      </c>
      <c r="E957" t="inlineStr">
        <is>
          <t>VÄSTERVIK</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32495-2025</t>
        </is>
      </c>
      <c r="B958" s="1" t="n">
        <v>45838.4546875</v>
      </c>
      <c r="C958" s="1" t="n">
        <v>45925</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32778-2025</t>
        </is>
      </c>
      <c r="B959" s="1" t="n">
        <v>45839.46924768519</v>
      </c>
      <c r="C959" s="1" t="n">
        <v>45925</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36643-2023</t>
        </is>
      </c>
      <c r="B960" s="1" t="n">
        <v>45153</v>
      </c>
      <c r="C960" s="1" t="n">
        <v>45925</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54784-2023</t>
        </is>
      </c>
      <c r="B961" s="1" t="n">
        <v>45236.4803587963</v>
      </c>
      <c r="C961" s="1" t="n">
        <v>45925</v>
      </c>
      <c r="D961" t="inlineStr">
        <is>
          <t>KALMAR LÄN</t>
        </is>
      </c>
      <c r="E961" t="inlineStr">
        <is>
          <t>VÄSTERVIK</t>
        </is>
      </c>
      <c r="G961" t="n">
        <v>1.3</v>
      </c>
      <c r="H961" t="n">
        <v>0</v>
      </c>
      <c r="I961" t="n">
        <v>0</v>
      </c>
      <c r="J961" t="n">
        <v>0</v>
      </c>
      <c r="K961" t="n">
        <v>0</v>
      </c>
      <c r="L961" t="n">
        <v>0</v>
      </c>
      <c r="M961" t="n">
        <v>0</v>
      </c>
      <c r="N961" t="n">
        <v>0</v>
      </c>
      <c r="O961" t="n">
        <v>0</v>
      </c>
      <c r="P961" t="n">
        <v>0</v>
      </c>
      <c r="Q961" t="n">
        <v>0</v>
      </c>
      <c r="R961" s="2" t="inlineStr"/>
    </row>
    <row r="962" ht="15" customHeight="1">
      <c r="A962" t="inlineStr">
        <is>
          <t>A 67133-2020</t>
        </is>
      </c>
      <c r="B962" s="1" t="n">
        <v>44180</v>
      </c>
      <c r="C962" s="1" t="n">
        <v>45925</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49507-2023</t>
        </is>
      </c>
      <c r="B963" s="1" t="n">
        <v>45211.5790625</v>
      </c>
      <c r="C963" s="1" t="n">
        <v>45925</v>
      </c>
      <c r="D963" t="inlineStr">
        <is>
          <t>KALMAR LÄN</t>
        </is>
      </c>
      <c r="E963" t="inlineStr">
        <is>
          <t>VÄSTERVIK</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32400-2025</t>
        </is>
      </c>
      <c r="B964" s="1" t="n">
        <v>45838.25818287037</v>
      </c>
      <c r="C964" s="1" t="n">
        <v>45925</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33922-2025</t>
        </is>
      </c>
      <c r="B965" s="1" t="n">
        <v>45842.61993055556</v>
      </c>
      <c r="C965" s="1" t="n">
        <v>45925</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33928-2025</t>
        </is>
      </c>
      <c r="B966" s="1" t="n">
        <v>45842.62488425926</v>
      </c>
      <c r="C966" s="1" t="n">
        <v>45925</v>
      </c>
      <c r="D966" t="inlineStr">
        <is>
          <t>KALMAR LÄN</t>
        </is>
      </c>
      <c r="E966" t="inlineStr">
        <is>
          <t>VÄSTERVIK</t>
        </is>
      </c>
      <c r="G966" t="n">
        <v>2.4</v>
      </c>
      <c r="H966" t="n">
        <v>0</v>
      </c>
      <c r="I966" t="n">
        <v>0</v>
      </c>
      <c r="J966" t="n">
        <v>0</v>
      </c>
      <c r="K966" t="n">
        <v>0</v>
      </c>
      <c r="L966" t="n">
        <v>0</v>
      </c>
      <c r="M966" t="n">
        <v>0</v>
      </c>
      <c r="N966" t="n">
        <v>0</v>
      </c>
      <c r="O966" t="n">
        <v>0</v>
      </c>
      <c r="P966" t="n">
        <v>0</v>
      </c>
      <c r="Q966" t="n">
        <v>0</v>
      </c>
      <c r="R966" s="2" t="inlineStr"/>
    </row>
    <row r="967" ht="15" customHeight="1">
      <c r="A967" t="inlineStr">
        <is>
          <t>A 58703-2023</t>
        </is>
      </c>
      <c r="B967" s="1" t="n">
        <v>45251</v>
      </c>
      <c r="C967" s="1" t="n">
        <v>45925</v>
      </c>
      <c r="D967" t="inlineStr">
        <is>
          <t>KALMAR LÄN</t>
        </is>
      </c>
      <c r="E967" t="inlineStr">
        <is>
          <t>VÄSTERVIK</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33903-2025</t>
        </is>
      </c>
      <c r="B968" s="1" t="n">
        <v>45842.59581018519</v>
      </c>
      <c r="C968" s="1" t="n">
        <v>45925</v>
      </c>
      <c r="D968" t="inlineStr">
        <is>
          <t>KALMAR LÄN</t>
        </is>
      </c>
      <c r="E968" t="inlineStr">
        <is>
          <t>VÄSTERVIK</t>
        </is>
      </c>
      <c r="G968" t="n">
        <v>3.7</v>
      </c>
      <c r="H968" t="n">
        <v>0</v>
      </c>
      <c r="I968" t="n">
        <v>0</v>
      </c>
      <c r="J968" t="n">
        <v>0</v>
      </c>
      <c r="K968" t="n">
        <v>0</v>
      </c>
      <c r="L968" t="n">
        <v>0</v>
      </c>
      <c r="M968" t="n">
        <v>0</v>
      </c>
      <c r="N968" t="n">
        <v>0</v>
      </c>
      <c r="O968" t="n">
        <v>0</v>
      </c>
      <c r="P968" t="n">
        <v>0</v>
      </c>
      <c r="Q968" t="n">
        <v>0</v>
      </c>
      <c r="R968" s="2" t="inlineStr"/>
    </row>
    <row r="969" ht="15" customHeight="1">
      <c r="A969" t="inlineStr">
        <is>
          <t>A 33924-2025</t>
        </is>
      </c>
      <c r="B969" s="1" t="n">
        <v>45842.62152777778</v>
      </c>
      <c r="C969" s="1" t="n">
        <v>45925</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16395-2024</t>
        </is>
      </c>
      <c r="B970" s="1" t="n">
        <v>45407.62733796296</v>
      </c>
      <c r="C970" s="1" t="n">
        <v>45925</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c r="U970">
        <f>HYPERLINK("https://klasma.github.io/Logging_0883/knärot/A 16395-2024 karta knärot.png", "A 16395-2024")</f>
        <v/>
      </c>
      <c r="V970">
        <f>HYPERLINK("https://klasma.github.io/Logging_0883/klagomål/A 16395-2024 FSC-klagomål.docx", "A 16395-2024")</f>
        <v/>
      </c>
      <c r="W970">
        <f>HYPERLINK("https://klasma.github.io/Logging_0883/klagomålsmail/A 16395-2024 FSC-klagomål mail.docx", "A 16395-2024")</f>
        <v/>
      </c>
      <c r="X970">
        <f>HYPERLINK("https://klasma.github.io/Logging_0883/tillsyn/A 16395-2024 tillsynsbegäran.docx", "A 16395-2024")</f>
        <v/>
      </c>
      <c r="Y970">
        <f>HYPERLINK("https://klasma.github.io/Logging_0883/tillsynsmail/A 16395-2024 tillsynsbegäran mail.docx", "A 16395-2024")</f>
        <v/>
      </c>
    </row>
    <row r="971" ht="15" customHeight="1">
      <c r="A971" t="inlineStr">
        <is>
          <t>A 55958-2023</t>
        </is>
      </c>
      <c r="B971" s="1" t="n">
        <v>45240.34900462963</v>
      </c>
      <c r="C971" s="1" t="n">
        <v>45925</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33921-2025</t>
        </is>
      </c>
      <c r="B972" s="1" t="n">
        <v>45842.61626157408</v>
      </c>
      <c r="C972" s="1" t="n">
        <v>45925</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33842-2025</t>
        </is>
      </c>
      <c r="B973" s="1" t="n">
        <v>45842.48217592593</v>
      </c>
      <c r="C973" s="1" t="n">
        <v>45925</v>
      </c>
      <c r="D973" t="inlineStr">
        <is>
          <t>KALMAR LÄN</t>
        </is>
      </c>
      <c r="E973" t="inlineStr">
        <is>
          <t>VÄSTERVIK</t>
        </is>
      </c>
      <c r="G973" t="n">
        <v>2</v>
      </c>
      <c r="H973" t="n">
        <v>0</v>
      </c>
      <c r="I973" t="n">
        <v>0</v>
      </c>
      <c r="J973" t="n">
        <v>0</v>
      </c>
      <c r="K973" t="n">
        <v>0</v>
      </c>
      <c r="L973" t="n">
        <v>0</v>
      </c>
      <c r="M973" t="n">
        <v>0</v>
      </c>
      <c r="N973" t="n">
        <v>0</v>
      </c>
      <c r="O973" t="n">
        <v>0</v>
      </c>
      <c r="P973" t="n">
        <v>0</v>
      </c>
      <c r="Q973" t="n">
        <v>0</v>
      </c>
      <c r="R973" s="2" t="inlineStr"/>
    </row>
    <row r="974" ht="15" customHeight="1">
      <c r="A974" t="inlineStr">
        <is>
          <t>A 33931-2025</t>
        </is>
      </c>
      <c r="B974" s="1" t="n">
        <v>45842.63288194445</v>
      </c>
      <c r="C974" s="1" t="n">
        <v>45925</v>
      </c>
      <c r="D974" t="inlineStr">
        <is>
          <t>KALMAR LÄN</t>
        </is>
      </c>
      <c r="E974" t="inlineStr">
        <is>
          <t>VÄSTERVIK</t>
        </is>
      </c>
      <c r="G974" t="n">
        <v>1.6</v>
      </c>
      <c r="H974" t="n">
        <v>0</v>
      </c>
      <c r="I974" t="n">
        <v>0</v>
      </c>
      <c r="J974" t="n">
        <v>0</v>
      </c>
      <c r="K974" t="n">
        <v>0</v>
      </c>
      <c r="L974" t="n">
        <v>0</v>
      </c>
      <c r="M974" t="n">
        <v>0</v>
      </c>
      <c r="N974" t="n">
        <v>0</v>
      </c>
      <c r="O974" t="n">
        <v>0</v>
      </c>
      <c r="P974" t="n">
        <v>0</v>
      </c>
      <c r="Q974" t="n">
        <v>0</v>
      </c>
      <c r="R974" s="2" t="inlineStr"/>
    </row>
    <row r="975" ht="15" customHeight="1">
      <c r="A975" t="inlineStr">
        <is>
          <t>A 33907-2025</t>
        </is>
      </c>
      <c r="B975" s="1" t="n">
        <v>45842.59880787037</v>
      </c>
      <c r="C975" s="1" t="n">
        <v>45925</v>
      </c>
      <c r="D975" t="inlineStr">
        <is>
          <t>KALMAR LÄN</t>
        </is>
      </c>
      <c r="E975" t="inlineStr">
        <is>
          <t>VÄSTERVIK</t>
        </is>
      </c>
      <c r="G975" t="n">
        <v>3.1</v>
      </c>
      <c r="H975" t="n">
        <v>0</v>
      </c>
      <c r="I975" t="n">
        <v>0</v>
      </c>
      <c r="J975" t="n">
        <v>0</v>
      </c>
      <c r="K975" t="n">
        <v>0</v>
      </c>
      <c r="L975" t="n">
        <v>0</v>
      </c>
      <c r="M975" t="n">
        <v>0</v>
      </c>
      <c r="N975" t="n">
        <v>0</v>
      </c>
      <c r="O975" t="n">
        <v>0</v>
      </c>
      <c r="P975" t="n">
        <v>0</v>
      </c>
      <c r="Q975" t="n">
        <v>0</v>
      </c>
      <c r="R975" s="2" t="inlineStr"/>
    </row>
    <row r="976" ht="15" customHeight="1">
      <c r="A976" t="inlineStr">
        <is>
          <t>A 23024-2025</t>
        </is>
      </c>
      <c r="B976" s="1" t="n">
        <v>45790.65615740741</v>
      </c>
      <c r="C976" s="1" t="n">
        <v>45925</v>
      </c>
      <c r="D976" t="inlineStr">
        <is>
          <t>KALMAR LÄN</t>
        </is>
      </c>
      <c r="E976" t="inlineStr">
        <is>
          <t>VÄSTERVIK</t>
        </is>
      </c>
      <c r="G976" t="n">
        <v>1.7</v>
      </c>
      <c r="H976" t="n">
        <v>0</v>
      </c>
      <c r="I976" t="n">
        <v>0</v>
      </c>
      <c r="J976" t="n">
        <v>0</v>
      </c>
      <c r="K976" t="n">
        <v>0</v>
      </c>
      <c r="L976" t="n">
        <v>0</v>
      </c>
      <c r="M976" t="n">
        <v>0</v>
      </c>
      <c r="N976" t="n">
        <v>0</v>
      </c>
      <c r="O976" t="n">
        <v>0</v>
      </c>
      <c r="P976" t="n">
        <v>0</v>
      </c>
      <c r="Q976" t="n">
        <v>0</v>
      </c>
      <c r="R976" s="2" t="inlineStr"/>
    </row>
    <row r="977" ht="15" customHeight="1">
      <c r="A977" t="inlineStr">
        <is>
          <t>A 34162-2025</t>
        </is>
      </c>
      <c r="B977" s="1" t="n">
        <v>45845.57983796296</v>
      </c>
      <c r="C977" s="1" t="n">
        <v>45925</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34289-2025</t>
        </is>
      </c>
      <c r="B978" s="1" t="n">
        <v>45846.334375</v>
      </c>
      <c r="C978" s="1" t="n">
        <v>45925</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10774-2025</t>
        </is>
      </c>
      <c r="B979" s="1" t="n">
        <v>45722.47424768518</v>
      </c>
      <c r="C979" s="1" t="n">
        <v>45925</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40977-2023</t>
        </is>
      </c>
      <c r="B980" s="1" t="n">
        <v>45173</v>
      </c>
      <c r="C980" s="1" t="n">
        <v>45925</v>
      </c>
      <c r="D980" t="inlineStr">
        <is>
          <t>KALMAR LÄN</t>
        </is>
      </c>
      <c r="E980" t="inlineStr">
        <is>
          <t>VÄSTERVIK</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23743-2022</t>
        </is>
      </c>
      <c r="B981" s="1" t="n">
        <v>44722.35611111111</v>
      </c>
      <c r="C981" s="1" t="n">
        <v>45925</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34397-2025</t>
        </is>
      </c>
      <c r="B982" s="1" t="n">
        <v>45846.59813657407</v>
      </c>
      <c r="C982" s="1" t="n">
        <v>45925</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34160-2025</t>
        </is>
      </c>
      <c r="B983" s="1" t="n">
        <v>45845.57701388889</v>
      </c>
      <c r="C983" s="1" t="n">
        <v>45925</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34171-2025</t>
        </is>
      </c>
      <c r="B984" s="1" t="n">
        <v>45845.58966435185</v>
      </c>
      <c r="C984" s="1" t="n">
        <v>45925</v>
      </c>
      <c r="D984" t="inlineStr">
        <is>
          <t>KALMAR LÄN</t>
        </is>
      </c>
      <c r="E984" t="inlineStr">
        <is>
          <t>VÄSTERVIK</t>
        </is>
      </c>
      <c r="G984" t="n">
        <v>1.6</v>
      </c>
      <c r="H984" t="n">
        <v>0</v>
      </c>
      <c r="I984" t="n">
        <v>0</v>
      </c>
      <c r="J984" t="n">
        <v>0</v>
      </c>
      <c r="K984" t="n">
        <v>0</v>
      </c>
      <c r="L984" t="n">
        <v>0</v>
      </c>
      <c r="M984" t="n">
        <v>0</v>
      </c>
      <c r="N984" t="n">
        <v>0</v>
      </c>
      <c r="O984" t="n">
        <v>0</v>
      </c>
      <c r="P984" t="n">
        <v>0</v>
      </c>
      <c r="Q984" t="n">
        <v>0</v>
      </c>
      <c r="R984" s="2" t="inlineStr"/>
    </row>
    <row r="985" ht="15" customHeight="1">
      <c r="A985" t="inlineStr">
        <is>
          <t>A 38442-2025</t>
        </is>
      </c>
      <c r="B985" s="1" t="n">
        <v>45883</v>
      </c>
      <c r="C985" s="1" t="n">
        <v>45925</v>
      </c>
      <c r="D985" t="inlineStr">
        <is>
          <t>KALMAR LÄN</t>
        </is>
      </c>
      <c r="E985" t="inlineStr">
        <is>
          <t>VÄSTERVIK</t>
        </is>
      </c>
      <c r="G985" t="n">
        <v>3.5</v>
      </c>
      <c r="H985" t="n">
        <v>0</v>
      </c>
      <c r="I985" t="n">
        <v>0</v>
      </c>
      <c r="J985" t="n">
        <v>0</v>
      </c>
      <c r="K985" t="n">
        <v>0</v>
      </c>
      <c r="L985" t="n">
        <v>0</v>
      </c>
      <c r="M985" t="n">
        <v>0</v>
      </c>
      <c r="N985" t="n">
        <v>0</v>
      </c>
      <c r="O985" t="n">
        <v>0</v>
      </c>
      <c r="P985" t="n">
        <v>0</v>
      </c>
      <c r="Q985" t="n">
        <v>0</v>
      </c>
      <c r="R985" s="2" t="inlineStr"/>
    </row>
    <row r="986" ht="15" customHeight="1">
      <c r="A986" t="inlineStr">
        <is>
          <t>A 37642-2023</t>
        </is>
      </c>
      <c r="B986" s="1" t="n">
        <v>45159.47940972223</v>
      </c>
      <c r="C986" s="1" t="n">
        <v>45925</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54951-2023</t>
        </is>
      </c>
      <c r="B987" s="1" t="n">
        <v>45236.82902777778</v>
      </c>
      <c r="C987" s="1" t="n">
        <v>45925</v>
      </c>
      <c r="D987" t="inlineStr">
        <is>
          <t>KALMAR LÄN</t>
        </is>
      </c>
      <c r="E987" t="inlineStr">
        <is>
          <t>VÄSTERVIK</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52049-2023</t>
        </is>
      </c>
      <c r="B988" s="1" t="n">
        <v>45216</v>
      </c>
      <c r="C988" s="1" t="n">
        <v>45925</v>
      </c>
      <c r="D988" t="inlineStr">
        <is>
          <t>KALMAR LÄN</t>
        </is>
      </c>
      <c r="E988" t="inlineStr">
        <is>
          <t>VÄSTERVIK</t>
        </is>
      </c>
      <c r="G988" t="n">
        <v>4.4</v>
      </c>
      <c r="H988" t="n">
        <v>0</v>
      </c>
      <c r="I988" t="n">
        <v>0</v>
      </c>
      <c r="J988" t="n">
        <v>0</v>
      </c>
      <c r="K988" t="n">
        <v>0</v>
      </c>
      <c r="L988" t="n">
        <v>0</v>
      </c>
      <c r="M988" t="n">
        <v>0</v>
      </c>
      <c r="N988" t="n">
        <v>0</v>
      </c>
      <c r="O988" t="n">
        <v>0</v>
      </c>
      <c r="P988" t="n">
        <v>0</v>
      </c>
      <c r="Q988" t="n">
        <v>0</v>
      </c>
      <c r="R988" s="2" t="inlineStr"/>
    </row>
    <row r="989" ht="15" customHeight="1">
      <c r="A989" t="inlineStr">
        <is>
          <t>A 34617-2025</t>
        </is>
      </c>
      <c r="B989" s="1" t="n">
        <v>45847</v>
      </c>
      <c r="C989" s="1" t="n">
        <v>45925</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34618-2025</t>
        </is>
      </c>
      <c r="B990" s="1" t="n">
        <v>45847</v>
      </c>
      <c r="C990" s="1" t="n">
        <v>45925</v>
      </c>
      <c r="D990" t="inlineStr">
        <is>
          <t>KALMAR LÄN</t>
        </is>
      </c>
      <c r="E990" t="inlineStr">
        <is>
          <t>VÄSTERVIK</t>
        </is>
      </c>
      <c r="G990" t="n">
        <v>2.6</v>
      </c>
      <c r="H990" t="n">
        <v>0</v>
      </c>
      <c r="I990" t="n">
        <v>0</v>
      </c>
      <c r="J990" t="n">
        <v>0</v>
      </c>
      <c r="K990" t="n">
        <v>0</v>
      </c>
      <c r="L990" t="n">
        <v>0</v>
      </c>
      <c r="M990" t="n">
        <v>0</v>
      </c>
      <c r="N990" t="n">
        <v>0</v>
      </c>
      <c r="O990" t="n">
        <v>0</v>
      </c>
      <c r="P990" t="n">
        <v>0</v>
      </c>
      <c r="Q990" t="n">
        <v>0</v>
      </c>
      <c r="R990" s="2" t="inlineStr"/>
    </row>
    <row r="991" ht="15" customHeight="1">
      <c r="A991" t="inlineStr">
        <is>
          <t>A 34639-2025</t>
        </is>
      </c>
      <c r="B991" s="1" t="n">
        <v>45848</v>
      </c>
      <c r="C991" s="1" t="n">
        <v>45925</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39425-2025</t>
        </is>
      </c>
      <c r="B992" s="1" t="n">
        <v>45889.67297453704</v>
      </c>
      <c r="C992" s="1" t="n">
        <v>45925</v>
      </c>
      <c r="D992" t="inlineStr">
        <is>
          <t>KALMAR LÄN</t>
        </is>
      </c>
      <c r="E992" t="inlineStr">
        <is>
          <t>VÄSTERVIK</t>
        </is>
      </c>
      <c r="G992" t="n">
        <v>6.7</v>
      </c>
      <c r="H992" t="n">
        <v>0</v>
      </c>
      <c r="I992" t="n">
        <v>0</v>
      </c>
      <c r="J992" t="n">
        <v>0</v>
      </c>
      <c r="K992" t="n">
        <v>0</v>
      </c>
      <c r="L992" t="n">
        <v>0</v>
      </c>
      <c r="M992" t="n">
        <v>0</v>
      </c>
      <c r="N992" t="n">
        <v>0</v>
      </c>
      <c r="O992" t="n">
        <v>0</v>
      </c>
      <c r="P992" t="n">
        <v>0</v>
      </c>
      <c r="Q992" t="n">
        <v>0</v>
      </c>
      <c r="R992" s="2" t="inlineStr"/>
    </row>
    <row r="993" ht="15" customHeight="1">
      <c r="A993" t="inlineStr">
        <is>
          <t>A 39430-2025</t>
        </is>
      </c>
      <c r="B993" s="1" t="n">
        <v>45889.67606481481</v>
      </c>
      <c r="C993" s="1" t="n">
        <v>45925</v>
      </c>
      <c r="D993" t="inlineStr">
        <is>
          <t>KALMAR LÄN</t>
        </is>
      </c>
      <c r="E993" t="inlineStr">
        <is>
          <t>VÄSTERVIK</t>
        </is>
      </c>
      <c r="G993" t="n">
        <v>2.7</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45925</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34531-2025</t>
        </is>
      </c>
      <c r="B995" s="1" t="n">
        <v>45847.50152777778</v>
      </c>
      <c r="C995" s="1" t="n">
        <v>45925</v>
      </c>
      <c r="D995" t="inlineStr">
        <is>
          <t>KALMAR LÄN</t>
        </is>
      </c>
      <c r="E995" t="inlineStr">
        <is>
          <t>VÄSTERVIK</t>
        </is>
      </c>
      <c r="G995" t="n">
        <v>1.3</v>
      </c>
      <c r="H995" t="n">
        <v>0</v>
      </c>
      <c r="I995" t="n">
        <v>0</v>
      </c>
      <c r="J995" t="n">
        <v>0</v>
      </c>
      <c r="K995" t="n">
        <v>0</v>
      </c>
      <c r="L995" t="n">
        <v>0</v>
      </c>
      <c r="M995" t="n">
        <v>0</v>
      </c>
      <c r="N995" t="n">
        <v>0</v>
      </c>
      <c r="O995" t="n">
        <v>0</v>
      </c>
      <c r="P995" t="n">
        <v>0</v>
      </c>
      <c r="Q995" t="n">
        <v>0</v>
      </c>
      <c r="R995" s="2" t="inlineStr"/>
    </row>
    <row r="996" ht="15" customHeight="1">
      <c r="A996" t="inlineStr">
        <is>
          <t>A 61556-2023</t>
        </is>
      </c>
      <c r="B996" s="1" t="n">
        <v>45261</v>
      </c>
      <c r="C996" s="1" t="n">
        <v>45925</v>
      </c>
      <c r="D996" t="inlineStr">
        <is>
          <t>KALMAR LÄN</t>
        </is>
      </c>
      <c r="E996" t="inlineStr">
        <is>
          <t>VÄSTERVIK</t>
        </is>
      </c>
      <c r="F996" t="inlineStr">
        <is>
          <t>Övriga Aktiebolag</t>
        </is>
      </c>
      <c r="G996" t="n">
        <v>13.9</v>
      </c>
      <c r="H996" t="n">
        <v>0</v>
      </c>
      <c r="I996" t="n">
        <v>0</v>
      </c>
      <c r="J996" t="n">
        <v>0</v>
      </c>
      <c r="K996" t="n">
        <v>0</v>
      </c>
      <c r="L996" t="n">
        <v>0</v>
      </c>
      <c r="M996" t="n">
        <v>0</v>
      </c>
      <c r="N996" t="n">
        <v>0</v>
      </c>
      <c r="O996" t="n">
        <v>0</v>
      </c>
      <c r="P996" t="n">
        <v>0</v>
      </c>
      <c r="Q996" t="n">
        <v>0</v>
      </c>
      <c r="R996" s="2" t="inlineStr"/>
    </row>
    <row r="997" ht="15" customHeight="1">
      <c r="A997" t="inlineStr">
        <is>
          <t>A 34619-2025</t>
        </is>
      </c>
      <c r="B997" s="1" t="n">
        <v>45847</v>
      </c>
      <c r="C997" s="1" t="n">
        <v>45925</v>
      </c>
      <c r="D997" t="inlineStr">
        <is>
          <t>KALMAR LÄN</t>
        </is>
      </c>
      <c r="E997" t="inlineStr">
        <is>
          <t>VÄSTERVIK</t>
        </is>
      </c>
      <c r="G997" t="n">
        <v>3</v>
      </c>
      <c r="H997" t="n">
        <v>0</v>
      </c>
      <c r="I997" t="n">
        <v>0</v>
      </c>
      <c r="J997" t="n">
        <v>0</v>
      </c>
      <c r="K997" t="n">
        <v>0</v>
      </c>
      <c r="L997" t="n">
        <v>0</v>
      </c>
      <c r="M997" t="n">
        <v>0</v>
      </c>
      <c r="N997" t="n">
        <v>0</v>
      </c>
      <c r="O997" t="n">
        <v>0</v>
      </c>
      <c r="P997" t="n">
        <v>0</v>
      </c>
      <c r="Q997" t="n">
        <v>0</v>
      </c>
      <c r="R997" s="2" t="inlineStr"/>
    </row>
    <row r="998" ht="15" customHeight="1">
      <c r="A998" t="inlineStr">
        <is>
          <t>A 39442-2025</t>
        </is>
      </c>
      <c r="B998" s="1" t="n">
        <v>45889.6947337963</v>
      </c>
      <c r="C998" s="1" t="n">
        <v>45925</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34643-2025</t>
        </is>
      </c>
      <c r="B999" s="1" t="n">
        <v>45848.32959490741</v>
      </c>
      <c r="C999" s="1" t="n">
        <v>45925</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34420-2024</t>
        </is>
      </c>
      <c r="B1000" s="1" t="n">
        <v>45525.49710648148</v>
      </c>
      <c r="C1000" s="1" t="n">
        <v>45925</v>
      </c>
      <c r="D1000" t="inlineStr">
        <is>
          <t>KALMAR LÄN</t>
        </is>
      </c>
      <c r="E1000" t="inlineStr">
        <is>
          <t>VÄSTERVIK</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63018-2023</t>
        </is>
      </c>
      <c r="B1001" s="1" t="n">
        <v>45272</v>
      </c>
      <c r="C1001" s="1" t="n">
        <v>45925</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3467-2025</t>
        </is>
      </c>
      <c r="B1002" s="1" t="n">
        <v>45680.50885416667</v>
      </c>
      <c r="C1002" s="1" t="n">
        <v>45925</v>
      </c>
      <c r="D1002" t="inlineStr">
        <is>
          <t>KALMAR LÄN</t>
        </is>
      </c>
      <c r="E1002" t="inlineStr">
        <is>
          <t>VÄSTERVIK</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6021-2024</t>
        </is>
      </c>
      <c r="B1003" s="1" t="n">
        <v>45336.62131944444</v>
      </c>
      <c r="C1003" s="1" t="n">
        <v>45925</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55287-2023</t>
        </is>
      </c>
      <c r="B1004" s="1" t="n">
        <v>45237.75578703704</v>
      </c>
      <c r="C1004" s="1" t="n">
        <v>45925</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2168-2024</t>
        </is>
      </c>
      <c r="B1005" s="1" t="n">
        <v>45309.61756944445</v>
      </c>
      <c r="C1005" s="1" t="n">
        <v>45925</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10688-2024</t>
        </is>
      </c>
      <c r="B1006" s="1" t="n">
        <v>45369.39894675926</v>
      </c>
      <c r="C1006" s="1" t="n">
        <v>45925</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37936-2022</t>
        </is>
      </c>
      <c r="B1007" s="1" t="n">
        <v>44811.46958333333</v>
      </c>
      <c r="C1007" s="1" t="n">
        <v>45925</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55289-2023</t>
        </is>
      </c>
      <c r="B1008" s="1" t="n">
        <v>45237.76106481482</v>
      </c>
      <c r="C1008" s="1" t="n">
        <v>45925</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33207-2022</t>
        </is>
      </c>
      <c r="B1009" s="1" t="n">
        <v>44785.72373842593</v>
      </c>
      <c r="C1009" s="1" t="n">
        <v>45925</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33210-2022</t>
        </is>
      </c>
      <c r="B1010" s="1" t="n">
        <v>44785.74811342593</v>
      </c>
      <c r="C1010" s="1" t="n">
        <v>45925</v>
      </c>
      <c r="D1010" t="inlineStr">
        <is>
          <t>KALMAR LÄN</t>
        </is>
      </c>
      <c r="E1010" t="inlineStr">
        <is>
          <t>VÄSTERVIK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10515-2024</t>
        </is>
      </c>
      <c r="B1011" s="1" t="n">
        <v>45366</v>
      </c>
      <c r="C1011" s="1" t="n">
        <v>45925</v>
      </c>
      <c r="D1011" t="inlineStr">
        <is>
          <t>KALMAR LÄN</t>
        </is>
      </c>
      <c r="E1011" t="inlineStr">
        <is>
          <t>VÄSTERVIK</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46088-2023</t>
        </is>
      </c>
      <c r="B1012" s="1" t="n">
        <v>45196.50065972222</v>
      </c>
      <c r="C1012" s="1" t="n">
        <v>45925</v>
      </c>
      <c r="D1012" t="inlineStr">
        <is>
          <t>KALMAR LÄN</t>
        </is>
      </c>
      <c r="E1012" t="inlineStr">
        <is>
          <t>VÄSTERVIK</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46121-2023</t>
        </is>
      </c>
      <c r="B1013" s="1" t="n">
        <v>45196.55392361111</v>
      </c>
      <c r="C1013" s="1" t="n">
        <v>45925</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61450-2023</t>
        </is>
      </c>
      <c r="B1014" s="1" t="n">
        <v>45264.8162037037</v>
      </c>
      <c r="C1014" s="1" t="n">
        <v>45925</v>
      </c>
      <c r="D1014" t="inlineStr">
        <is>
          <t>KALMAR LÄN</t>
        </is>
      </c>
      <c r="E1014" t="inlineStr">
        <is>
          <t>VÄSTERVIK</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56033-2023</t>
        </is>
      </c>
      <c r="B1015" s="1" t="n">
        <v>45240.43778935185</v>
      </c>
      <c r="C1015" s="1" t="n">
        <v>45925</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28404-2024</t>
        </is>
      </c>
      <c r="B1016" s="1" t="n">
        <v>45477.61552083334</v>
      </c>
      <c r="C1016" s="1" t="n">
        <v>45925</v>
      </c>
      <c r="D1016" t="inlineStr">
        <is>
          <t>KALMAR LÄN</t>
        </is>
      </c>
      <c r="E1016" t="inlineStr">
        <is>
          <t>VÄSTERVIK</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28415-2024</t>
        </is>
      </c>
      <c r="B1017" s="1" t="n">
        <v>45477.62924768519</v>
      </c>
      <c r="C1017" s="1" t="n">
        <v>45925</v>
      </c>
      <c r="D1017" t="inlineStr">
        <is>
          <t>KALMAR LÄN</t>
        </is>
      </c>
      <c r="E1017" t="inlineStr">
        <is>
          <t>VÄSTERVIK</t>
        </is>
      </c>
      <c r="F1017" t="inlineStr">
        <is>
          <t>Holmen skog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934-2024</t>
        </is>
      </c>
      <c r="B1018" s="1" t="n">
        <v>45301.51439814815</v>
      </c>
      <c r="C1018" s="1" t="n">
        <v>45925</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936-2024</t>
        </is>
      </c>
      <c r="B1019" s="1" t="n">
        <v>45301.51950231481</v>
      </c>
      <c r="C1019" s="1" t="n">
        <v>45925</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25434-2023</t>
        </is>
      </c>
      <c r="B1020" s="1" t="n">
        <v>45089.41912037037</v>
      </c>
      <c r="C1020" s="1" t="n">
        <v>45925</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18068-2023</t>
        </is>
      </c>
      <c r="B1021" s="1" t="n">
        <v>45040</v>
      </c>
      <c r="C1021" s="1" t="n">
        <v>45925</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45925</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33277-2023</t>
        </is>
      </c>
      <c r="B1023" s="1" t="n">
        <v>45114</v>
      </c>
      <c r="C1023" s="1" t="n">
        <v>45925</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c r="A1024" t="inlineStr">
        <is>
          <t>A 63890-2023</t>
        </is>
      </c>
      <c r="B1024" s="1" t="n">
        <v>45278</v>
      </c>
      <c r="C1024" s="1" t="n">
        <v>45925</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2025-09-25T10:39:47Z</dcterms:created>
  <dcterms:modified xmlns:dcterms="http://purl.org/dc/terms/" xmlns:xsi="http://www.w3.org/2001/XMLSchema-instance" xsi:type="dcterms:W3CDTF">2025-09-25T10:39:48Z</dcterms:modified>
</cp:coreProperties>
</file>