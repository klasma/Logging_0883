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45507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45507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45507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45507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45507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45507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45507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45507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45507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45507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45507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45507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45507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45507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45507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45507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45507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45507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45507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45507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45507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45507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45507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45507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45507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45507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45507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45507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45507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45507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45507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45507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45507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45507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45507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45507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45507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45507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27378-2024</t>
        </is>
      </c>
      <c r="B40" s="1" t="n">
        <v>45473</v>
      </c>
      <c r="C40" s="1" t="n">
        <v>45507</v>
      </c>
      <c r="D40" t="inlineStr">
        <is>
          <t>KALMAR LÄN</t>
        </is>
      </c>
      <c r="E40" t="inlineStr">
        <is>
          <t>VÄSTERVIK</t>
        </is>
      </c>
      <c r="G40" t="n">
        <v>3</v>
      </c>
      <c r="H40" t="n">
        <v>3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5</v>
      </c>
      <c r="R40" s="2" t="inlineStr">
        <is>
          <t>Knärot
Rotfingersvamp
Talltita
Blåmossa
Mattlummer</t>
        </is>
      </c>
      <c r="S40">
        <f>HYPERLINK("https://klasma.github.io/Logging_0883/artfynd/A 27378-2024 artfynd.xlsx", "A 27378-2024")</f>
        <v/>
      </c>
      <c r="T40">
        <f>HYPERLINK("https://klasma.github.io/Logging_0883/kartor/A 27378-2024 karta.png", "A 27378-2024")</f>
        <v/>
      </c>
      <c r="U40">
        <f>HYPERLINK("https://klasma.github.io/Logging_0883/knärot/A 27378-2024 karta knärot.png", "A 27378-2024")</f>
        <v/>
      </c>
      <c r="V40">
        <f>HYPERLINK("https://klasma.github.io/Logging_0883/klagomål/A 27378-2024 FSC-klagomål.docx", "A 27378-2024")</f>
        <v/>
      </c>
      <c r="W40">
        <f>HYPERLINK("https://klasma.github.io/Logging_0883/klagomålsmail/A 27378-2024 FSC-klagomål mail.docx", "A 27378-2024")</f>
        <v/>
      </c>
      <c r="X40">
        <f>HYPERLINK("https://klasma.github.io/Logging_0883/tillsyn/A 27378-2024 tillsynsbegäran.docx", "A 27378-2024")</f>
        <v/>
      </c>
      <c r="Y40">
        <f>HYPERLINK("https://klasma.github.io/Logging_0883/tillsynsmail/A 27378-2024 tillsynsbegäran mail.docx", "A 27378-2024")</f>
        <v/>
      </c>
      <c r="Z40">
        <f>HYPERLINK("https://klasma.github.io/Logging_0883/fåglar/A 27378-2024 prioriterade fågelarter.docx", "A 27378-2024")</f>
        <v/>
      </c>
    </row>
    <row r="41" ht="15" customHeight="1">
      <c r="A41" t="inlineStr">
        <is>
          <t>A 31431-2024</t>
        </is>
      </c>
      <c r="B41" s="1" t="n">
        <v>45505</v>
      </c>
      <c r="C41" s="1" t="n">
        <v>45507</v>
      </c>
      <c r="D41" t="inlineStr">
        <is>
          <t>KALMAR LÄN</t>
        </is>
      </c>
      <c r="E41" t="inlineStr">
        <is>
          <t>VÄSTERVIK</t>
        </is>
      </c>
      <c r="G41" t="n">
        <v>1.3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Ekticka
Skeppsvarvsfluga
Fällmossa
Myskmadra
Trädporella</t>
        </is>
      </c>
      <c r="S41">
        <f>HYPERLINK("https://klasma.github.io/Logging_0883/artfynd/A 31431-2024 artfynd.xlsx", "A 31431-2024")</f>
        <v/>
      </c>
      <c r="T41">
        <f>HYPERLINK("https://klasma.github.io/Logging_0883/kartor/A 31431-2024 karta.png", "A 31431-2024")</f>
        <v/>
      </c>
      <c r="V41">
        <f>HYPERLINK("https://klasma.github.io/Logging_0883/klagomål/A 31431-2024 FSC-klagomål.docx", "A 31431-2024")</f>
        <v/>
      </c>
      <c r="W41">
        <f>HYPERLINK("https://klasma.github.io/Logging_0883/klagomålsmail/A 31431-2024 FSC-klagomål mail.docx", "A 31431-2024")</f>
        <v/>
      </c>
      <c r="X41">
        <f>HYPERLINK("https://klasma.github.io/Logging_0883/tillsyn/A 31431-2024 tillsynsbegäran.docx", "A 31431-2024")</f>
        <v/>
      </c>
      <c r="Y41">
        <f>HYPERLINK("https://klasma.github.io/Logging_0883/tillsynsmail/A 31431-2024 tillsynsbegäran mail.docx", "A 31431-2024")</f>
        <v/>
      </c>
    </row>
    <row r="42" ht="15" customHeight="1">
      <c r="A42" t="inlineStr">
        <is>
          <t>A 43862-2019</t>
        </is>
      </c>
      <c r="B42" s="1" t="n">
        <v>43707</v>
      </c>
      <c r="C42" s="1" t="n">
        <v>45507</v>
      </c>
      <c r="D42" t="inlineStr">
        <is>
          <t>KALMAR LÄN</t>
        </is>
      </c>
      <c r="E42" t="inlineStr">
        <is>
          <t>VÄSTERVIK</t>
        </is>
      </c>
      <c r="G42" t="n">
        <v>3.8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Orange taggsvamp
Tallticka
Blomkålssvamp</t>
        </is>
      </c>
      <c r="S42">
        <f>HYPERLINK("https://klasma.github.io/Logging_0883/artfynd/A 43862-2019 artfynd.xlsx", "A 43862-2019")</f>
        <v/>
      </c>
      <c r="T42">
        <f>HYPERLINK("https://klasma.github.io/Logging_0883/kartor/A 43862-2019 karta.png", "A 43862-2019")</f>
        <v/>
      </c>
      <c r="U42">
        <f>HYPERLINK("https://klasma.github.io/Logging_0883/knärot/A 43862-2019 karta knärot.png", "A 43862-2019")</f>
        <v/>
      </c>
      <c r="V42">
        <f>HYPERLINK("https://klasma.github.io/Logging_0883/klagomål/A 43862-2019 FSC-klagomål.docx", "A 43862-2019")</f>
        <v/>
      </c>
      <c r="W42">
        <f>HYPERLINK("https://klasma.github.io/Logging_0883/klagomålsmail/A 43862-2019 FSC-klagomål mail.docx", "A 43862-2019")</f>
        <v/>
      </c>
      <c r="X42">
        <f>HYPERLINK("https://klasma.github.io/Logging_0883/tillsyn/A 43862-2019 tillsynsbegäran.docx", "A 43862-2019")</f>
        <v/>
      </c>
      <c r="Y42">
        <f>HYPERLINK("https://klasma.github.io/Logging_0883/tillsynsmail/A 43862-2019 tillsynsbegäran mail.docx", "A 43862-2019")</f>
        <v/>
      </c>
    </row>
    <row r="43" ht="15" customHeight="1">
      <c r="A43" t="inlineStr">
        <is>
          <t>A 3470-2020</t>
        </is>
      </c>
      <c r="B43" s="1" t="n">
        <v>43852</v>
      </c>
      <c r="C43" s="1" t="n">
        <v>45507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Gammelekslav
Gul dropplav
Hjälmbrosklav
Skuggorangelav</t>
        </is>
      </c>
      <c r="S43">
        <f>HYPERLINK("https://klasma.github.io/Logging_0883/artfynd/A 3470-2020 artfynd.xlsx", "A 3470-2020")</f>
        <v/>
      </c>
      <c r="T43">
        <f>HYPERLINK("https://klasma.github.io/Logging_0883/kartor/A 3470-2020 karta.png", "A 3470-2020")</f>
        <v/>
      </c>
      <c r="V43">
        <f>HYPERLINK("https://klasma.github.io/Logging_0883/klagomål/A 3470-2020 FSC-klagomål.docx", "A 3470-2020")</f>
        <v/>
      </c>
      <c r="W43">
        <f>HYPERLINK("https://klasma.github.io/Logging_0883/klagomålsmail/A 3470-2020 FSC-klagomål mail.docx", "A 3470-2020")</f>
        <v/>
      </c>
      <c r="X43">
        <f>HYPERLINK("https://klasma.github.io/Logging_0883/tillsyn/A 3470-2020 tillsynsbegäran.docx", "A 3470-2020")</f>
        <v/>
      </c>
      <c r="Y43">
        <f>HYPERLINK("https://klasma.github.io/Logging_0883/tillsynsmail/A 3470-2020 tillsynsbegäran mail.docx", "A 3470-2020")</f>
        <v/>
      </c>
    </row>
    <row r="44" ht="15" customHeight="1">
      <c r="A44" t="inlineStr">
        <is>
          <t>A 15978-2020</t>
        </is>
      </c>
      <c r="B44" s="1" t="n">
        <v>43915</v>
      </c>
      <c r="C44" s="1" t="n">
        <v>45507</v>
      </c>
      <c r="D44" t="inlineStr">
        <is>
          <t>KALMAR LÄN</t>
        </is>
      </c>
      <c r="E44" t="inlineStr">
        <is>
          <t>VÄSTERVIK</t>
        </is>
      </c>
      <c r="G44" t="n">
        <v>3.8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Orange taggsvamp
Tallticka
Blomkålssvamp</t>
        </is>
      </c>
      <c r="S44">
        <f>HYPERLINK("https://klasma.github.io/Logging_0883/artfynd/A 15978-2020 artfynd.xlsx", "A 15978-2020")</f>
        <v/>
      </c>
      <c r="T44">
        <f>HYPERLINK("https://klasma.github.io/Logging_0883/kartor/A 15978-2020 karta.png", "A 15978-2020")</f>
        <v/>
      </c>
      <c r="U44">
        <f>HYPERLINK("https://klasma.github.io/Logging_0883/knärot/A 15978-2020 karta knärot.png", "A 15978-2020")</f>
        <v/>
      </c>
      <c r="V44">
        <f>HYPERLINK("https://klasma.github.io/Logging_0883/klagomål/A 15978-2020 FSC-klagomål.docx", "A 15978-2020")</f>
        <v/>
      </c>
      <c r="W44">
        <f>HYPERLINK("https://klasma.github.io/Logging_0883/klagomålsmail/A 15978-2020 FSC-klagomål mail.docx", "A 15978-2020")</f>
        <v/>
      </c>
      <c r="X44">
        <f>HYPERLINK("https://klasma.github.io/Logging_0883/tillsyn/A 15978-2020 tillsynsbegäran.docx", "A 15978-2020")</f>
        <v/>
      </c>
      <c r="Y44">
        <f>HYPERLINK("https://klasma.github.io/Logging_0883/tillsynsmail/A 15978-2020 tillsynsbegäran mail.docx", "A 15978-2020")</f>
        <v/>
      </c>
    </row>
    <row r="45" ht="15" customHeight="1">
      <c r="A45" t="inlineStr">
        <is>
          <t>A 25280-2021</t>
        </is>
      </c>
      <c r="B45" s="1" t="n">
        <v>44342</v>
      </c>
      <c r="C45" s="1" t="n">
        <v>45507</v>
      </c>
      <c r="D45" t="inlineStr">
        <is>
          <t>KALMAR LÄN</t>
        </is>
      </c>
      <c r="E45" t="inlineStr">
        <is>
          <t>VÄSTERVIK</t>
        </is>
      </c>
      <c r="G45" t="n">
        <v>6.5</v>
      </c>
      <c r="H45" t="n">
        <v>3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Knärot
Smalsprötad bastardsvärmare
Spillkråka
Talltita</t>
        </is>
      </c>
      <c r="S45">
        <f>HYPERLINK("https://klasma.github.io/Logging_0883/artfynd/A 25280-2021 artfynd.xlsx", "A 25280-2021")</f>
        <v/>
      </c>
      <c r="T45">
        <f>HYPERLINK("https://klasma.github.io/Logging_0883/kartor/A 25280-2021 karta.png", "A 25280-2021")</f>
        <v/>
      </c>
      <c r="U45">
        <f>HYPERLINK("https://klasma.github.io/Logging_0883/knärot/A 25280-2021 karta knärot.png", "A 25280-2021")</f>
        <v/>
      </c>
      <c r="V45">
        <f>HYPERLINK("https://klasma.github.io/Logging_0883/klagomål/A 25280-2021 FSC-klagomål.docx", "A 25280-2021")</f>
        <v/>
      </c>
      <c r="W45">
        <f>HYPERLINK("https://klasma.github.io/Logging_0883/klagomålsmail/A 25280-2021 FSC-klagomål mail.docx", "A 25280-2021")</f>
        <v/>
      </c>
      <c r="X45">
        <f>HYPERLINK("https://klasma.github.io/Logging_0883/tillsyn/A 25280-2021 tillsynsbegäran.docx", "A 25280-2021")</f>
        <v/>
      </c>
      <c r="Y45">
        <f>HYPERLINK("https://klasma.github.io/Logging_0883/tillsynsmail/A 25280-2021 tillsynsbegäran mail.docx", "A 25280-2021")</f>
        <v/>
      </c>
      <c r="Z45">
        <f>HYPERLINK("https://klasma.github.io/Logging_0883/fåglar/A 25280-2021 prioriterade fågelarter.docx", "A 25280-2021")</f>
        <v/>
      </c>
    </row>
    <row r="46" ht="15" customHeight="1">
      <c r="A46" t="inlineStr">
        <is>
          <t>A 37438-2021</t>
        </is>
      </c>
      <c r="B46" s="1" t="n">
        <v>44398</v>
      </c>
      <c r="C46" s="1" t="n">
        <v>45507</v>
      </c>
      <c r="D46" t="inlineStr">
        <is>
          <t>KALMAR LÄN</t>
        </is>
      </c>
      <c r="E46" t="inlineStr">
        <is>
          <t>VÄSTERVIK</t>
        </is>
      </c>
      <c r="G46" t="n">
        <v>14.3</v>
      </c>
      <c r="H46" t="n">
        <v>2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Kambräken
Tjäder</t>
        </is>
      </c>
      <c r="S46">
        <f>HYPERLINK("https://klasma.github.io/Logging_0883/artfynd/A 37438-2021 artfynd.xlsx", "A 37438-2021")</f>
        <v/>
      </c>
      <c r="T46">
        <f>HYPERLINK("https://klasma.github.io/Logging_0883/kartor/A 37438-2021 karta.png", "A 37438-2021")</f>
        <v/>
      </c>
      <c r="U46">
        <f>HYPERLINK("https://klasma.github.io/Logging_0883/knärot/A 37438-2021 karta knärot.png", "A 37438-2021")</f>
        <v/>
      </c>
      <c r="V46">
        <f>HYPERLINK("https://klasma.github.io/Logging_0883/klagomål/A 37438-2021 FSC-klagomål.docx", "A 37438-2021")</f>
        <v/>
      </c>
      <c r="W46">
        <f>HYPERLINK("https://klasma.github.io/Logging_0883/klagomålsmail/A 37438-2021 FSC-klagomål mail.docx", "A 37438-2021")</f>
        <v/>
      </c>
      <c r="X46">
        <f>HYPERLINK("https://klasma.github.io/Logging_0883/tillsyn/A 37438-2021 tillsynsbegäran.docx", "A 37438-2021")</f>
        <v/>
      </c>
      <c r="Y46">
        <f>HYPERLINK("https://klasma.github.io/Logging_0883/tillsynsmail/A 37438-2021 tillsynsbegäran mail.docx", "A 37438-2021")</f>
        <v/>
      </c>
      <c r="Z46">
        <f>HYPERLINK("https://klasma.github.io/Logging_0883/fåglar/A 37438-2021 prioriterade fågelarter.docx", "A 37438-2021")</f>
        <v/>
      </c>
    </row>
    <row r="47" ht="15" customHeight="1">
      <c r="A47" t="inlineStr">
        <is>
          <t>A 51923-2022</t>
        </is>
      </c>
      <c r="B47" s="1" t="n">
        <v>44868</v>
      </c>
      <c r="C47" s="1" t="n">
        <v>45507</v>
      </c>
      <c r="D47" t="inlineStr">
        <is>
          <t>KALMAR LÄN</t>
        </is>
      </c>
      <c r="E47" t="inlineStr">
        <is>
          <t>VÄSTERVIK</t>
        </is>
      </c>
      <c r="G47" t="n">
        <v>6.5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Hasselticka
Svart trolldruva
Vätteros
Blåsippa</t>
        </is>
      </c>
      <c r="S47">
        <f>HYPERLINK("https://klasma.github.io/Logging_0883/artfynd/A 51923-2022 artfynd.xlsx", "A 51923-2022")</f>
        <v/>
      </c>
      <c r="T47">
        <f>HYPERLINK("https://klasma.github.io/Logging_0883/kartor/A 51923-2022 karta.png", "A 51923-2022")</f>
        <v/>
      </c>
      <c r="V47">
        <f>HYPERLINK("https://klasma.github.io/Logging_0883/klagomål/A 51923-2022 FSC-klagomål.docx", "A 51923-2022")</f>
        <v/>
      </c>
      <c r="W47">
        <f>HYPERLINK("https://klasma.github.io/Logging_0883/klagomålsmail/A 51923-2022 FSC-klagomål mail.docx", "A 51923-2022")</f>
        <v/>
      </c>
      <c r="X47">
        <f>HYPERLINK("https://klasma.github.io/Logging_0883/tillsyn/A 51923-2022 tillsynsbegäran.docx", "A 51923-2022")</f>
        <v/>
      </c>
      <c r="Y47">
        <f>HYPERLINK("https://klasma.github.io/Logging_0883/tillsynsmail/A 51923-2022 tillsynsbegäran mail.docx", "A 51923-2022")</f>
        <v/>
      </c>
    </row>
    <row r="48" ht="15" customHeight="1">
      <c r="A48" t="inlineStr">
        <is>
          <t>A 58955-2022</t>
        </is>
      </c>
      <c r="B48" s="1" t="n">
        <v>44896</v>
      </c>
      <c r="C48" s="1" t="n">
        <v>45507</v>
      </c>
      <c r="D48" t="inlineStr">
        <is>
          <t>KALMAR LÄN</t>
        </is>
      </c>
      <c r="E48" t="inlineStr">
        <is>
          <t>VÄSTERVIK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Hasselticka
Blåsippa</t>
        </is>
      </c>
      <c r="S48">
        <f>HYPERLINK("https://klasma.github.io/Logging_0883/artfynd/A 58955-2022 artfynd.xlsx", "A 58955-2022")</f>
        <v/>
      </c>
      <c r="T48">
        <f>HYPERLINK("https://klasma.github.io/Logging_0883/kartor/A 58955-2022 karta.png", "A 58955-2022")</f>
        <v/>
      </c>
      <c r="U48">
        <f>HYPERLINK("https://klasma.github.io/Logging_0883/knärot/A 58955-2022 karta knärot.png", "A 58955-2022")</f>
        <v/>
      </c>
      <c r="V48">
        <f>HYPERLINK("https://klasma.github.io/Logging_0883/klagomål/A 58955-2022 FSC-klagomål.docx", "A 58955-2022")</f>
        <v/>
      </c>
      <c r="W48">
        <f>HYPERLINK("https://klasma.github.io/Logging_0883/klagomålsmail/A 58955-2022 FSC-klagomål mail.docx", "A 58955-2022")</f>
        <v/>
      </c>
      <c r="X48">
        <f>HYPERLINK("https://klasma.github.io/Logging_0883/tillsyn/A 58955-2022 tillsynsbegäran.docx", "A 58955-2022")</f>
        <v/>
      </c>
      <c r="Y48">
        <f>HYPERLINK("https://klasma.github.io/Logging_0883/tillsynsmail/A 58955-2022 tillsynsbegäran mail.docx", "A 58955-2022")</f>
        <v/>
      </c>
    </row>
    <row r="49" ht="15" customHeight="1">
      <c r="A49" t="inlineStr">
        <is>
          <t>A 34047-2023</t>
        </is>
      </c>
      <c r="B49" s="1" t="n">
        <v>45124</v>
      </c>
      <c r="C49" s="1" t="n">
        <v>45507</v>
      </c>
      <c r="D49" t="inlineStr">
        <is>
          <t>KALMAR LÄN</t>
        </is>
      </c>
      <c r="E49" t="inlineStr">
        <is>
          <t>VÄSTERVIK</t>
        </is>
      </c>
      <c r="G49" t="n">
        <v>1.9</v>
      </c>
      <c r="H49" t="n">
        <v>3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Knärot
Kungsfiskare
Grön sköldmossa
Svart trolldruva</t>
        </is>
      </c>
      <c r="S49">
        <f>HYPERLINK("https://klasma.github.io/Logging_0883/artfynd/A 34047-2023 artfynd.xlsx", "A 34047-2023")</f>
        <v/>
      </c>
      <c r="T49">
        <f>HYPERLINK("https://klasma.github.io/Logging_0883/kartor/A 34047-2023 karta.png", "A 34047-2023")</f>
        <v/>
      </c>
      <c r="U49">
        <f>HYPERLINK("https://klasma.github.io/Logging_0883/knärot/A 34047-2023 karta knärot.png", "A 34047-2023")</f>
        <v/>
      </c>
      <c r="V49">
        <f>HYPERLINK("https://klasma.github.io/Logging_0883/klagomål/A 34047-2023 FSC-klagomål.docx", "A 34047-2023")</f>
        <v/>
      </c>
      <c r="W49">
        <f>HYPERLINK("https://klasma.github.io/Logging_0883/klagomålsmail/A 34047-2023 FSC-klagomål mail.docx", "A 34047-2023")</f>
        <v/>
      </c>
      <c r="X49">
        <f>HYPERLINK("https://klasma.github.io/Logging_0883/tillsyn/A 34047-2023 tillsynsbegäran.docx", "A 34047-2023")</f>
        <v/>
      </c>
      <c r="Y49">
        <f>HYPERLINK("https://klasma.github.io/Logging_0883/tillsynsmail/A 34047-2023 tillsynsbegäran mail.docx", "A 34047-2023")</f>
        <v/>
      </c>
    </row>
    <row r="50" ht="15" customHeight="1">
      <c r="A50" t="inlineStr">
        <is>
          <t>A 54233-2023</t>
        </is>
      </c>
      <c r="B50" s="1" t="n">
        <v>45232</v>
      </c>
      <c r="C50" s="1" t="n">
        <v>45507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2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Tallticka
Talltita
Blåmossa</t>
        </is>
      </c>
      <c r="S50">
        <f>HYPERLINK("https://klasma.github.io/Logging_0883/artfynd/A 54233-2023 artfynd.xlsx", "A 54233-2023")</f>
        <v/>
      </c>
      <c r="T50">
        <f>HYPERLINK("https://klasma.github.io/Logging_0883/kartor/A 54233-2023 karta.png", "A 54233-2023")</f>
        <v/>
      </c>
      <c r="U50">
        <f>HYPERLINK("https://klasma.github.io/Logging_0883/knärot/A 54233-2023 karta knärot.png", "A 54233-2023")</f>
        <v/>
      </c>
      <c r="V50">
        <f>HYPERLINK("https://klasma.github.io/Logging_0883/klagomål/A 54233-2023 FSC-klagomål.docx", "A 54233-2023")</f>
        <v/>
      </c>
      <c r="W50">
        <f>HYPERLINK("https://klasma.github.io/Logging_0883/klagomålsmail/A 54233-2023 FSC-klagomål mail.docx", "A 54233-2023")</f>
        <v/>
      </c>
      <c r="X50">
        <f>HYPERLINK("https://klasma.github.io/Logging_0883/tillsyn/A 54233-2023 tillsynsbegäran.docx", "A 54233-2023")</f>
        <v/>
      </c>
      <c r="Y50">
        <f>HYPERLINK("https://klasma.github.io/Logging_0883/tillsynsmail/A 54233-2023 tillsynsbegäran mail.docx", "A 54233-2023")</f>
        <v/>
      </c>
      <c r="Z50">
        <f>HYPERLINK("https://klasma.github.io/Logging_0883/fåglar/A 54233-2023 prioriterade fågelarter.docx", "A 54233-2023")</f>
        <v/>
      </c>
    </row>
    <row r="51" ht="15" customHeight="1">
      <c r="A51" t="inlineStr">
        <is>
          <t>A 59319-2023</t>
        </is>
      </c>
      <c r="B51" s="1" t="n">
        <v>45253</v>
      </c>
      <c r="C51" s="1" t="n">
        <v>45507</v>
      </c>
      <c r="D51" t="inlineStr">
        <is>
          <t>KALMAR LÄN</t>
        </is>
      </c>
      <c r="E51" t="inlineStr">
        <is>
          <t>VÄSTERVIK</t>
        </is>
      </c>
      <c r="G51" t="n">
        <v>1</v>
      </c>
      <c r="H51" t="n">
        <v>1</v>
      </c>
      <c r="I51" t="n">
        <v>2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Tallharticka
Knärot
Blomkålssvamp
Grönpyrola</t>
        </is>
      </c>
      <c r="S51">
        <f>HYPERLINK("https://klasma.github.io/Logging_0883/artfynd/A 59319-2023 artfynd.xlsx", "A 59319-2023")</f>
        <v/>
      </c>
      <c r="T51">
        <f>HYPERLINK("https://klasma.github.io/Logging_0883/kartor/A 59319-2023 karta.png", "A 59319-2023")</f>
        <v/>
      </c>
      <c r="U51">
        <f>HYPERLINK("https://klasma.github.io/Logging_0883/knärot/A 59319-2023 karta knärot.png", "A 59319-2023")</f>
        <v/>
      </c>
      <c r="V51">
        <f>HYPERLINK("https://klasma.github.io/Logging_0883/klagomål/A 59319-2023 FSC-klagomål.docx", "A 59319-2023")</f>
        <v/>
      </c>
      <c r="W51">
        <f>HYPERLINK("https://klasma.github.io/Logging_0883/klagomålsmail/A 59319-2023 FSC-klagomål mail.docx", "A 59319-2023")</f>
        <v/>
      </c>
      <c r="X51">
        <f>HYPERLINK("https://klasma.github.io/Logging_0883/tillsyn/A 59319-2023 tillsynsbegäran.docx", "A 59319-2023")</f>
        <v/>
      </c>
      <c r="Y51">
        <f>HYPERLINK("https://klasma.github.io/Logging_0883/tillsynsmail/A 59319-2023 tillsynsbegäran mail.docx", "A 59319-2023")</f>
        <v/>
      </c>
    </row>
    <row r="52" ht="15" customHeight="1">
      <c r="A52" t="inlineStr">
        <is>
          <t>A 62849-2023</t>
        </is>
      </c>
      <c r="B52" s="1" t="n">
        <v>45272</v>
      </c>
      <c r="C52" s="1" t="n">
        <v>45507</v>
      </c>
      <c r="D52" t="inlineStr">
        <is>
          <t>KALMAR LÄN</t>
        </is>
      </c>
      <c r="E52" t="inlineStr">
        <is>
          <t>VÄSTERVIK</t>
        </is>
      </c>
      <c r="G52" t="n">
        <v>2</v>
      </c>
      <c r="H52" t="n">
        <v>3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Entita
Spillkråka
Talltita
Murgröna</t>
        </is>
      </c>
      <c r="S52">
        <f>HYPERLINK("https://klasma.github.io/Logging_0883/artfynd/A 62849-2023 artfynd.xlsx", "A 62849-2023")</f>
        <v/>
      </c>
      <c r="T52">
        <f>HYPERLINK("https://klasma.github.io/Logging_0883/kartor/A 62849-2023 karta.png", "A 62849-2023")</f>
        <v/>
      </c>
      <c r="V52">
        <f>HYPERLINK("https://klasma.github.io/Logging_0883/klagomål/A 62849-2023 FSC-klagomål.docx", "A 62849-2023")</f>
        <v/>
      </c>
      <c r="W52">
        <f>HYPERLINK("https://klasma.github.io/Logging_0883/klagomålsmail/A 62849-2023 FSC-klagomål mail.docx", "A 62849-2023")</f>
        <v/>
      </c>
      <c r="X52">
        <f>HYPERLINK("https://klasma.github.io/Logging_0883/tillsyn/A 62849-2023 tillsynsbegäran.docx", "A 62849-2023")</f>
        <v/>
      </c>
      <c r="Y52">
        <f>HYPERLINK("https://klasma.github.io/Logging_0883/tillsynsmail/A 62849-2023 tillsynsbegäran mail.docx", "A 62849-2023")</f>
        <v/>
      </c>
      <c r="Z52">
        <f>HYPERLINK("https://klasma.github.io/Logging_0883/fåglar/A 62849-2023 prioriterade fågelarter.docx", "A 62849-2023")</f>
        <v/>
      </c>
    </row>
    <row r="53" ht="15" customHeight="1">
      <c r="A53" t="inlineStr">
        <is>
          <t>A 62847-2023</t>
        </is>
      </c>
      <c r="B53" s="1" t="n">
        <v>45272</v>
      </c>
      <c r="C53" s="1" t="n">
        <v>45507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4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Tjäder</t>
        </is>
      </c>
      <c r="S53">
        <f>HYPERLINK("https://klasma.github.io/Logging_0883/artfynd/A 62847-2023 artfynd.xlsx", "A 62847-2023")</f>
        <v/>
      </c>
      <c r="T53">
        <f>HYPERLINK("https://klasma.github.io/Logging_0883/kartor/A 62847-2023 karta.png", "A 62847-2023")</f>
        <v/>
      </c>
      <c r="U53">
        <f>HYPERLINK("https://klasma.github.io/Logging_0883/knärot/A 62847-2023 karta knärot.png", "A 62847-2023")</f>
        <v/>
      </c>
      <c r="V53">
        <f>HYPERLINK("https://klasma.github.io/Logging_0883/klagomål/A 62847-2023 FSC-klagomål.docx", "A 62847-2023")</f>
        <v/>
      </c>
      <c r="W53">
        <f>HYPERLINK("https://klasma.github.io/Logging_0883/klagomålsmail/A 62847-2023 FSC-klagomål mail.docx", "A 62847-2023")</f>
        <v/>
      </c>
      <c r="X53">
        <f>HYPERLINK("https://klasma.github.io/Logging_0883/tillsyn/A 62847-2023 tillsynsbegäran.docx", "A 62847-2023")</f>
        <v/>
      </c>
      <c r="Y53">
        <f>HYPERLINK("https://klasma.github.io/Logging_0883/tillsynsmail/A 62847-2023 tillsynsbegäran mail.docx", "A 62847-2023")</f>
        <v/>
      </c>
      <c r="Z53">
        <f>HYPERLINK("https://klasma.github.io/Logging_0883/fåglar/A 62847-2023 prioriterade fågelarter.docx", "A 62847-2023")</f>
        <v/>
      </c>
    </row>
    <row r="54" ht="15" customHeight="1">
      <c r="A54" t="inlineStr">
        <is>
          <t>A 63366-2023</t>
        </is>
      </c>
      <c r="B54" s="1" t="n">
        <v>45274</v>
      </c>
      <c r="C54" s="1" t="n">
        <v>45507</v>
      </c>
      <c r="D54" t="inlineStr">
        <is>
          <t>KALMAR LÄN</t>
        </is>
      </c>
      <c r="E54" t="inlineStr">
        <is>
          <t>VÄSTERVIK</t>
        </is>
      </c>
      <c r="G54" t="n">
        <v>4.1</v>
      </c>
      <c r="H54" t="n">
        <v>3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Knärot
Spillkråka
Tallticka
Talltita</t>
        </is>
      </c>
      <c r="S54">
        <f>HYPERLINK("https://klasma.github.io/Logging_0883/artfynd/A 63366-2023 artfynd.xlsx", "A 63366-2023")</f>
        <v/>
      </c>
      <c r="T54">
        <f>HYPERLINK("https://klasma.github.io/Logging_0883/kartor/A 63366-2023 karta.png", "A 63366-2023")</f>
        <v/>
      </c>
      <c r="U54">
        <f>HYPERLINK("https://klasma.github.io/Logging_0883/knärot/A 63366-2023 karta knärot.png", "A 63366-2023")</f>
        <v/>
      </c>
      <c r="V54">
        <f>HYPERLINK("https://klasma.github.io/Logging_0883/klagomål/A 63366-2023 FSC-klagomål.docx", "A 63366-2023")</f>
        <v/>
      </c>
      <c r="W54">
        <f>HYPERLINK("https://klasma.github.io/Logging_0883/klagomålsmail/A 63366-2023 FSC-klagomål mail.docx", "A 63366-2023")</f>
        <v/>
      </c>
      <c r="X54">
        <f>HYPERLINK("https://klasma.github.io/Logging_0883/tillsyn/A 63366-2023 tillsynsbegäran.docx", "A 63366-2023")</f>
        <v/>
      </c>
      <c r="Y54">
        <f>HYPERLINK("https://klasma.github.io/Logging_0883/tillsynsmail/A 63366-2023 tillsynsbegäran mail.docx", "A 63366-2023")</f>
        <v/>
      </c>
      <c r="Z54">
        <f>HYPERLINK("https://klasma.github.io/Logging_0883/fåglar/A 63366-2023 prioriterade fågelarter.docx", "A 63366-2023")</f>
        <v/>
      </c>
    </row>
    <row r="55" ht="15" customHeight="1">
      <c r="A55" t="inlineStr">
        <is>
          <t>A 64575-2023</t>
        </is>
      </c>
      <c r="B55" s="1" t="n">
        <v>45281</v>
      </c>
      <c r="C55" s="1" t="n">
        <v>45507</v>
      </c>
      <c r="D55" t="inlineStr">
        <is>
          <t>KALMAR LÄN</t>
        </is>
      </c>
      <c r="E55" t="inlineStr">
        <is>
          <t>VÄSTERVIK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Blek fingersvamp
Såpfingersvamp
Vanlig groda
Vanlig snok</t>
        </is>
      </c>
      <c r="S55">
        <f>HYPERLINK("https://klasma.github.io/Logging_0883/artfynd/A 64575-2023 artfynd.xlsx", "A 64575-2023")</f>
        <v/>
      </c>
      <c r="T55">
        <f>HYPERLINK("https://klasma.github.io/Logging_0883/kartor/A 64575-2023 karta.png", "A 64575-2023")</f>
        <v/>
      </c>
      <c r="V55">
        <f>HYPERLINK("https://klasma.github.io/Logging_0883/klagomål/A 64575-2023 FSC-klagomål.docx", "A 64575-2023")</f>
        <v/>
      </c>
      <c r="W55">
        <f>HYPERLINK("https://klasma.github.io/Logging_0883/klagomålsmail/A 64575-2023 FSC-klagomål mail.docx", "A 64575-2023")</f>
        <v/>
      </c>
      <c r="X55">
        <f>HYPERLINK("https://klasma.github.io/Logging_0883/tillsyn/A 64575-2023 tillsynsbegäran.docx", "A 64575-2023")</f>
        <v/>
      </c>
      <c r="Y55">
        <f>HYPERLINK("https://klasma.github.io/Logging_0883/tillsynsmail/A 64575-2023 tillsynsbegäran mail.docx", "A 64575-2023")</f>
        <v/>
      </c>
    </row>
    <row r="56" ht="15" customHeight="1">
      <c r="A56" t="inlineStr">
        <is>
          <t>A 636-2024</t>
        </is>
      </c>
      <c r="B56" s="1" t="n">
        <v>45299</v>
      </c>
      <c r="C56" s="1" t="n">
        <v>45507</v>
      </c>
      <c r="D56" t="inlineStr">
        <is>
          <t>KALMAR LÄN</t>
        </is>
      </c>
      <c r="E56" t="inlineStr">
        <is>
          <t>VÄSTERVIK</t>
        </is>
      </c>
      <c r="F56" t="inlineStr">
        <is>
          <t>Övriga Aktiebolag</t>
        </is>
      </c>
      <c r="G56" t="n">
        <v>5.7</v>
      </c>
      <c r="H56" t="n">
        <v>3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Talltita
Grönpyrola
Tjäder</t>
        </is>
      </c>
      <c r="S56">
        <f>HYPERLINK("https://klasma.github.io/Logging_0883/artfynd/A 636-2024 artfynd.xlsx", "A 636-2024")</f>
        <v/>
      </c>
      <c r="T56">
        <f>HYPERLINK("https://klasma.github.io/Logging_0883/kartor/A 636-2024 karta.png", "A 636-2024")</f>
        <v/>
      </c>
      <c r="U56">
        <f>HYPERLINK("https://klasma.github.io/Logging_0883/knärot/A 636-2024 karta knärot.png", "A 636-2024")</f>
        <v/>
      </c>
      <c r="V56">
        <f>HYPERLINK("https://klasma.github.io/Logging_0883/klagomål/A 636-2024 FSC-klagomål.docx", "A 636-2024")</f>
        <v/>
      </c>
      <c r="W56">
        <f>HYPERLINK("https://klasma.github.io/Logging_0883/klagomålsmail/A 636-2024 FSC-klagomål mail.docx", "A 636-2024")</f>
        <v/>
      </c>
      <c r="X56">
        <f>HYPERLINK("https://klasma.github.io/Logging_0883/tillsyn/A 636-2024 tillsynsbegäran.docx", "A 636-2024")</f>
        <v/>
      </c>
      <c r="Y56">
        <f>HYPERLINK("https://klasma.github.io/Logging_0883/tillsynsmail/A 636-2024 tillsynsbegäran mail.docx", "A 636-2024")</f>
        <v/>
      </c>
      <c r="Z56">
        <f>HYPERLINK("https://klasma.github.io/Logging_0883/fåglar/A 636-2024 prioriterade fågelarter.docx", "A 636-2024")</f>
        <v/>
      </c>
    </row>
    <row r="57" ht="15" customHeight="1">
      <c r="A57" t="inlineStr">
        <is>
          <t>A 938-2024</t>
        </is>
      </c>
      <c r="B57" s="1" t="n">
        <v>45301</v>
      </c>
      <c r="C57" s="1" t="n">
        <v>45507</v>
      </c>
      <c r="D57" t="inlineStr">
        <is>
          <t>KALMAR LÄN</t>
        </is>
      </c>
      <c r="E57" t="inlineStr">
        <is>
          <t>VÄSTERVIK</t>
        </is>
      </c>
      <c r="G57" t="n">
        <v>10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Reliktbock
Tallticka
Vintertagging
Tjäder</t>
        </is>
      </c>
      <c r="S57">
        <f>HYPERLINK("https://klasma.github.io/Logging_0883/artfynd/A 938-2024 artfynd.xlsx", "A 938-2024")</f>
        <v/>
      </c>
      <c r="T57">
        <f>HYPERLINK("https://klasma.github.io/Logging_0883/kartor/A 938-2024 karta.png", "A 938-2024")</f>
        <v/>
      </c>
      <c r="V57">
        <f>HYPERLINK("https://klasma.github.io/Logging_0883/klagomål/A 938-2024 FSC-klagomål.docx", "A 938-2024")</f>
        <v/>
      </c>
      <c r="W57">
        <f>HYPERLINK("https://klasma.github.io/Logging_0883/klagomålsmail/A 938-2024 FSC-klagomål mail.docx", "A 938-2024")</f>
        <v/>
      </c>
      <c r="X57">
        <f>HYPERLINK("https://klasma.github.io/Logging_0883/tillsyn/A 938-2024 tillsynsbegäran.docx", "A 938-2024")</f>
        <v/>
      </c>
      <c r="Y57">
        <f>HYPERLINK("https://klasma.github.io/Logging_0883/tillsynsmail/A 938-2024 tillsynsbegäran mail.docx", "A 938-2024")</f>
        <v/>
      </c>
      <c r="Z57">
        <f>HYPERLINK("https://klasma.github.io/Logging_0883/fåglar/A 938-2024 prioriterade fågelarter.docx", "A 938-2024")</f>
        <v/>
      </c>
    </row>
    <row r="58" ht="15" customHeight="1">
      <c r="A58" t="inlineStr">
        <is>
          <t>A 9129-2024</t>
        </is>
      </c>
      <c r="B58" s="1" t="n">
        <v>45358</v>
      </c>
      <c r="C58" s="1" t="n">
        <v>45507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Motaggsvamp
Tallticka
Grönpyrola</t>
        </is>
      </c>
      <c r="S58">
        <f>HYPERLINK("https://klasma.github.io/Logging_0883/artfynd/A 9129-2024 artfynd.xlsx", "A 9129-2024")</f>
        <v/>
      </c>
      <c r="T58">
        <f>HYPERLINK("https://klasma.github.io/Logging_0883/kartor/A 9129-2024 karta.png", "A 9129-2024")</f>
        <v/>
      </c>
      <c r="U58">
        <f>HYPERLINK("https://klasma.github.io/Logging_0883/knärot/A 9129-2024 karta knärot.png", "A 9129-2024")</f>
        <v/>
      </c>
      <c r="V58">
        <f>HYPERLINK("https://klasma.github.io/Logging_0883/klagomål/A 9129-2024 FSC-klagomål.docx", "A 9129-2024")</f>
        <v/>
      </c>
      <c r="W58">
        <f>HYPERLINK("https://klasma.github.io/Logging_0883/klagomålsmail/A 9129-2024 FSC-klagomål mail.docx", "A 9129-2024")</f>
        <v/>
      </c>
      <c r="X58">
        <f>HYPERLINK("https://klasma.github.io/Logging_0883/tillsyn/A 9129-2024 tillsynsbegäran.docx", "A 9129-2024")</f>
        <v/>
      </c>
      <c r="Y58">
        <f>HYPERLINK("https://klasma.github.io/Logging_0883/tillsynsmail/A 9129-2024 tillsynsbegäran mail.docx", "A 9129-2024")</f>
        <v/>
      </c>
    </row>
    <row r="59" ht="15" customHeight="1">
      <c r="A59" t="inlineStr">
        <is>
          <t>A 9975-2024</t>
        </is>
      </c>
      <c r="B59" s="1" t="n">
        <v>45363</v>
      </c>
      <c r="C59" s="1" t="n">
        <v>45507</v>
      </c>
      <c r="D59" t="inlineStr">
        <is>
          <t>KALMAR LÄN</t>
        </is>
      </c>
      <c r="E59" t="inlineStr">
        <is>
          <t>VÄSTERVIK</t>
        </is>
      </c>
      <c r="G59" t="n">
        <v>2.2</v>
      </c>
      <c r="H59" t="n">
        <v>3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Spillkråka
Tallticka
Talltita</t>
        </is>
      </c>
      <c r="S59">
        <f>HYPERLINK("https://klasma.github.io/Logging_0883/artfynd/A 9975-2024 artfynd.xlsx", "A 9975-2024")</f>
        <v/>
      </c>
      <c r="T59">
        <f>HYPERLINK("https://klasma.github.io/Logging_0883/kartor/A 9975-2024 karta.png", "A 9975-2024")</f>
        <v/>
      </c>
      <c r="U59">
        <f>HYPERLINK("https://klasma.github.io/Logging_0883/knärot/A 9975-2024 karta knärot.png", "A 9975-2024")</f>
        <v/>
      </c>
      <c r="V59">
        <f>HYPERLINK("https://klasma.github.io/Logging_0883/klagomål/A 9975-2024 FSC-klagomål.docx", "A 9975-2024")</f>
        <v/>
      </c>
      <c r="W59">
        <f>HYPERLINK("https://klasma.github.io/Logging_0883/klagomålsmail/A 9975-2024 FSC-klagomål mail.docx", "A 9975-2024")</f>
        <v/>
      </c>
      <c r="X59">
        <f>HYPERLINK("https://klasma.github.io/Logging_0883/tillsyn/A 9975-2024 tillsynsbegäran.docx", "A 9975-2024")</f>
        <v/>
      </c>
      <c r="Y59">
        <f>HYPERLINK("https://klasma.github.io/Logging_0883/tillsynsmail/A 9975-2024 tillsynsbegäran mail.docx", "A 9975-2024")</f>
        <v/>
      </c>
      <c r="Z59">
        <f>HYPERLINK("https://klasma.github.io/Logging_0883/fåglar/A 9975-2024 prioriterade fågelarter.docx", "A 9975-2024")</f>
        <v/>
      </c>
    </row>
    <row r="60" ht="15" customHeight="1">
      <c r="A60" t="inlineStr">
        <is>
          <t>A 11862-2024</t>
        </is>
      </c>
      <c r="B60" s="1" t="n">
        <v>45376</v>
      </c>
      <c r="C60" s="1" t="n">
        <v>45507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Oxtungssvamp
Solvända
Svart trolldruva
Blåsippa</t>
        </is>
      </c>
      <c r="S60">
        <f>HYPERLINK("https://klasma.github.io/Logging_0883/artfynd/A 11862-2024 artfynd.xlsx", "A 11862-2024")</f>
        <v/>
      </c>
      <c r="T60">
        <f>HYPERLINK("https://klasma.github.io/Logging_0883/kartor/A 11862-2024 karta.png", "A 11862-2024")</f>
        <v/>
      </c>
      <c r="V60">
        <f>HYPERLINK("https://klasma.github.io/Logging_0883/klagomål/A 11862-2024 FSC-klagomål.docx", "A 11862-2024")</f>
        <v/>
      </c>
      <c r="W60">
        <f>HYPERLINK("https://klasma.github.io/Logging_0883/klagomålsmail/A 11862-2024 FSC-klagomål mail.docx", "A 11862-2024")</f>
        <v/>
      </c>
      <c r="X60">
        <f>HYPERLINK("https://klasma.github.io/Logging_0883/tillsyn/A 11862-2024 tillsynsbegäran.docx", "A 11862-2024")</f>
        <v/>
      </c>
      <c r="Y60">
        <f>HYPERLINK("https://klasma.github.io/Logging_0883/tillsynsmail/A 11862-2024 tillsynsbegäran mail.docx", "A 11862-2024")</f>
        <v/>
      </c>
    </row>
    <row r="61" ht="15" customHeight="1">
      <c r="A61" t="inlineStr">
        <is>
          <t>A 18397-2024</t>
        </is>
      </c>
      <c r="B61" s="1" t="n">
        <v>45425</v>
      </c>
      <c r="C61" s="1" t="n">
        <v>45507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3.5</v>
      </c>
      <c r="H61" t="n">
        <v>3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Spillkråka
Talltita
Grönpyrola</t>
        </is>
      </c>
      <c r="S61">
        <f>HYPERLINK("https://klasma.github.io/Logging_0883/artfynd/A 18397-2024 artfynd.xlsx", "A 18397-2024")</f>
        <v/>
      </c>
      <c r="T61">
        <f>HYPERLINK("https://klasma.github.io/Logging_0883/kartor/A 18397-2024 karta.png", "A 18397-2024")</f>
        <v/>
      </c>
      <c r="U61">
        <f>HYPERLINK("https://klasma.github.io/Logging_0883/knärot/A 18397-2024 karta knärot.png", "A 18397-2024")</f>
        <v/>
      </c>
      <c r="V61">
        <f>HYPERLINK("https://klasma.github.io/Logging_0883/klagomål/A 18397-2024 FSC-klagomål.docx", "A 18397-2024")</f>
        <v/>
      </c>
      <c r="W61">
        <f>HYPERLINK("https://klasma.github.io/Logging_0883/klagomålsmail/A 18397-2024 FSC-klagomål mail.docx", "A 18397-2024")</f>
        <v/>
      </c>
      <c r="X61">
        <f>HYPERLINK("https://klasma.github.io/Logging_0883/tillsyn/A 18397-2024 tillsynsbegäran.docx", "A 18397-2024")</f>
        <v/>
      </c>
      <c r="Y61">
        <f>HYPERLINK("https://klasma.github.io/Logging_0883/tillsynsmail/A 18397-2024 tillsynsbegäran mail.docx", "A 18397-2024")</f>
        <v/>
      </c>
      <c r="Z61">
        <f>HYPERLINK("https://klasma.github.io/Logging_0883/fåglar/A 18397-2024 prioriterade fågelarter.docx", "A 18397-2024")</f>
        <v/>
      </c>
    </row>
    <row r="62" ht="15" customHeight="1">
      <c r="A62" t="inlineStr">
        <is>
          <t>A 20366-2024</t>
        </is>
      </c>
      <c r="B62" s="1" t="n">
        <v>45435</v>
      </c>
      <c r="C62" s="1" t="n">
        <v>45507</v>
      </c>
      <c r="D62" t="inlineStr">
        <is>
          <t>KALMAR LÄN</t>
        </is>
      </c>
      <c r="E62" t="inlineStr">
        <is>
          <t>VÄSTERVIK</t>
        </is>
      </c>
      <c r="G62" t="n">
        <v>0.8</v>
      </c>
      <c r="H62" t="n">
        <v>3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Entita
Spillkråka
Tallticka
Purpurknipprot</t>
        </is>
      </c>
      <c r="S62">
        <f>HYPERLINK("https://klasma.github.io/Logging_0883/artfynd/A 20366-2024 artfynd.xlsx", "A 20366-2024")</f>
        <v/>
      </c>
      <c r="T62">
        <f>HYPERLINK("https://klasma.github.io/Logging_0883/kartor/A 20366-2024 karta.png", "A 20366-2024")</f>
        <v/>
      </c>
      <c r="V62">
        <f>HYPERLINK("https://klasma.github.io/Logging_0883/klagomål/A 20366-2024 FSC-klagomål.docx", "A 20366-2024")</f>
        <v/>
      </c>
      <c r="W62">
        <f>HYPERLINK("https://klasma.github.io/Logging_0883/klagomålsmail/A 20366-2024 FSC-klagomål mail.docx", "A 20366-2024")</f>
        <v/>
      </c>
      <c r="X62">
        <f>HYPERLINK("https://klasma.github.io/Logging_0883/tillsyn/A 20366-2024 tillsynsbegäran.docx", "A 20366-2024")</f>
        <v/>
      </c>
      <c r="Y62">
        <f>HYPERLINK("https://klasma.github.io/Logging_0883/tillsynsmail/A 20366-2024 tillsynsbegäran mail.docx", "A 20366-2024")</f>
        <v/>
      </c>
      <c r="Z62">
        <f>HYPERLINK("https://klasma.github.io/Logging_0883/fåglar/A 20366-2024 prioriterade fågelarter.docx", "A 20366-2024")</f>
        <v/>
      </c>
    </row>
    <row r="63" ht="15" customHeight="1">
      <c r="A63" t="inlineStr">
        <is>
          <t>A 25534-2024</t>
        </is>
      </c>
      <c r="B63" s="1" t="n">
        <v>45463</v>
      </c>
      <c r="C63" s="1" t="n">
        <v>45507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9.5</v>
      </c>
      <c r="H63" t="n">
        <v>1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Tallticka
Brandticka
Bronshjon</t>
        </is>
      </c>
      <c r="S63">
        <f>HYPERLINK("https://klasma.github.io/Logging_0883/artfynd/A 25534-2024 artfynd.xlsx", "A 25534-2024")</f>
        <v/>
      </c>
      <c r="T63">
        <f>HYPERLINK("https://klasma.github.io/Logging_0883/kartor/A 25534-2024 karta.png", "A 25534-2024")</f>
        <v/>
      </c>
      <c r="U63">
        <f>HYPERLINK("https://klasma.github.io/Logging_0883/knärot/A 25534-2024 karta knärot.png", "A 25534-2024")</f>
        <v/>
      </c>
      <c r="V63">
        <f>HYPERLINK("https://klasma.github.io/Logging_0883/klagomål/A 25534-2024 FSC-klagomål.docx", "A 25534-2024")</f>
        <v/>
      </c>
      <c r="W63">
        <f>HYPERLINK("https://klasma.github.io/Logging_0883/klagomålsmail/A 25534-2024 FSC-klagomål mail.docx", "A 25534-2024")</f>
        <v/>
      </c>
      <c r="X63">
        <f>HYPERLINK("https://klasma.github.io/Logging_0883/tillsyn/A 25534-2024 tillsynsbegäran.docx", "A 25534-2024")</f>
        <v/>
      </c>
      <c r="Y63">
        <f>HYPERLINK("https://klasma.github.io/Logging_0883/tillsynsmail/A 25534-2024 tillsynsbegäran mail.docx", "A 25534-2024")</f>
        <v/>
      </c>
    </row>
    <row r="64" ht="15" customHeight="1">
      <c r="A64" t="inlineStr">
        <is>
          <t>A 9097-2021</t>
        </is>
      </c>
      <c r="B64" s="1" t="n">
        <v>44249</v>
      </c>
      <c r="C64" s="1" t="n">
        <v>45507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1.9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Tallticka
Vedskivlav
Vätteros</t>
        </is>
      </c>
      <c r="S64">
        <f>HYPERLINK("https://klasma.github.io/Logging_0883/artfynd/A 9097-2021 artfynd.xlsx", "A 9097-2021")</f>
        <v/>
      </c>
      <c r="T64">
        <f>HYPERLINK("https://klasma.github.io/Logging_0883/kartor/A 9097-2021 karta.png", "A 9097-2021")</f>
        <v/>
      </c>
      <c r="V64">
        <f>HYPERLINK("https://klasma.github.io/Logging_0883/klagomål/A 9097-2021 FSC-klagomål.docx", "A 9097-2021")</f>
        <v/>
      </c>
      <c r="W64">
        <f>HYPERLINK("https://klasma.github.io/Logging_0883/klagomålsmail/A 9097-2021 FSC-klagomål mail.docx", "A 9097-2021")</f>
        <v/>
      </c>
      <c r="X64">
        <f>HYPERLINK("https://klasma.github.io/Logging_0883/tillsyn/A 9097-2021 tillsynsbegäran.docx", "A 9097-2021")</f>
        <v/>
      </c>
      <c r="Y64">
        <f>HYPERLINK("https://klasma.github.io/Logging_0883/tillsynsmail/A 9097-2021 tillsynsbegäran mail.docx", "A 9097-2021")</f>
        <v/>
      </c>
    </row>
    <row r="65" ht="15" customHeight="1">
      <c r="A65" t="inlineStr">
        <is>
          <t>A 63813-2021</t>
        </is>
      </c>
      <c r="B65" s="1" t="n">
        <v>44505</v>
      </c>
      <c r="C65" s="1" t="n">
        <v>45507</v>
      </c>
      <c r="D65" t="inlineStr">
        <is>
          <t>KALMAR LÄN</t>
        </is>
      </c>
      <c r="E65" t="inlineStr">
        <is>
          <t>VÄSTERVIK</t>
        </is>
      </c>
      <c r="G65" t="n">
        <v>4.4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Talltita
Grovticka</t>
        </is>
      </c>
      <c r="S65">
        <f>HYPERLINK("https://klasma.github.io/Logging_0883/artfynd/A 63813-2021 artfynd.xlsx", "A 63813-2021")</f>
        <v/>
      </c>
      <c r="T65">
        <f>HYPERLINK("https://klasma.github.io/Logging_0883/kartor/A 63813-2021 karta.png", "A 63813-2021")</f>
        <v/>
      </c>
      <c r="U65">
        <f>HYPERLINK("https://klasma.github.io/Logging_0883/knärot/A 63813-2021 karta knärot.png", "A 63813-2021")</f>
        <v/>
      </c>
      <c r="V65">
        <f>HYPERLINK("https://klasma.github.io/Logging_0883/klagomål/A 63813-2021 FSC-klagomål.docx", "A 63813-2021")</f>
        <v/>
      </c>
      <c r="W65">
        <f>HYPERLINK("https://klasma.github.io/Logging_0883/klagomålsmail/A 63813-2021 FSC-klagomål mail.docx", "A 63813-2021")</f>
        <v/>
      </c>
      <c r="X65">
        <f>HYPERLINK("https://klasma.github.io/Logging_0883/tillsyn/A 63813-2021 tillsynsbegäran.docx", "A 63813-2021")</f>
        <v/>
      </c>
      <c r="Y65">
        <f>HYPERLINK("https://klasma.github.io/Logging_0883/tillsynsmail/A 63813-2021 tillsynsbegäran mail.docx", "A 63813-2021")</f>
        <v/>
      </c>
      <c r="Z65">
        <f>HYPERLINK("https://klasma.github.io/Logging_0883/fåglar/A 63813-2021 prioriterade fågelarter.docx", "A 63813-2021")</f>
        <v/>
      </c>
    </row>
    <row r="66" ht="15" customHeight="1">
      <c r="A66" t="inlineStr">
        <is>
          <t>A 68416-2021</t>
        </is>
      </c>
      <c r="B66" s="1" t="n">
        <v>44529</v>
      </c>
      <c r="C66" s="1" t="n">
        <v>45507</v>
      </c>
      <c r="D66" t="inlineStr">
        <is>
          <t>KALMAR LÄN</t>
        </is>
      </c>
      <c r="E66" t="inlineStr">
        <is>
          <t>VÄSTERVIK</t>
        </is>
      </c>
      <c r="F66" t="inlineStr">
        <is>
          <t>Kyrkan</t>
        </is>
      </c>
      <c r="G66" t="n">
        <v>10.5</v>
      </c>
      <c r="H66" t="n">
        <v>2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Knärot
Tallticka
Talltita</t>
        </is>
      </c>
      <c r="S66">
        <f>HYPERLINK("https://klasma.github.io/Logging_0883/artfynd/A 68416-2021 artfynd.xlsx", "A 68416-2021")</f>
        <v/>
      </c>
      <c r="T66">
        <f>HYPERLINK("https://klasma.github.io/Logging_0883/kartor/A 68416-2021 karta.png", "A 68416-2021")</f>
        <v/>
      </c>
      <c r="U66">
        <f>HYPERLINK("https://klasma.github.io/Logging_0883/knärot/A 68416-2021 karta knärot.png", "A 68416-2021")</f>
        <v/>
      </c>
      <c r="V66">
        <f>HYPERLINK("https://klasma.github.io/Logging_0883/klagomål/A 68416-2021 FSC-klagomål.docx", "A 68416-2021")</f>
        <v/>
      </c>
      <c r="W66">
        <f>HYPERLINK("https://klasma.github.io/Logging_0883/klagomålsmail/A 68416-2021 FSC-klagomål mail.docx", "A 68416-2021")</f>
        <v/>
      </c>
      <c r="X66">
        <f>HYPERLINK("https://klasma.github.io/Logging_0883/tillsyn/A 68416-2021 tillsynsbegäran.docx", "A 68416-2021")</f>
        <v/>
      </c>
      <c r="Y66">
        <f>HYPERLINK("https://klasma.github.io/Logging_0883/tillsynsmail/A 68416-2021 tillsynsbegäran mail.docx", "A 68416-2021")</f>
        <v/>
      </c>
      <c r="Z66">
        <f>HYPERLINK("https://klasma.github.io/Logging_0883/fåglar/A 68416-2021 prioriterade fågelarter.docx", "A 68416-2021")</f>
        <v/>
      </c>
    </row>
    <row r="67" ht="15" customHeight="1">
      <c r="A67" t="inlineStr">
        <is>
          <t>A 55506-2022</t>
        </is>
      </c>
      <c r="B67" s="1" t="n">
        <v>44887</v>
      </c>
      <c r="C67" s="1" t="n">
        <v>45507</v>
      </c>
      <c r="D67" t="inlineStr">
        <is>
          <t>KALMAR LÄN</t>
        </is>
      </c>
      <c r="E67" t="inlineStr">
        <is>
          <t>VÄSTERVIK</t>
        </is>
      </c>
      <c r="G67" t="n">
        <v>3.4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Tallticka
Ullticka
Trädporella</t>
        </is>
      </c>
      <c r="S67">
        <f>HYPERLINK("https://klasma.github.io/Logging_0883/artfynd/A 55506-2022 artfynd.xlsx", "A 55506-2022")</f>
        <v/>
      </c>
      <c r="T67">
        <f>HYPERLINK("https://klasma.github.io/Logging_0883/kartor/A 55506-2022 karta.png", "A 55506-2022")</f>
        <v/>
      </c>
      <c r="V67">
        <f>HYPERLINK("https://klasma.github.io/Logging_0883/klagomål/A 55506-2022 FSC-klagomål.docx", "A 55506-2022")</f>
        <v/>
      </c>
      <c r="W67">
        <f>HYPERLINK("https://klasma.github.io/Logging_0883/klagomålsmail/A 55506-2022 FSC-klagomål mail.docx", "A 55506-2022")</f>
        <v/>
      </c>
      <c r="X67">
        <f>HYPERLINK("https://klasma.github.io/Logging_0883/tillsyn/A 55506-2022 tillsynsbegäran.docx", "A 55506-2022")</f>
        <v/>
      </c>
      <c r="Y67">
        <f>HYPERLINK("https://klasma.github.io/Logging_0883/tillsynsmail/A 55506-2022 tillsynsbegäran mail.docx", "A 55506-2022")</f>
        <v/>
      </c>
    </row>
    <row r="68" ht="15" customHeight="1">
      <c r="A68" t="inlineStr">
        <is>
          <t>A 12708-2023</t>
        </is>
      </c>
      <c r="B68" s="1" t="n">
        <v>45000</v>
      </c>
      <c r="C68" s="1" t="n">
        <v>45507</v>
      </c>
      <c r="D68" t="inlineStr">
        <is>
          <t>KALMAR LÄN</t>
        </is>
      </c>
      <c r="E68" t="inlineStr">
        <is>
          <t>VÄSTERVIK</t>
        </is>
      </c>
      <c r="G68" t="n">
        <v>8.6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Knärot
Tallticka
Talltita</t>
        </is>
      </c>
      <c r="S68">
        <f>HYPERLINK("https://klasma.github.io/Logging_0883/artfynd/A 12708-2023 artfynd.xlsx", "A 12708-2023")</f>
        <v/>
      </c>
      <c r="T68">
        <f>HYPERLINK("https://klasma.github.io/Logging_0883/kartor/A 12708-2023 karta.png", "A 12708-2023")</f>
        <v/>
      </c>
      <c r="U68">
        <f>HYPERLINK("https://klasma.github.io/Logging_0883/knärot/A 12708-2023 karta knärot.png", "A 12708-2023")</f>
        <v/>
      </c>
      <c r="V68">
        <f>HYPERLINK("https://klasma.github.io/Logging_0883/klagomål/A 12708-2023 FSC-klagomål.docx", "A 12708-2023")</f>
        <v/>
      </c>
      <c r="W68">
        <f>HYPERLINK("https://klasma.github.io/Logging_0883/klagomålsmail/A 12708-2023 FSC-klagomål mail.docx", "A 12708-2023")</f>
        <v/>
      </c>
      <c r="X68">
        <f>HYPERLINK("https://klasma.github.io/Logging_0883/tillsyn/A 12708-2023 tillsynsbegäran.docx", "A 12708-2023")</f>
        <v/>
      </c>
      <c r="Y68">
        <f>HYPERLINK("https://klasma.github.io/Logging_0883/tillsynsmail/A 12708-2023 tillsynsbegäran mail.docx", "A 12708-2023")</f>
        <v/>
      </c>
      <c r="Z68">
        <f>HYPERLINK("https://klasma.github.io/Logging_0883/fåglar/A 12708-2023 prioriterade fågelarter.docx", "A 12708-2023")</f>
        <v/>
      </c>
    </row>
    <row r="69" ht="15" customHeight="1">
      <c r="A69" t="inlineStr">
        <is>
          <t>A 30194-2023</t>
        </is>
      </c>
      <c r="B69" s="1" t="n">
        <v>45110</v>
      </c>
      <c r="C69" s="1" t="n">
        <v>45507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5.8</v>
      </c>
      <c r="H69" t="n">
        <v>1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Grovticka
Grönpyrola</t>
        </is>
      </c>
      <c r="S69">
        <f>HYPERLINK("https://klasma.github.io/Logging_0883/artfynd/A 30194-2023 artfynd.xlsx", "A 30194-2023")</f>
        <v/>
      </c>
      <c r="T69">
        <f>HYPERLINK("https://klasma.github.io/Logging_0883/kartor/A 30194-2023 karta.png", "A 30194-2023")</f>
        <v/>
      </c>
      <c r="U69">
        <f>HYPERLINK("https://klasma.github.io/Logging_0883/knärot/A 30194-2023 karta knärot.png", "A 30194-2023")</f>
        <v/>
      </c>
      <c r="V69">
        <f>HYPERLINK("https://klasma.github.io/Logging_0883/klagomål/A 30194-2023 FSC-klagomål.docx", "A 30194-2023")</f>
        <v/>
      </c>
      <c r="W69">
        <f>HYPERLINK("https://klasma.github.io/Logging_0883/klagomålsmail/A 30194-2023 FSC-klagomål mail.docx", "A 30194-2023")</f>
        <v/>
      </c>
      <c r="X69">
        <f>HYPERLINK("https://klasma.github.io/Logging_0883/tillsyn/A 30194-2023 tillsynsbegäran.docx", "A 30194-2023")</f>
        <v/>
      </c>
      <c r="Y69">
        <f>HYPERLINK("https://klasma.github.io/Logging_0883/tillsynsmail/A 30194-2023 tillsynsbegäran mail.docx", "A 30194-2023")</f>
        <v/>
      </c>
    </row>
    <row r="70" ht="15" customHeight="1">
      <c r="A70" t="inlineStr">
        <is>
          <t>A 35480-2023</t>
        </is>
      </c>
      <c r="B70" s="1" t="n">
        <v>45146</v>
      </c>
      <c r="C70" s="1" t="n">
        <v>45507</v>
      </c>
      <c r="D70" t="inlineStr">
        <is>
          <t>KALMAR LÄN</t>
        </is>
      </c>
      <c r="E70" t="inlineStr">
        <is>
          <t>VÄSTERVIK</t>
        </is>
      </c>
      <c r="G70" t="n">
        <v>5.5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Spillkråka
Blåmossa
Tjockfotad fingersvamp</t>
        </is>
      </c>
      <c r="S70">
        <f>HYPERLINK("https://klasma.github.io/Logging_0883/artfynd/A 35480-2023 artfynd.xlsx", "A 35480-2023")</f>
        <v/>
      </c>
      <c r="T70">
        <f>HYPERLINK("https://klasma.github.io/Logging_0883/kartor/A 35480-2023 karta.png", "A 35480-2023")</f>
        <v/>
      </c>
      <c r="V70">
        <f>HYPERLINK("https://klasma.github.io/Logging_0883/klagomål/A 35480-2023 FSC-klagomål.docx", "A 35480-2023")</f>
        <v/>
      </c>
      <c r="W70">
        <f>HYPERLINK("https://klasma.github.io/Logging_0883/klagomålsmail/A 35480-2023 FSC-klagomål mail.docx", "A 35480-2023")</f>
        <v/>
      </c>
      <c r="X70">
        <f>HYPERLINK("https://klasma.github.io/Logging_0883/tillsyn/A 35480-2023 tillsynsbegäran.docx", "A 35480-2023")</f>
        <v/>
      </c>
      <c r="Y70">
        <f>HYPERLINK("https://klasma.github.io/Logging_0883/tillsynsmail/A 35480-2023 tillsynsbegäran mail.docx", "A 35480-2023")</f>
        <v/>
      </c>
      <c r="Z70">
        <f>HYPERLINK("https://klasma.github.io/Logging_0883/fåglar/A 35480-2023 prioriterade fågelarter.docx", "A 35480-2023")</f>
        <v/>
      </c>
    </row>
    <row r="71" ht="15" customHeight="1">
      <c r="A71" t="inlineStr">
        <is>
          <t>A 39904-2023</t>
        </is>
      </c>
      <c r="B71" s="1" t="n">
        <v>45168</v>
      </c>
      <c r="C71" s="1" t="n">
        <v>45507</v>
      </c>
      <c r="D71" t="inlineStr">
        <is>
          <t>KALMAR LÄN</t>
        </is>
      </c>
      <c r="E71" t="inlineStr">
        <is>
          <t>VÄSTERVIK</t>
        </is>
      </c>
      <c r="G71" t="n">
        <v>7.3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Gropticka
Grönpyrola
Revlummer</t>
        </is>
      </c>
      <c r="S71">
        <f>HYPERLINK("https://klasma.github.io/Logging_0883/artfynd/A 39904-2023 artfynd.xlsx", "A 39904-2023")</f>
        <v/>
      </c>
      <c r="T71">
        <f>HYPERLINK("https://klasma.github.io/Logging_0883/kartor/A 39904-2023 karta.png", "A 39904-2023")</f>
        <v/>
      </c>
      <c r="V71">
        <f>HYPERLINK("https://klasma.github.io/Logging_0883/klagomål/A 39904-2023 FSC-klagomål.docx", "A 39904-2023")</f>
        <v/>
      </c>
      <c r="W71">
        <f>HYPERLINK("https://klasma.github.io/Logging_0883/klagomålsmail/A 39904-2023 FSC-klagomål mail.docx", "A 39904-2023")</f>
        <v/>
      </c>
      <c r="X71">
        <f>HYPERLINK("https://klasma.github.io/Logging_0883/tillsyn/A 39904-2023 tillsynsbegäran.docx", "A 39904-2023")</f>
        <v/>
      </c>
      <c r="Y71">
        <f>HYPERLINK("https://klasma.github.io/Logging_0883/tillsynsmail/A 39904-2023 tillsynsbegäran mail.docx", "A 39904-2023")</f>
        <v/>
      </c>
    </row>
    <row r="72" ht="15" customHeight="1">
      <c r="A72" t="inlineStr">
        <is>
          <t>A 39906-2023</t>
        </is>
      </c>
      <c r="B72" s="1" t="n">
        <v>45168</v>
      </c>
      <c r="C72" s="1" t="n">
        <v>45507</v>
      </c>
      <c r="D72" t="inlineStr">
        <is>
          <t>KALMAR LÄN</t>
        </is>
      </c>
      <c r="E72" t="inlineStr">
        <is>
          <t>VÄSTERVIK</t>
        </is>
      </c>
      <c r="G72" t="n">
        <v>5</v>
      </c>
      <c r="H72" t="n">
        <v>2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Blåmossa
Revlummer</t>
        </is>
      </c>
      <c r="S72">
        <f>HYPERLINK("https://klasma.github.io/Logging_0883/artfynd/A 39906-2023 artfynd.xlsx", "A 39906-2023")</f>
        <v/>
      </c>
      <c r="T72">
        <f>HYPERLINK("https://klasma.github.io/Logging_0883/kartor/A 39906-2023 karta.png", "A 39906-2023")</f>
        <v/>
      </c>
      <c r="U72">
        <f>HYPERLINK("https://klasma.github.io/Logging_0883/knärot/A 39906-2023 karta knärot.png", "A 39906-2023")</f>
        <v/>
      </c>
      <c r="V72">
        <f>HYPERLINK("https://klasma.github.io/Logging_0883/klagomål/A 39906-2023 FSC-klagomål.docx", "A 39906-2023")</f>
        <v/>
      </c>
      <c r="W72">
        <f>HYPERLINK("https://klasma.github.io/Logging_0883/klagomålsmail/A 39906-2023 FSC-klagomål mail.docx", "A 39906-2023")</f>
        <v/>
      </c>
      <c r="X72">
        <f>HYPERLINK("https://klasma.github.io/Logging_0883/tillsyn/A 39906-2023 tillsynsbegäran.docx", "A 39906-2023")</f>
        <v/>
      </c>
      <c r="Y72">
        <f>HYPERLINK("https://klasma.github.io/Logging_0883/tillsynsmail/A 39906-2023 tillsynsbegäran mail.docx", "A 39906-2023")</f>
        <v/>
      </c>
    </row>
    <row r="73" ht="15" customHeight="1">
      <c r="A73" t="inlineStr">
        <is>
          <t>A 42353-2023</t>
        </is>
      </c>
      <c r="B73" s="1" t="n">
        <v>45180</v>
      </c>
      <c r="C73" s="1" t="n">
        <v>45507</v>
      </c>
      <c r="D73" t="inlineStr">
        <is>
          <t>KALMAR LÄN</t>
        </is>
      </c>
      <c r="E73" t="inlineStr">
        <is>
          <t>VÄSTERVIK</t>
        </is>
      </c>
      <c r="G73" t="n">
        <v>11.3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Tallticka
Blomkålssvamp</t>
        </is>
      </c>
      <c r="S73">
        <f>HYPERLINK("https://klasma.github.io/Logging_0883/artfynd/A 42353-2023 artfynd.xlsx", "A 42353-2023")</f>
        <v/>
      </c>
      <c r="T73">
        <f>HYPERLINK("https://klasma.github.io/Logging_0883/kartor/A 42353-2023 karta.png", "A 42353-2023")</f>
        <v/>
      </c>
      <c r="U73">
        <f>HYPERLINK("https://klasma.github.io/Logging_0883/knärot/A 42353-2023 karta knärot.png", "A 42353-2023")</f>
        <v/>
      </c>
      <c r="V73">
        <f>HYPERLINK("https://klasma.github.io/Logging_0883/klagomål/A 42353-2023 FSC-klagomål.docx", "A 42353-2023")</f>
        <v/>
      </c>
      <c r="W73">
        <f>HYPERLINK("https://klasma.github.io/Logging_0883/klagomålsmail/A 42353-2023 FSC-klagomål mail.docx", "A 42353-2023")</f>
        <v/>
      </c>
      <c r="X73">
        <f>HYPERLINK("https://klasma.github.io/Logging_0883/tillsyn/A 42353-2023 tillsynsbegäran.docx", "A 42353-2023")</f>
        <v/>
      </c>
      <c r="Y73">
        <f>HYPERLINK("https://klasma.github.io/Logging_0883/tillsynsmail/A 42353-2023 tillsynsbegäran mail.docx", "A 42353-2023")</f>
        <v/>
      </c>
    </row>
    <row r="74" ht="15" customHeight="1">
      <c r="A74" t="inlineStr">
        <is>
          <t>A 45702-2023</t>
        </is>
      </c>
      <c r="B74" s="1" t="n">
        <v>45195</v>
      </c>
      <c r="C74" s="1" t="n">
        <v>45507</v>
      </c>
      <c r="D74" t="inlineStr">
        <is>
          <t>KALMAR LÄN</t>
        </is>
      </c>
      <c r="E74" t="inlineStr">
        <is>
          <t>VÄSTERVIK</t>
        </is>
      </c>
      <c r="G74" t="n">
        <v>7.3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Reliktbock
Tallticka
Blåmossa</t>
        </is>
      </c>
      <c r="S74">
        <f>HYPERLINK("https://klasma.github.io/Logging_0883/artfynd/A 45702-2023 artfynd.xlsx", "A 45702-2023")</f>
        <v/>
      </c>
      <c r="T74">
        <f>HYPERLINK("https://klasma.github.io/Logging_0883/kartor/A 45702-2023 karta.png", "A 45702-2023")</f>
        <v/>
      </c>
      <c r="V74">
        <f>HYPERLINK("https://klasma.github.io/Logging_0883/klagomål/A 45702-2023 FSC-klagomål.docx", "A 45702-2023")</f>
        <v/>
      </c>
      <c r="W74">
        <f>HYPERLINK("https://klasma.github.io/Logging_0883/klagomålsmail/A 45702-2023 FSC-klagomål mail.docx", "A 45702-2023")</f>
        <v/>
      </c>
      <c r="X74">
        <f>HYPERLINK("https://klasma.github.io/Logging_0883/tillsyn/A 45702-2023 tillsynsbegäran.docx", "A 45702-2023")</f>
        <v/>
      </c>
      <c r="Y74">
        <f>HYPERLINK("https://klasma.github.io/Logging_0883/tillsynsmail/A 45702-2023 tillsynsbegäran mail.docx", "A 45702-2023")</f>
        <v/>
      </c>
    </row>
    <row r="75" ht="15" customHeight="1">
      <c r="A75" t="inlineStr">
        <is>
          <t>A 46090-2023</t>
        </is>
      </c>
      <c r="B75" s="1" t="n">
        <v>45196</v>
      </c>
      <c r="C75" s="1" t="n">
        <v>45507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3.5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Fällmossa
Platt fjädermossa
Blåsippa</t>
        </is>
      </c>
      <c r="S75">
        <f>HYPERLINK("https://klasma.github.io/Logging_0883/artfynd/A 46090-2023 artfynd.xlsx", "A 46090-2023")</f>
        <v/>
      </c>
      <c r="T75">
        <f>HYPERLINK("https://klasma.github.io/Logging_0883/kartor/A 46090-2023 karta.png", "A 46090-2023")</f>
        <v/>
      </c>
      <c r="V75">
        <f>HYPERLINK("https://klasma.github.io/Logging_0883/klagomål/A 46090-2023 FSC-klagomål.docx", "A 46090-2023")</f>
        <v/>
      </c>
      <c r="W75">
        <f>HYPERLINK("https://klasma.github.io/Logging_0883/klagomålsmail/A 46090-2023 FSC-klagomål mail.docx", "A 46090-2023")</f>
        <v/>
      </c>
      <c r="X75">
        <f>HYPERLINK("https://klasma.github.io/Logging_0883/tillsyn/A 46090-2023 tillsynsbegäran.docx", "A 46090-2023")</f>
        <v/>
      </c>
      <c r="Y75">
        <f>HYPERLINK("https://klasma.github.io/Logging_0883/tillsynsmail/A 46090-2023 tillsynsbegäran mail.docx", "A 46090-2023")</f>
        <v/>
      </c>
    </row>
    <row r="76" ht="15" customHeight="1">
      <c r="A76" t="inlineStr">
        <is>
          <t>A 54265-2023</t>
        </is>
      </c>
      <c r="B76" s="1" t="n">
        <v>45232</v>
      </c>
      <c r="C76" s="1" t="n">
        <v>45507</v>
      </c>
      <c r="D76" t="inlineStr">
        <is>
          <t>KALMAR LÄN</t>
        </is>
      </c>
      <c r="E76" t="inlineStr">
        <is>
          <t>VÄSTERVIK</t>
        </is>
      </c>
      <c r="G76" t="n">
        <v>3.3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Tallticka
Blåmossa</t>
        </is>
      </c>
      <c r="S76">
        <f>HYPERLINK("https://klasma.github.io/Logging_0883/artfynd/A 54265-2023 artfynd.xlsx", "A 54265-2023")</f>
        <v/>
      </c>
      <c r="T76">
        <f>HYPERLINK("https://klasma.github.io/Logging_0883/kartor/A 54265-2023 karta.png", "A 54265-2023")</f>
        <v/>
      </c>
      <c r="U76">
        <f>HYPERLINK("https://klasma.github.io/Logging_0883/knärot/A 54265-2023 karta knärot.png", "A 54265-2023")</f>
        <v/>
      </c>
      <c r="V76">
        <f>HYPERLINK("https://klasma.github.io/Logging_0883/klagomål/A 54265-2023 FSC-klagomål.docx", "A 54265-2023")</f>
        <v/>
      </c>
      <c r="W76">
        <f>HYPERLINK("https://klasma.github.io/Logging_0883/klagomålsmail/A 54265-2023 FSC-klagomål mail.docx", "A 54265-2023")</f>
        <v/>
      </c>
      <c r="X76">
        <f>HYPERLINK("https://klasma.github.io/Logging_0883/tillsyn/A 54265-2023 tillsynsbegäran.docx", "A 54265-2023")</f>
        <v/>
      </c>
      <c r="Y76">
        <f>HYPERLINK("https://klasma.github.io/Logging_0883/tillsynsmail/A 54265-2023 tillsynsbegäran mail.docx", "A 54265-2023")</f>
        <v/>
      </c>
    </row>
    <row r="77" ht="15" customHeight="1">
      <c r="A77" t="inlineStr">
        <is>
          <t>A 2657-2024</t>
        </is>
      </c>
      <c r="B77" s="1" t="n">
        <v>45314</v>
      </c>
      <c r="C77" s="1" t="n">
        <v>45507</v>
      </c>
      <c r="D77" t="inlineStr">
        <is>
          <t>KALMAR LÄN</t>
        </is>
      </c>
      <c r="E77" t="inlineStr">
        <is>
          <t>VÄSTERVIK</t>
        </is>
      </c>
      <c r="G77" t="n">
        <v>5.9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HYPERLINK("https://klasma.github.io/Logging_0883/artfynd/A 2657-2024 artfynd.xlsx", "A 2657-2024")</f>
        <v/>
      </c>
      <c r="T77">
        <f>HYPERLINK("https://klasma.github.io/Logging_0883/kartor/A 2657-2024 karta.png", "A 2657-2024")</f>
        <v/>
      </c>
      <c r="U77">
        <f>HYPERLINK("https://klasma.github.io/Logging_0883/knärot/A 2657-2024 karta knärot.png", "A 2657-2024")</f>
        <v/>
      </c>
      <c r="V77">
        <f>HYPERLINK("https://klasma.github.io/Logging_0883/klagomål/A 2657-2024 FSC-klagomål.docx", "A 2657-2024")</f>
        <v/>
      </c>
      <c r="W77">
        <f>HYPERLINK("https://klasma.github.io/Logging_0883/klagomålsmail/A 2657-2024 FSC-klagomål mail.docx", "A 2657-2024")</f>
        <v/>
      </c>
      <c r="X77">
        <f>HYPERLINK("https://klasma.github.io/Logging_0883/tillsyn/A 2657-2024 tillsynsbegäran.docx", "A 2657-2024")</f>
        <v/>
      </c>
      <c r="Y77">
        <f>HYPERLINK("https://klasma.github.io/Logging_0883/tillsynsmail/A 2657-2024 tillsynsbegäran mail.docx", "A 2657-2024")</f>
        <v/>
      </c>
      <c r="Z77">
        <f>HYPERLINK("https://klasma.github.io/Logging_0883/fåglar/A 2657-2024 prioriterade fågelarter.docx", "A 2657-2024")</f>
        <v/>
      </c>
    </row>
    <row r="78" ht="15" customHeight="1">
      <c r="A78" t="inlineStr">
        <is>
          <t>A 2916-2024</t>
        </is>
      </c>
      <c r="B78" s="1" t="n">
        <v>45315</v>
      </c>
      <c r="C78" s="1" t="n">
        <v>45507</v>
      </c>
      <c r="D78" t="inlineStr">
        <is>
          <t>KALMAR LÄN</t>
        </is>
      </c>
      <c r="E78" t="inlineStr">
        <is>
          <t>VÄSTERVIK</t>
        </is>
      </c>
      <c r="G78" t="n">
        <v>6.3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Spillkråka
Tallticka</t>
        </is>
      </c>
      <c r="S78">
        <f>HYPERLINK("https://klasma.github.io/Logging_0883/artfynd/A 2916-2024 artfynd.xlsx", "A 2916-2024")</f>
        <v/>
      </c>
      <c r="T78">
        <f>HYPERLINK("https://klasma.github.io/Logging_0883/kartor/A 2916-2024 karta.png", "A 2916-2024")</f>
        <v/>
      </c>
      <c r="U78">
        <f>HYPERLINK("https://klasma.github.io/Logging_0883/knärot/A 2916-2024 karta knärot.png", "A 2916-2024")</f>
        <v/>
      </c>
      <c r="V78">
        <f>HYPERLINK("https://klasma.github.io/Logging_0883/klagomål/A 2916-2024 FSC-klagomål.docx", "A 2916-2024")</f>
        <v/>
      </c>
      <c r="W78">
        <f>HYPERLINK("https://klasma.github.io/Logging_0883/klagomålsmail/A 2916-2024 FSC-klagomål mail.docx", "A 2916-2024")</f>
        <v/>
      </c>
      <c r="X78">
        <f>HYPERLINK("https://klasma.github.io/Logging_0883/tillsyn/A 2916-2024 tillsynsbegäran.docx", "A 2916-2024")</f>
        <v/>
      </c>
      <c r="Y78">
        <f>HYPERLINK("https://klasma.github.io/Logging_0883/tillsynsmail/A 2916-2024 tillsynsbegäran mail.docx", "A 2916-2024")</f>
        <v/>
      </c>
      <c r="Z78">
        <f>HYPERLINK("https://klasma.github.io/Logging_0883/fåglar/A 2916-2024 prioriterade fågelarter.docx", "A 2916-2024")</f>
        <v/>
      </c>
    </row>
    <row r="79" ht="15" customHeight="1">
      <c r="A79" t="inlineStr">
        <is>
          <t>A 8620-2024</t>
        </is>
      </c>
      <c r="B79" s="1" t="n">
        <v>45355</v>
      </c>
      <c r="C79" s="1" t="n">
        <v>45507</v>
      </c>
      <c r="D79" t="inlineStr">
        <is>
          <t>KALMAR LÄN</t>
        </is>
      </c>
      <c r="E79" t="inlineStr">
        <is>
          <t>VÄSTERVIK</t>
        </is>
      </c>
      <c r="G79" t="n">
        <v>0.9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Blodticka</t>
        </is>
      </c>
      <c r="S79">
        <f>HYPERLINK("https://klasma.github.io/Logging_0883/artfynd/A 8620-2024 artfynd.xlsx", "A 8620-2024")</f>
        <v/>
      </c>
      <c r="T79">
        <f>HYPERLINK("https://klasma.github.io/Logging_0883/kartor/A 8620-2024 karta.png", "A 8620-2024")</f>
        <v/>
      </c>
      <c r="U79">
        <f>HYPERLINK("https://klasma.github.io/Logging_0883/knärot/A 8620-2024 karta knärot.png", "A 8620-2024")</f>
        <v/>
      </c>
      <c r="V79">
        <f>HYPERLINK("https://klasma.github.io/Logging_0883/klagomål/A 8620-2024 FSC-klagomål.docx", "A 8620-2024")</f>
        <v/>
      </c>
      <c r="W79">
        <f>HYPERLINK("https://klasma.github.io/Logging_0883/klagomålsmail/A 8620-2024 FSC-klagomål mail.docx", "A 8620-2024")</f>
        <v/>
      </c>
      <c r="X79">
        <f>HYPERLINK("https://klasma.github.io/Logging_0883/tillsyn/A 8620-2024 tillsynsbegäran.docx", "A 8620-2024")</f>
        <v/>
      </c>
      <c r="Y79">
        <f>HYPERLINK("https://klasma.github.io/Logging_0883/tillsynsmail/A 8620-2024 tillsynsbegäran mail.docx", "A 8620-2024")</f>
        <v/>
      </c>
      <c r="Z79">
        <f>HYPERLINK("https://klasma.github.io/Logging_0883/fåglar/A 8620-2024 prioriterade fågelarter.docx", "A 8620-2024")</f>
        <v/>
      </c>
    </row>
    <row r="80" ht="15" customHeight="1">
      <c r="A80" t="inlineStr">
        <is>
          <t>A 13744-2024</t>
        </is>
      </c>
      <c r="B80" s="1" t="n">
        <v>45390</v>
      </c>
      <c r="C80" s="1" t="n">
        <v>45507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6.3</v>
      </c>
      <c r="H80" t="n">
        <v>3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Tjäder</t>
        </is>
      </c>
      <c r="S80">
        <f>HYPERLINK("https://klasma.github.io/Logging_0883/artfynd/A 13744-2024 artfynd.xlsx", "A 13744-2024")</f>
        <v/>
      </c>
      <c r="T80">
        <f>HYPERLINK("https://klasma.github.io/Logging_0883/kartor/A 13744-2024 karta.png", "A 13744-2024")</f>
        <v/>
      </c>
      <c r="U80">
        <f>HYPERLINK("https://klasma.github.io/Logging_0883/knärot/A 13744-2024 karta knärot.png", "A 13744-2024")</f>
        <v/>
      </c>
      <c r="V80">
        <f>HYPERLINK("https://klasma.github.io/Logging_0883/klagomål/A 13744-2024 FSC-klagomål.docx", "A 13744-2024")</f>
        <v/>
      </c>
      <c r="W80">
        <f>HYPERLINK("https://klasma.github.io/Logging_0883/klagomålsmail/A 13744-2024 FSC-klagomål mail.docx", "A 13744-2024")</f>
        <v/>
      </c>
      <c r="X80">
        <f>HYPERLINK("https://klasma.github.io/Logging_0883/tillsyn/A 13744-2024 tillsynsbegäran.docx", "A 13744-2024")</f>
        <v/>
      </c>
      <c r="Y80">
        <f>HYPERLINK("https://klasma.github.io/Logging_0883/tillsynsmail/A 13744-2024 tillsynsbegäran mail.docx", "A 13744-2024")</f>
        <v/>
      </c>
      <c r="Z80">
        <f>HYPERLINK("https://klasma.github.io/Logging_0883/fåglar/A 13744-2024 prioriterade fågelarter.docx", "A 13744-2024")</f>
        <v/>
      </c>
    </row>
    <row r="81" ht="15" customHeight="1">
      <c r="A81" t="inlineStr">
        <is>
          <t>A 16948-2024</t>
        </is>
      </c>
      <c r="B81" s="1" t="n">
        <v>45411</v>
      </c>
      <c r="C81" s="1" t="n">
        <v>45507</v>
      </c>
      <c r="D81" t="inlineStr">
        <is>
          <t>KALMAR LÄN</t>
        </is>
      </c>
      <c r="E81" t="inlineStr">
        <is>
          <t>VÄSTERVIK</t>
        </is>
      </c>
      <c r="G81" t="n">
        <v>13.3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Spillkråka
Tallticka</t>
        </is>
      </c>
      <c r="S81">
        <f>HYPERLINK("https://klasma.github.io/Logging_0883/artfynd/A 16948-2024 artfynd.xlsx", "A 16948-2024")</f>
        <v/>
      </c>
      <c r="T81">
        <f>HYPERLINK("https://klasma.github.io/Logging_0883/kartor/A 16948-2024 karta.png", "A 16948-2024")</f>
        <v/>
      </c>
      <c r="U81">
        <f>HYPERLINK("https://klasma.github.io/Logging_0883/knärot/A 16948-2024 karta knärot.png", "A 16948-2024")</f>
        <v/>
      </c>
      <c r="V81">
        <f>HYPERLINK("https://klasma.github.io/Logging_0883/klagomål/A 16948-2024 FSC-klagomål.docx", "A 16948-2024")</f>
        <v/>
      </c>
      <c r="W81">
        <f>HYPERLINK("https://klasma.github.io/Logging_0883/klagomålsmail/A 16948-2024 FSC-klagomål mail.docx", "A 16948-2024")</f>
        <v/>
      </c>
      <c r="X81">
        <f>HYPERLINK("https://klasma.github.io/Logging_0883/tillsyn/A 16948-2024 tillsynsbegäran.docx", "A 16948-2024")</f>
        <v/>
      </c>
      <c r="Y81">
        <f>HYPERLINK("https://klasma.github.io/Logging_0883/tillsynsmail/A 16948-2024 tillsynsbegäran mail.docx", "A 16948-2024")</f>
        <v/>
      </c>
      <c r="Z81">
        <f>HYPERLINK("https://klasma.github.io/Logging_0883/fåglar/A 16948-2024 prioriterade fågelarter.docx", "A 16948-2024")</f>
        <v/>
      </c>
    </row>
    <row r="82" ht="15" customHeight="1">
      <c r="A82" t="inlineStr">
        <is>
          <t>A 23219-2024</t>
        </is>
      </c>
      <c r="B82" s="1" t="n">
        <v>45452</v>
      </c>
      <c r="C82" s="1" t="n">
        <v>45507</v>
      </c>
      <c r="D82" t="inlineStr">
        <is>
          <t>KALMAR LÄN</t>
        </is>
      </c>
      <c r="E82" t="inlineStr">
        <is>
          <t>VÄSTERVIK</t>
        </is>
      </c>
      <c r="G82" t="n">
        <v>0.9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Ekticka
Spillkråka
Grönpyrola</t>
        </is>
      </c>
      <c r="S82">
        <f>HYPERLINK("https://klasma.github.io/Logging_0883/artfynd/A 23219-2024 artfynd.xlsx", "A 23219-2024")</f>
        <v/>
      </c>
      <c r="T82">
        <f>HYPERLINK("https://klasma.github.io/Logging_0883/kartor/A 23219-2024 karta.png", "A 23219-2024")</f>
        <v/>
      </c>
      <c r="V82">
        <f>HYPERLINK("https://klasma.github.io/Logging_0883/klagomål/A 23219-2024 FSC-klagomål.docx", "A 23219-2024")</f>
        <v/>
      </c>
      <c r="W82">
        <f>HYPERLINK("https://klasma.github.io/Logging_0883/klagomålsmail/A 23219-2024 FSC-klagomål mail.docx", "A 23219-2024")</f>
        <v/>
      </c>
      <c r="X82">
        <f>HYPERLINK("https://klasma.github.io/Logging_0883/tillsyn/A 23219-2024 tillsynsbegäran.docx", "A 23219-2024")</f>
        <v/>
      </c>
      <c r="Y82">
        <f>HYPERLINK("https://klasma.github.io/Logging_0883/tillsynsmail/A 23219-2024 tillsynsbegäran mail.docx", "A 23219-2024")</f>
        <v/>
      </c>
      <c r="Z82">
        <f>HYPERLINK("https://klasma.github.io/Logging_0883/fåglar/A 23219-2024 prioriterade fågelarter.docx", "A 23219-2024")</f>
        <v/>
      </c>
    </row>
    <row r="83" ht="15" customHeight="1">
      <c r="A83" t="inlineStr">
        <is>
          <t>A 27145-2024</t>
        </is>
      </c>
      <c r="B83" s="1" t="n">
        <v>45471</v>
      </c>
      <c r="C83" s="1" t="n">
        <v>45507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11.3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Blomkålssvamp
Grönpyrola</t>
        </is>
      </c>
      <c r="S83">
        <f>HYPERLINK("https://klasma.github.io/Logging_0883/artfynd/A 27145-2024 artfynd.xlsx", "A 27145-2024")</f>
        <v/>
      </c>
      <c r="T83">
        <f>HYPERLINK("https://klasma.github.io/Logging_0883/kartor/A 27145-2024 karta.png", "A 27145-2024")</f>
        <v/>
      </c>
      <c r="V83">
        <f>HYPERLINK("https://klasma.github.io/Logging_0883/klagomål/A 27145-2024 FSC-klagomål.docx", "A 27145-2024")</f>
        <v/>
      </c>
      <c r="W83">
        <f>HYPERLINK("https://klasma.github.io/Logging_0883/klagomålsmail/A 27145-2024 FSC-klagomål mail.docx", "A 27145-2024")</f>
        <v/>
      </c>
      <c r="X83">
        <f>HYPERLINK("https://klasma.github.io/Logging_0883/tillsyn/A 27145-2024 tillsynsbegäran.docx", "A 27145-2024")</f>
        <v/>
      </c>
      <c r="Y83">
        <f>HYPERLINK("https://klasma.github.io/Logging_0883/tillsynsmail/A 27145-2024 tillsynsbegäran mail.docx", "A 27145-2024")</f>
        <v/>
      </c>
      <c r="Z83">
        <f>HYPERLINK("https://klasma.github.io/Logging_0883/fåglar/A 27145-2024 prioriterade fågelarter.docx", "A 27145-2024")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45507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45507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45507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45507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45507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45507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44667-2021</t>
        </is>
      </c>
      <c r="B90" s="1" t="n">
        <v>44438</v>
      </c>
      <c r="C90" s="1" t="n">
        <v>45507</v>
      </c>
      <c r="D90" t="inlineStr">
        <is>
          <t>KALMAR LÄN</t>
        </is>
      </c>
      <c r="E90" t="inlineStr">
        <is>
          <t>VÄSTERVIK</t>
        </is>
      </c>
      <c r="G90" t="n">
        <v>1.7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Järpe
Fjällig taggsvamp s.str.</t>
        </is>
      </c>
      <c r="S90">
        <f>HYPERLINK("https://klasma.github.io/Logging_0883/artfynd/A 44667-2021 artfynd.xlsx", "A 44667-2021")</f>
        <v/>
      </c>
      <c r="T90">
        <f>HYPERLINK("https://klasma.github.io/Logging_0883/kartor/A 44667-2021 karta.png", "A 44667-2021")</f>
        <v/>
      </c>
      <c r="V90">
        <f>HYPERLINK("https://klasma.github.io/Logging_0883/klagomål/A 44667-2021 FSC-klagomål.docx", "A 44667-2021")</f>
        <v/>
      </c>
      <c r="W90">
        <f>HYPERLINK("https://klasma.github.io/Logging_0883/klagomålsmail/A 44667-2021 FSC-klagomål mail.docx", "A 44667-2021")</f>
        <v/>
      </c>
      <c r="X90">
        <f>HYPERLINK("https://klasma.github.io/Logging_0883/tillsyn/A 44667-2021 tillsynsbegäran.docx", "A 44667-2021")</f>
        <v/>
      </c>
      <c r="Y90">
        <f>HYPERLINK("https://klasma.github.io/Logging_0883/tillsynsmail/A 44667-2021 tillsynsbegäran mail.docx", "A 44667-2021")</f>
        <v/>
      </c>
      <c r="Z90">
        <f>HYPERLINK("https://klasma.github.io/Logging_0883/fåglar/A 44667-2021 prioriterade fågelarter.docx", "A 44667-2021")</f>
        <v/>
      </c>
    </row>
    <row r="91" ht="15" customHeight="1">
      <c r="A91" t="inlineStr">
        <is>
          <t>A 51833-2021</t>
        </is>
      </c>
      <c r="B91" s="1" t="n">
        <v>44462</v>
      </c>
      <c r="C91" s="1" t="n">
        <v>45507</v>
      </c>
      <c r="D91" t="inlineStr">
        <is>
          <t>KALMAR LÄN</t>
        </is>
      </c>
      <c r="E91" t="inlineStr">
        <is>
          <t>VÄSTERVIK</t>
        </is>
      </c>
      <c r="G91" t="n">
        <v>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Fläcknycklar</t>
        </is>
      </c>
      <c r="S91">
        <f>HYPERLINK("https://klasma.github.io/Logging_0883/artfynd/A 51833-2021 artfynd.xlsx", "A 51833-2021")</f>
        <v/>
      </c>
      <c r="T91">
        <f>HYPERLINK("https://klasma.github.io/Logging_0883/kartor/A 51833-2021 karta.png", "A 51833-2021")</f>
        <v/>
      </c>
      <c r="V91">
        <f>HYPERLINK("https://klasma.github.io/Logging_0883/klagomål/A 51833-2021 FSC-klagomål.docx", "A 51833-2021")</f>
        <v/>
      </c>
      <c r="W91">
        <f>HYPERLINK("https://klasma.github.io/Logging_0883/klagomålsmail/A 51833-2021 FSC-klagomål mail.docx", "A 51833-2021")</f>
        <v/>
      </c>
      <c r="X91">
        <f>HYPERLINK("https://klasma.github.io/Logging_0883/tillsyn/A 51833-2021 tillsynsbegäran.docx", "A 51833-2021")</f>
        <v/>
      </c>
      <c r="Y91">
        <f>HYPERLINK("https://klasma.github.io/Logging_0883/tillsynsmail/A 51833-2021 tillsynsbegäran mail.docx", "A 51833-2021")</f>
        <v/>
      </c>
    </row>
    <row r="92" ht="15" customHeight="1">
      <c r="A92" t="inlineStr">
        <is>
          <t>A 53769-2021</t>
        </is>
      </c>
      <c r="B92" s="1" t="n">
        <v>44467</v>
      </c>
      <c r="C92" s="1" t="n">
        <v>45507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1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 sköldmossa
Stubbspretmossa</t>
        </is>
      </c>
      <c r="S92">
        <f>HYPERLINK("https://klasma.github.io/Logging_0883/artfynd/A 53769-2021 artfynd.xlsx", "A 53769-2021")</f>
        <v/>
      </c>
      <c r="T92">
        <f>HYPERLINK("https://klasma.github.io/Logging_0883/kartor/A 53769-2021 karta.png", "A 53769-2021")</f>
        <v/>
      </c>
      <c r="V92">
        <f>HYPERLINK("https://klasma.github.io/Logging_0883/klagomål/A 53769-2021 FSC-klagomål.docx", "A 53769-2021")</f>
        <v/>
      </c>
      <c r="W92">
        <f>HYPERLINK("https://klasma.github.io/Logging_0883/klagomålsmail/A 53769-2021 FSC-klagomål mail.docx", "A 53769-2021")</f>
        <v/>
      </c>
      <c r="X92">
        <f>HYPERLINK("https://klasma.github.io/Logging_0883/tillsyn/A 53769-2021 tillsynsbegäran.docx", "A 53769-2021")</f>
        <v/>
      </c>
      <c r="Y92">
        <f>HYPERLINK("https://klasma.github.io/Logging_0883/tillsynsmail/A 53769-2021 tillsynsbegäran mail.docx", "A 53769-2021")</f>
        <v/>
      </c>
    </row>
    <row r="93" ht="15" customHeight="1">
      <c r="A93" t="inlineStr">
        <is>
          <t>A 56616-2021</t>
        </is>
      </c>
      <c r="B93" s="1" t="n">
        <v>44480</v>
      </c>
      <c r="C93" s="1" t="n">
        <v>45507</v>
      </c>
      <c r="D93" t="inlineStr">
        <is>
          <t>KALMAR LÄN</t>
        </is>
      </c>
      <c r="E93" t="inlineStr">
        <is>
          <t>VÄSTERVIK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Vippärt</t>
        </is>
      </c>
      <c r="S93">
        <f>HYPERLINK("https://klasma.github.io/Logging_0883/artfynd/A 56616-2021 artfynd.xlsx", "A 56616-2021")</f>
        <v/>
      </c>
      <c r="T93">
        <f>HYPERLINK("https://klasma.github.io/Logging_0883/kartor/A 56616-2021 karta.png", "A 56616-2021")</f>
        <v/>
      </c>
      <c r="V93">
        <f>HYPERLINK("https://klasma.github.io/Logging_0883/klagomål/A 56616-2021 FSC-klagomål.docx", "A 56616-2021")</f>
        <v/>
      </c>
      <c r="W93">
        <f>HYPERLINK("https://klasma.github.io/Logging_0883/klagomålsmail/A 56616-2021 FSC-klagomål mail.docx", "A 56616-2021")</f>
        <v/>
      </c>
      <c r="X93">
        <f>HYPERLINK("https://klasma.github.io/Logging_0883/tillsyn/A 56616-2021 tillsynsbegäran.docx", "A 56616-2021")</f>
        <v/>
      </c>
      <c r="Y93">
        <f>HYPERLINK("https://klasma.github.io/Logging_0883/tillsynsmail/A 56616-2021 tillsynsbegäran mail.docx", "A 56616-2021")</f>
        <v/>
      </c>
    </row>
    <row r="94" ht="15" customHeight="1">
      <c r="A94" t="inlineStr">
        <is>
          <t>A 59940-2021</t>
        </is>
      </c>
      <c r="B94" s="1" t="n">
        <v>44494</v>
      </c>
      <c r="C94" s="1" t="n">
        <v>45507</v>
      </c>
      <c r="D94" t="inlineStr">
        <is>
          <t>KALMAR LÄN</t>
        </is>
      </c>
      <c r="E94" t="inlineStr">
        <is>
          <t>VÄSTERVIK</t>
        </is>
      </c>
      <c r="G94" t="n">
        <v>4.3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59940-2021 artfynd.xlsx", "A 59940-2021")</f>
        <v/>
      </c>
      <c r="T94">
        <f>HYPERLINK("https://klasma.github.io/Logging_0883/kartor/A 59940-2021 karta.png", "A 59940-2021")</f>
        <v/>
      </c>
      <c r="U94">
        <f>HYPERLINK("https://klasma.github.io/Logging_0883/knärot/A 59940-2021 karta knärot.png", "A 59940-2021")</f>
        <v/>
      </c>
      <c r="V94">
        <f>HYPERLINK("https://klasma.github.io/Logging_0883/klagomål/A 59940-2021 FSC-klagomål.docx", "A 59940-2021")</f>
        <v/>
      </c>
      <c r="W94">
        <f>HYPERLINK("https://klasma.github.io/Logging_0883/klagomålsmail/A 59940-2021 FSC-klagomål mail.docx", "A 59940-2021")</f>
        <v/>
      </c>
      <c r="X94">
        <f>HYPERLINK("https://klasma.github.io/Logging_0883/tillsyn/A 59940-2021 tillsynsbegäran.docx", "A 59940-2021")</f>
        <v/>
      </c>
      <c r="Y94">
        <f>HYPERLINK("https://klasma.github.io/Logging_0883/tillsynsmail/A 59940-2021 tillsynsbegäran mail.docx", "A 59940-2021")</f>
        <v/>
      </c>
    </row>
    <row r="95" ht="15" customHeight="1">
      <c r="A95" t="inlineStr">
        <is>
          <t>A 72945-2021</t>
        </is>
      </c>
      <c r="B95" s="1" t="n">
        <v>44547</v>
      </c>
      <c r="C95" s="1" t="n">
        <v>45507</v>
      </c>
      <c r="D95" t="inlineStr">
        <is>
          <t>KALMAR LÄN</t>
        </is>
      </c>
      <c r="E95" t="inlineStr">
        <is>
          <t>VÄSTERVIK</t>
        </is>
      </c>
      <c r="G95" t="n">
        <v>1.6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Veckticka
Rävticka</t>
        </is>
      </c>
      <c r="S95">
        <f>HYPERLINK("https://klasma.github.io/Logging_0883/artfynd/A 72945-2021 artfynd.xlsx", "A 72945-2021")</f>
        <v/>
      </c>
      <c r="T95">
        <f>HYPERLINK("https://klasma.github.io/Logging_0883/kartor/A 72945-2021 karta.png", "A 72945-2021")</f>
        <v/>
      </c>
      <c r="V95">
        <f>HYPERLINK("https://klasma.github.io/Logging_0883/klagomål/A 72945-2021 FSC-klagomål.docx", "A 72945-2021")</f>
        <v/>
      </c>
      <c r="W95">
        <f>HYPERLINK("https://klasma.github.io/Logging_0883/klagomålsmail/A 72945-2021 FSC-klagomål mail.docx", "A 72945-2021")</f>
        <v/>
      </c>
      <c r="X95">
        <f>HYPERLINK("https://klasma.github.io/Logging_0883/tillsyn/A 72945-2021 tillsynsbegäran.docx", "A 72945-2021")</f>
        <v/>
      </c>
      <c r="Y95">
        <f>HYPERLINK("https://klasma.github.io/Logging_0883/tillsynsmail/A 72945-2021 tillsynsbegäran mail.docx", "A 72945-2021")</f>
        <v/>
      </c>
    </row>
    <row r="96" ht="15" customHeight="1">
      <c r="A96" t="inlineStr">
        <is>
          <t>A 14927-2022</t>
        </is>
      </c>
      <c r="B96" s="1" t="n">
        <v>44657</v>
      </c>
      <c r="C96" s="1" t="n">
        <v>45507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Ekoxe
Revlummer</t>
        </is>
      </c>
      <c r="S96">
        <f>HYPERLINK("https://klasma.github.io/Logging_0883/artfynd/A 14927-2022 artfynd.xlsx", "A 14927-2022")</f>
        <v/>
      </c>
      <c r="T96">
        <f>HYPERLINK("https://klasma.github.io/Logging_0883/kartor/A 14927-2022 karta.png", "A 14927-2022")</f>
        <v/>
      </c>
      <c r="V96">
        <f>HYPERLINK("https://klasma.github.io/Logging_0883/klagomål/A 14927-2022 FSC-klagomål.docx", "A 14927-2022")</f>
        <v/>
      </c>
      <c r="W96">
        <f>HYPERLINK("https://klasma.github.io/Logging_0883/klagomålsmail/A 14927-2022 FSC-klagomål mail.docx", "A 14927-2022")</f>
        <v/>
      </c>
      <c r="X96">
        <f>HYPERLINK("https://klasma.github.io/Logging_0883/tillsyn/A 14927-2022 tillsynsbegäran.docx", "A 14927-2022")</f>
        <v/>
      </c>
      <c r="Y96">
        <f>HYPERLINK("https://klasma.github.io/Logging_0883/tillsynsmail/A 14927-2022 tillsynsbegäran mail.docx", "A 14927-2022")</f>
        <v/>
      </c>
    </row>
    <row r="97" ht="15" customHeight="1">
      <c r="A97" t="inlineStr">
        <is>
          <t>A 21024-2022</t>
        </is>
      </c>
      <c r="B97" s="1" t="n">
        <v>44704</v>
      </c>
      <c r="C97" s="1" t="n">
        <v>45507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4.4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Skogsbräsma
Vätteros</t>
        </is>
      </c>
      <c r="S97">
        <f>HYPERLINK("https://klasma.github.io/Logging_0883/artfynd/A 21024-2022 artfynd.xlsx", "A 21024-2022")</f>
        <v/>
      </c>
      <c r="T97">
        <f>HYPERLINK("https://klasma.github.io/Logging_0883/kartor/A 21024-2022 karta.png", "A 21024-2022")</f>
        <v/>
      </c>
      <c r="V97">
        <f>HYPERLINK("https://klasma.github.io/Logging_0883/klagomål/A 21024-2022 FSC-klagomål.docx", "A 21024-2022")</f>
        <v/>
      </c>
      <c r="W97">
        <f>HYPERLINK("https://klasma.github.io/Logging_0883/klagomålsmail/A 21024-2022 FSC-klagomål mail.docx", "A 21024-2022")</f>
        <v/>
      </c>
      <c r="X97">
        <f>HYPERLINK("https://klasma.github.io/Logging_0883/tillsyn/A 21024-2022 tillsynsbegäran.docx", "A 21024-2022")</f>
        <v/>
      </c>
      <c r="Y97">
        <f>HYPERLINK("https://klasma.github.io/Logging_0883/tillsynsmail/A 21024-2022 tillsynsbegäran mail.docx", "A 21024-2022")</f>
        <v/>
      </c>
    </row>
    <row r="98" ht="15" customHeight="1">
      <c r="A98" t="inlineStr">
        <is>
          <t>A 25145-2022</t>
        </is>
      </c>
      <c r="B98" s="1" t="n">
        <v>44729</v>
      </c>
      <c r="C98" s="1" t="n">
        <v>45507</v>
      </c>
      <c r="D98" t="inlineStr">
        <is>
          <t>KALMAR LÄN</t>
        </is>
      </c>
      <c r="E98" t="inlineStr">
        <is>
          <t>VÄSTERVIK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HYPERLINK("https://klasma.github.io/Logging_0883/artfynd/A 25145-2022 artfynd.xlsx", "A 25145-2022")</f>
        <v/>
      </c>
      <c r="T98">
        <f>HYPERLINK("https://klasma.github.io/Logging_0883/kartor/A 25145-2022 karta.png", "A 25145-2022")</f>
        <v/>
      </c>
      <c r="U98">
        <f>HYPERLINK("https://klasma.github.io/Logging_0883/knärot/A 25145-2022 karta knärot.png", "A 25145-2022")</f>
        <v/>
      </c>
      <c r="V98">
        <f>HYPERLINK("https://klasma.github.io/Logging_0883/klagomål/A 25145-2022 FSC-klagomål.docx", "A 25145-2022")</f>
        <v/>
      </c>
      <c r="W98">
        <f>HYPERLINK("https://klasma.github.io/Logging_0883/klagomålsmail/A 25145-2022 FSC-klagomål mail.docx", "A 25145-2022")</f>
        <v/>
      </c>
      <c r="X98">
        <f>HYPERLINK("https://klasma.github.io/Logging_0883/tillsyn/A 25145-2022 tillsynsbegäran.docx", "A 25145-2022")</f>
        <v/>
      </c>
      <c r="Y98">
        <f>HYPERLINK("https://klasma.github.io/Logging_0883/tillsynsmail/A 25145-2022 tillsynsbegäran mail.docx", "A 25145-2022")</f>
        <v/>
      </c>
    </row>
    <row r="99" ht="15" customHeight="1">
      <c r="A99" t="inlineStr">
        <is>
          <t>A 38373-2022</t>
        </is>
      </c>
      <c r="B99" s="1" t="n">
        <v>44812</v>
      </c>
      <c r="C99" s="1" t="n">
        <v>45507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Blåmossa</t>
        </is>
      </c>
      <c r="S99">
        <f>HYPERLINK("https://klasma.github.io/Logging_0883/artfynd/A 38373-2022 artfynd.xlsx", "A 38373-2022")</f>
        <v/>
      </c>
      <c r="T99">
        <f>HYPERLINK("https://klasma.github.io/Logging_0883/kartor/A 38373-2022 karta.png", "A 38373-2022")</f>
        <v/>
      </c>
      <c r="U99">
        <f>HYPERLINK("https://klasma.github.io/Logging_0883/knärot/A 38373-2022 karta knärot.png", "A 38373-2022")</f>
        <v/>
      </c>
      <c r="V99">
        <f>HYPERLINK("https://klasma.github.io/Logging_0883/klagomål/A 38373-2022 FSC-klagomål.docx", "A 38373-2022")</f>
        <v/>
      </c>
      <c r="W99">
        <f>HYPERLINK("https://klasma.github.io/Logging_0883/klagomålsmail/A 38373-2022 FSC-klagomål mail.docx", "A 38373-2022")</f>
        <v/>
      </c>
      <c r="X99">
        <f>HYPERLINK("https://klasma.github.io/Logging_0883/tillsyn/A 38373-2022 tillsynsbegäran.docx", "A 38373-2022")</f>
        <v/>
      </c>
      <c r="Y99">
        <f>HYPERLINK("https://klasma.github.io/Logging_0883/tillsynsmail/A 38373-2022 tillsynsbegäran mail.docx", "A 38373-2022")</f>
        <v/>
      </c>
    </row>
    <row r="100" ht="15" customHeight="1">
      <c r="A100" t="inlineStr">
        <is>
          <t>A 46552-2022</t>
        </is>
      </c>
      <c r="B100" s="1" t="n">
        <v>44848</v>
      </c>
      <c r="C100" s="1" t="n">
        <v>45507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Sårläka</t>
        </is>
      </c>
      <c r="S100">
        <f>HYPERLINK("https://klasma.github.io/Logging_0883/artfynd/A 46552-2022 artfynd.xlsx", "A 46552-2022")</f>
        <v/>
      </c>
      <c r="T100">
        <f>HYPERLINK("https://klasma.github.io/Logging_0883/kartor/A 46552-2022 karta.png", "A 46552-2022")</f>
        <v/>
      </c>
      <c r="V100">
        <f>HYPERLINK("https://klasma.github.io/Logging_0883/klagomål/A 46552-2022 FSC-klagomål.docx", "A 46552-2022")</f>
        <v/>
      </c>
      <c r="W100">
        <f>HYPERLINK("https://klasma.github.io/Logging_0883/klagomålsmail/A 46552-2022 FSC-klagomål mail.docx", "A 46552-2022")</f>
        <v/>
      </c>
      <c r="X100">
        <f>HYPERLINK("https://klasma.github.io/Logging_0883/tillsyn/A 46552-2022 tillsynsbegäran.docx", "A 46552-2022")</f>
        <v/>
      </c>
      <c r="Y100">
        <f>HYPERLINK("https://klasma.github.io/Logging_0883/tillsynsmail/A 46552-2022 tillsynsbegäran mail.docx", "A 46552-2022")</f>
        <v/>
      </c>
    </row>
    <row r="101" ht="15" customHeight="1">
      <c r="A101" t="inlineStr">
        <is>
          <t>A 46787-2022</t>
        </is>
      </c>
      <c r="B101" s="1" t="n">
        <v>44851</v>
      </c>
      <c r="C101" s="1" t="n">
        <v>45507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Tallticka</t>
        </is>
      </c>
      <c r="S101">
        <f>HYPERLINK("https://klasma.github.io/Logging_0883/artfynd/A 46787-2022 artfynd.xlsx", "A 46787-2022")</f>
        <v/>
      </c>
      <c r="T101">
        <f>HYPERLINK("https://klasma.github.io/Logging_0883/kartor/A 46787-2022 karta.png", "A 46787-2022")</f>
        <v/>
      </c>
      <c r="V101">
        <f>HYPERLINK("https://klasma.github.io/Logging_0883/klagomål/A 46787-2022 FSC-klagomål.docx", "A 46787-2022")</f>
        <v/>
      </c>
      <c r="W101">
        <f>HYPERLINK("https://klasma.github.io/Logging_0883/klagomålsmail/A 46787-2022 FSC-klagomål mail.docx", "A 46787-2022")</f>
        <v/>
      </c>
      <c r="X101">
        <f>HYPERLINK("https://klasma.github.io/Logging_0883/tillsyn/A 46787-2022 tillsynsbegäran.docx", "A 46787-2022")</f>
        <v/>
      </c>
      <c r="Y101">
        <f>HYPERLINK("https://klasma.github.io/Logging_0883/tillsynsmail/A 46787-2022 tillsynsbegäran mail.docx", "A 46787-2022")</f>
        <v/>
      </c>
    </row>
    <row r="102" ht="15" customHeight="1">
      <c r="A102" t="inlineStr">
        <is>
          <t>A 50989-2022</t>
        </is>
      </c>
      <c r="B102" s="1" t="n">
        <v>44867</v>
      </c>
      <c r="C102" s="1" t="n">
        <v>45507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Vätteros</t>
        </is>
      </c>
      <c r="S102">
        <f>HYPERLINK("https://klasma.github.io/Logging_0883/artfynd/A 50989-2022 artfynd.xlsx", "A 50989-2022")</f>
        <v/>
      </c>
      <c r="T102">
        <f>HYPERLINK("https://klasma.github.io/Logging_0883/kartor/A 50989-2022 karta.png", "A 50989-2022")</f>
        <v/>
      </c>
      <c r="V102">
        <f>HYPERLINK("https://klasma.github.io/Logging_0883/klagomål/A 50989-2022 FSC-klagomål.docx", "A 50989-2022")</f>
        <v/>
      </c>
      <c r="W102">
        <f>HYPERLINK("https://klasma.github.io/Logging_0883/klagomålsmail/A 50989-2022 FSC-klagomål mail.docx", "A 50989-2022")</f>
        <v/>
      </c>
      <c r="X102">
        <f>HYPERLINK("https://klasma.github.io/Logging_0883/tillsyn/A 50989-2022 tillsynsbegäran.docx", "A 50989-2022")</f>
        <v/>
      </c>
      <c r="Y102">
        <f>HYPERLINK("https://klasma.github.io/Logging_0883/tillsynsmail/A 50989-2022 tillsynsbegäran mail.docx", "A 50989-2022")</f>
        <v/>
      </c>
    </row>
    <row r="103" ht="15" customHeight="1">
      <c r="A103" t="inlineStr">
        <is>
          <t>A 62003-2022</t>
        </is>
      </c>
      <c r="B103" s="1" t="n">
        <v>44918</v>
      </c>
      <c r="C103" s="1" t="n">
        <v>45507</v>
      </c>
      <c r="D103" t="inlineStr">
        <is>
          <t>KALMAR LÄN</t>
        </is>
      </c>
      <c r="E103" t="inlineStr">
        <is>
          <t>VÄSTERVIK</t>
        </is>
      </c>
      <c r="G103" t="n">
        <v>6.2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Linmåra/småsnärjmåra</t>
        </is>
      </c>
      <c r="S103">
        <f>HYPERLINK("https://klasma.github.io/Logging_0883/artfynd/A 62003-2022 artfynd.xlsx", "A 62003-2022")</f>
        <v/>
      </c>
      <c r="T103">
        <f>HYPERLINK("https://klasma.github.io/Logging_0883/kartor/A 62003-2022 karta.png", "A 62003-2022")</f>
        <v/>
      </c>
      <c r="U103">
        <f>HYPERLINK("https://klasma.github.io/Logging_0883/knärot/A 62003-2022 karta knärot.png", "A 62003-2022")</f>
        <v/>
      </c>
      <c r="V103">
        <f>HYPERLINK("https://klasma.github.io/Logging_0883/klagomål/A 62003-2022 FSC-klagomål.docx", "A 62003-2022")</f>
        <v/>
      </c>
      <c r="W103">
        <f>HYPERLINK("https://klasma.github.io/Logging_0883/klagomålsmail/A 62003-2022 FSC-klagomål mail.docx", "A 62003-2022")</f>
        <v/>
      </c>
      <c r="X103">
        <f>HYPERLINK("https://klasma.github.io/Logging_0883/tillsyn/A 62003-2022 tillsynsbegäran.docx", "A 62003-2022")</f>
        <v/>
      </c>
      <c r="Y103">
        <f>HYPERLINK("https://klasma.github.io/Logging_0883/tillsynsmail/A 62003-2022 tillsynsbegäran mail.docx", "A 62003-2022")</f>
        <v/>
      </c>
    </row>
    <row r="104" ht="15" customHeight="1">
      <c r="A104" t="inlineStr">
        <is>
          <t>A 2097-2023</t>
        </is>
      </c>
      <c r="B104" s="1" t="n">
        <v>44939</v>
      </c>
      <c r="C104" s="1" t="n">
        <v>45507</v>
      </c>
      <c r="D104" t="inlineStr">
        <is>
          <t>KALMAR LÄN</t>
        </is>
      </c>
      <c r="E104" t="inlineStr">
        <is>
          <t>VÄSTERVIK</t>
        </is>
      </c>
      <c r="G104" t="n">
        <v>6.9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Grovticka</t>
        </is>
      </c>
      <c r="S104">
        <f>HYPERLINK("https://klasma.github.io/Logging_0883/artfynd/A 2097-2023 artfynd.xlsx", "A 2097-2023")</f>
        <v/>
      </c>
      <c r="T104">
        <f>HYPERLINK("https://klasma.github.io/Logging_0883/kartor/A 2097-2023 karta.png", "A 2097-2023")</f>
        <v/>
      </c>
      <c r="U104">
        <f>HYPERLINK("https://klasma.github.io/Logging_0883/knärot/A 2097-2023 karta knärot.png", "A 2097-2023")</f>
        <v/>
      </c>
      <c r="V104">
        <f>HYPERLINK("https://klasma.github.io/Logging_0883/klagomål/A 2097-2023 FSC-klagomål.docx", "A 2097-2023")</f>
        <v/>
      </c>
      <c r="W104">
        <f>HYPERLINK("https://klasma.github.io/Logging_0883/klagomålsmail/A 2097-2023 FSC-klagomål mail.docx", "A 2097-2023")</f>
        <v/>
      </c>
      <c r="X104">
        <f>HYPERLINK("https://klasma.github.io/Logging_0883/tillsyn/A 2097-2023 tillsynsbegäran.docx", "A 2097-2023")</f>
        <v/>
      </c>
      <c r="Y104">
        <f>HYPERLINK("https://klasma.github.io/Logging_0883/tillsynsmail/A 2097-2023 tillsynsbegäran mail.docx", "A 2097-2023")</f>
        <v/>
      </c>
    </row>
    <row r="105" ht="15" customHeight="1">
      <c r="A105" t="inlineStr">
        <is>
          <t>A 2515-2023</t>
        </is>
      </c>
      <c r="B105" s="1" t="n">
        <v>44943</v>
      </c>
      <c r="C105" s="1" t="n">
        <v>45507</v>
      </c>
      <c r="D105" t="inlineStr">
        <is>
          <t>KALMAR LÄN</t>
        </is>
      </c>
      <c r="E105" t="inlineStr">
        <is>
          <t>VÄSTERVIK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2515-2023 artfynd.xlsx", "A 2515-2023")</f>
        <v/>
      </c>
      <c r="T105">
        <f>HYPERLINK("https://klasma.github.io/Logging_0883/kartor/A 2515-2023 karta.png", "A 2515-2023")</f>
        <v/>
      </c>
      <c r="U105">
        <f>HYPERLINK("https://klasma.github.io/Logging_0883/knärot/A 2515-2023 karta knärot.png", "A 2515-2023")</f>
        <v/>
      </c>
      <c r="V105">
        <f>HYPERLINK("https://klasma.github.io/Logging_0883/klagomål/A 2515-2023 FSC-klagomål.docx", "A 2515-2023")</f>
        <v/>
      </c>
      <c r="W105">
        <f>HYPERLINK("https://klasma.github.io/Logging_0883/klagomålsmail/A 2515-2023 FSC-klagomål mail.docx", "A 2515-2023")</f>
        <v/>
      </c>
      <c r="X105">
        <f>HYPERLINK("https://klasma.github.io/Logging_0883/tillsyn/A 2515-2023 tillsynsbegäran.docx", "A 2515-2023")</f>
        <v/>
      </c>
      <c r="Y105">
        <f>HYPERLINK("https://klasma.github.io/Logging_0883/tillsynsmail/A 2515-2023 tillsynsbegäran mail.docx", "A 2515-2023")</f>
        <v/>
      </c>
    </row>
    <row r="106" ht="15" customHeight="1">
      <c r="A106" t="inlineStr">
        <is>
          <t>A 3173-2023</t>
        </is>
      </c>
      <c r="B106" s="1" t="n">
        <v>44946</v>
      </c>
      <c r="C106" s="1" t="n">
        <v>45507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Tallticka</t>
        </is>
      </c>
      <c r="S106">
        <f>HYPERLINK("https://klasma.github.io/Logging_0883/artfynd/A 3173-2023 artfynd.xlsx", "A 3173-2023")</f>
        <v/>
      </c>
      <c r="T106">
        <f>HYPERLINK("https://klasma.github.io/Logging_0883/kartor/A 3173-2023 karta.png", "A 3173-2023")</f>
        <v/>
      </c>
      <c r="U106">
        <f>HYPERLINK("https://klasma.github.io/Logging_0883/knärot/A 3173-2023 karta knärot.png", "A 3173-2023")</f>
        <v/>
      </c>
      <c r="V106">
        <f>HYPERLINK("https://klasma.github.io/Logging_0883/klagomål/A 3173-2023 FSC-klagomål.docx", "A 3173-2023")</f>
        <v/>
      </c>
      <c r="W106">
        <f>HYPERLINK("https://klasma.github.io/Logging_0883/klagomålsmail/A 3173-2023 FSC-klagomål mail.docx", "A 3173-2023")</f>
        <v/>
      </c>
      <c r="X106">
        <f>HYPERLINK("https://klasma.github.io/Logging_0883/tillsyn/A 3173-2023 tillsynsbegäran.docx", "A 3173-2023")</f>
        <v/>
      </c>
      <c r="Y106">
        <f>HYPERLINK("https://klasma.github.io/Logging_0883/tillsynsmail/A 3173-2023 tillsynsbegäran mail.docx", "A 3173-2023")</f>
        <v/>
      </c>
    </row>
    <row r="107" ht="15" customHeight="1">
      <c r="A107" t="inlineStr">
        <is>
          <t>A 9040-2023</t>
        </is>
      </c>
      <c r="B107" s="1" t="n">
        <v>44979</v>
      </c>
      <c r="C107" s="1" t="n">
        <v>45507</v>
      </c>
      <c r="D107" t="inlineStr">
        <is>
          <t>KALMAR LÄN</t>
        </is>
      </c>
      <c r="E107" t="inlineStr">
        <is>
          <t>VÄSTERVIK</t>
        </is>
      </c>
      <c r="G107" t="n">
        <v>5.1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9040-2023 artfynd.xlsx", "A 9040-2023")</f>
        <v/>
      </c>
      <c r="T107">
        <f>HYPERLINK("https://klasma.github.io/Logging_0883/kartor/A 9040-2023 karta.png", "A 9040-2023")</f>
        <v/>
      </c>
      <c r="U107">
        <f>HYPERLINK("https://klasma.github.io/Logging_0883/knärot/A 9040-2023 karta knärot.png", "A 9040-2023")</f>
        <v/>
      </c>
      <c r="V107">
        <f>HYPERLINK("https://klasma.github.io/Logging_0883/klagomål/A 9040-2023 FSC-klagomål.docx", "A 9040-2023")</f>
        <v/>
      </c>
      <c r="W107">
        <f>HYPERLINK("https://klasma.github.io/Logging_0883/klagomålsmail/A 9040-2023 FSC-klagomål mail.docx", "A 9040-2023")</f>
        <v/>
      </c>
      <c r="X107">
        <f>HYPERLINK("https://klasma.github.io/Logging_0883/tillsyn/A 9040-2023 tillsynsbegäran.docx", "A 9040-2023")</f>
        <v/>
      </c>
      <c r="Y107">
        <f>HYPERLINK("https://klasma.github.io/Logging_0883/tillsynsmail/A 9040-2023 tillsynsbegäran mail.docx", "A 9040-2023")</f>
        <v/>
      </c>
    </row>
    <row r="108" ht="15" customHeight="1">
      <c r="A108" t="inlineStr">
        <is>
          <t>A 10806-2023</t>
        </is>
      </c>
      <c r="B108" s="1" t="n">
        <v>44989</v>
      </c>
      <c r="C108" s="1" t="n">
        <v>45507</v>
      </c>
      <c r="D108" t="inlineStr">
        <is>
          <t>KALMAR LÄN</t>
        </is>
      </c>
      <c r="E108" t="inlineStr">
        <is>
          <t>VÄSTERVIK</t>
        </is>
      </c>
      <c r="G108" t="n">
        <v>3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Revlummer</t>
        </is>
      </c>
      <c r="S108">
        <f>HYPERLINK("https://klasma.github.io/Logging_0883/artfynd/A 10806-2023 artfynd.xlsx", "A 10806-2023")</f>
        <v/>
      </c>
      <c r="T108">
        <f>HYPERLINK("https://klasma.github.io/Logging_0883/kartor/A 10806-2023 karta.png", "A 10806-2023")</f>
        <v/>
      </c>
      <c r="U108">
        <f>HYPERLINK("https://klasma.github.io/Logging_0883/knärot/A 10806-2023 karta knärot.png", "A 10806-2023")</f>
        <v/>
      </c>
      <c r="V108">
        <f>HYPERLINK("https://klasma.github.io/Logging_0883/klagomål/A 10806-2023 FSC-klagomål.docx", "A 10806-2023")</f>
        <v/>
      </c>
      <c r="W108">
        <f>HYPERLINK("https://klasma.github.io/Logging_0883/klagomålsmail/A 10806-2023 FSC-klagomål mail.docx", "A 10806-2023")</f>
        <v/>
      </c>
      <c r="X108">
        <f>HYPERLINK("https://klasma.github.io/Logging_0883/tillsyn/A 10806-2023 tillsynsbegäran.docx", "A 10806-2023")</f>
        <v/>
      </c>
      <c r="Y108">
        <f>HYPERLINK("https://klasma.github.io/Logging_0883/tillsynsmail/A 10806-2023 tillsynsbegäran mail.docx", "A 10806-2023")</f>
        <v/>
      </c>
    </row>
    <row r="109" ht="15" customHeight="1">
      <c r="A109" t="inlineStr">
        <is>
          <t>A 14301-2023</t>
        </is>
      </c>
      <c r="B109" s="1" t="n">
        <v>45011</v>
      </c>
      <c r="C109" s="1" t="n">
        <v>45507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14301-2023 artfynd.xlsx", "A 14301-2023")</f>
        <v/>
      </c>
      <c r="T109">
        <f>HYPERLINK("https://klasma.github.io/Logging_0883/kartor/A 14301-2023 karta.png", "A 14301-2023")</f>
        <v/>
      </c>
      <c r="U109">
        <f>HYPERLINK("https://klasma.github.io/Logging_0883/knärot/A 14301-2023 karta knärot.png", "A 14301-2023")</f>
        <v/>
      </c>
      <c r="V109">
        <f>HYPERLINK("https://klasma.github.io/Logging_0883/klagomål/A 14301-2023 FSC-klagomål.docx", "A 14301-2023")</f>
        <v/>
      </c>
      <c r="W109">
        <f>HYPERLINK("https://klasma.github.io/Logging_0883/klagomålsmail/A 14301-2023 FSC-klagomål mail.docx", "A 14301-2023")</f>
        <v/>
      </c>
      <c r="X109">
        <f>HYPERLINK("https://klasma.github.io/Logging_0883/tillsyn/A 14301-2023 tillsynsbegäran.docx", "A 14301-2023")</f>
        <v/>
      </c>
      <c r="Y109">
        <f>HYPERLINK("https://klasma.github.io/Logging_0883/tillsynsmail/A 14301-2023 tillsynsbegäran mail.docx", "A 14301-2023")</f>
        <v/>
      </c>
    </row>
    <row r="110" ht="15" customHeight="1">
      <c r="A110" t="inlineStr">
        <is>
          <t>A 25435-2023</t>
        </is>
      </c>
      <c r="B110" s="1" t="n">
        <v>45089</v>
      </c>
      <c r="C110" s="1" t="n">
        <v>45507</v>
      </c>
      <c r="D110" t="inlineStr">
        <is>
          <t>KALMAR LÄN</t>
        </is>
      </c>
      <c r="E110" t="inlineStr">
        <is>
          <t>VÄSTERVIK</t>
        </is>
      </c>
      <c r="G110" t="n">
        <v>1.6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Tjäder</t>
        </is>
      </c>
      <c r="S110">
        <f>HYPERLINK("https://klasma.github.io/Logging_0883/artfynd/A 25435-2023 artfynd.xlsx", "A 25435-2023")</f>
        <v/>
      </c>
      <c r="T110">
        <f>HYPERLINK("https://klasma.github.io/Logging_0883/kartor/A 25435-2023 karta.png", "A 25435-2023")</f>
        <v/>
      </c>
      <c r="U110">
        <f>HYPERLINK("https://klasma.github.io/Logging_0883/knärot/A 25435-2023 karta knärot.png", "A 25435-2023")</f>
        <v/>
      </c>
      <c r="V110">
        <f>HYPERLINK("https://klasma.github.io/Logging_0883/klagomål/A 25435-2023 FSC-klagomål.docx", "A 25435-2023")</f>
        <v/>
      </c>
      <c r="W110">
        <f>HYPERLINK("https://klasma.github.io/Logging_0883/klagomålsmail/A 25435-2023 FSC-klagomål mail.docx", "A 25435-2023")</f>
        <v/>
      </c>
      <c r="X110">
        <f>HYPERLINK("https://klasma.github.io/Logging_0883/tillsyn/A 25435-2023 tillsynsbegäran.docx", "A 25435-2023")</f>
        <v/>
      </c>
      <c r="Y110">
        <f>HYPERLINK("https://klasma.github.io/Logging_0883/tillsynsmail/A 25435-2023 tillsynsbegäran mail.docx", "A 25435-2023")</f>
        <v/>
      </c>
      <c r="Z110">
        <f>HYPERLINK("https://klasma.github.io/Logging_0883/fåglar/A 25435-2023 prioriterade fågelarter.docx", "A 25435-2023")</f>
        <v/>
      </c>
    </row>
    <row r="111" ht="15" customHeight="1">
      <c r="A111" t="inlineStr">
        <is>
          <t>A 32649-2023</t>
        </is>
      </c>
      <c r="B111" s="1" t="n">
        <v>45121</v>
      </c>
      <c r="C111" s="1" t="n">
        <v>45507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Blåmossa</t>
        </is>
      </c>
      <c r="S111">
        <f>HYPERLINK("https://klasma.github.io/Logging_0883/artfynd/A 32649-2023 artfynd.xlsx", "A 32649-2023")</f>
        <v/>
      </c>
      <c r="T111">
        <f>HYPERLINK("https://klasma.github.io/Logging_0883/kartor/A 32649-2023 karta.png", "A 32649-2023")</f>
        <v/>
      </c>
      <c r="U111">
        <f>HYPERLINK("https://klasma.github.io/Logging_0883/knärot/A 32649-2023 karta knärot.png", "A 32649-2023")</f>
        <v/>
      </c>
      <c r="V111">
        <f>HYPERLINK("https://klasma.github.io/Logging_0883/klagomål/A 32649-2023 FSC-klagomål.docx", "A 32649-2023")</f>
        <v/>
      </c>
      <c r="W111">
        <f>HYPERLINK("https://klasma.github.io/Logging_0883/klagomålsmail/A 32649-2023 FSC-klagomål mail.docx", "A 32649-2023")</f>
        <v/>
      </c>
      <c r="X111">
        <f>HYPERLINK("https://klasma.github.io/Logging_0883/tillsyn/A 32649-2023 tillsynsbegäran.docx", "A 32649-2023")</f>
        <v/>
      </c>
      <c r="Y111">
        <f>HYPERLINK("https://klasma.github.io/Logging_0883/tillsynsmail/A 32649-2023 tillsynsbegäran mail.docx", "A 32649-2023")</f>
        <v/>
      </c>
    </row>
    <row r="112" ht="15" customHeight="1">
      <c r="A112" t="inlineStr">
        <is>
          <t>A 33824-2023</t>
        </is>
      </c>
      <c r="B112" s="1" t="n">
        <v>45133</v>
      </c>
      <c r="C112" s="1" t="n">
        <v>45507</v>
      </c>
      <c r="D112" t="inlineStr">
        <is>
          <t>KALMAR LÄN</t>
        </is>
      </c>
      <c r="E112" t="inlineStr">
        <is>
          <t>VÄSTERVIK</t>
        </is>
      </c>
      <c r="G112" t="n">
        <v>2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33824-2023 artfynd.xlsx", "A 33824-2023")</f>
        <v/>
      </c>
      <c r="T112">
        <f>HYPERLINK("https://klasma.github.io/Logging_0883/kartor/A 33824-2023 karta.png", "A 33824-2023")</f>
        <v/>
      </c>
      <c r="U112">
        <f>HYPERLINK("https://klasma.github.io/Logging_0883/knärot/A 33824-2023 karta knärot.png", "A 33824-2023")</f>
        <v/>
      </c>
      <c r="V112">
        <f>HYPERLINK("https://klasma.github.io/Logging_0883/klagomål/A 33824-2023 FSC-klagomål.docx", "A 33824-2023")</f>
        <v/>
      </c>
      <c r="W112">
        <f>HYPERLINK("https://klasma.github.io/Logging_0883/klagomålsmail/A 33824-2023 FSC-klagomål mail.docx", "A 33824-2023")</f>
        <v/>
      </c>
      <c r="X112">
        <f>HYPERLINK("https://klasma.github.io/Logging_0883/tillsyn/A 33824-2023 tillsynsbegäran.docx", "A 33824-2023")</f>
        <v/>
      </c>
      <c r="Y112">
        <f>HYPERLINK("https://klasma.github.io/Logging_0883/tillsynsmail/A 33824-2023 tillsynsbegäran mail.docx", "A 33824-2023")</f>
        <v/>
      </c>
    </row>
    <row r="113" ht="15" customHeight="1">
      <c r="A113" t="inlineStr">
        <is>
          <t>A 33825-2023</t>
        </is>
      </c>
      <c r="B113" s="1" t="n">
        <v>45133</v>
      </c>
      <c r="C113" s="1" t="n">
        <v>45507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Tjäder</t>
        </is>
      </c>
      <c r="S113">
        <f>HYPERLINK("https://klasma.github.io/Logging_0883/artfynd/A 33825-2023 artfynd.xlsx", "A 33825-2023")</f>
        <v/>
      </c>
      <c r="T113">
        <f>HYPERLINK("https://klasma.github.io/Logging_0883/kartor/A 33825-2023 karta.png", "A 33825-2023")</f>
        <v/>
      </c>
      <c r="U113">
        <f>HYPERLINK("https://klasma.github.io/Logging_0883/knärot/A 33825-2023 karta knärot.png", "A 33825-2023")</f>
        <v/>
      </c>
      <c r="V113">
        <f>HYPERLINK("https://klasma.github.io/Logging_0883/klagomål/A 33825-2023 FSC-klagomål.docx", "A 33825-2023")</f>
        <v/>
      </c>
      <c r="W113">
        <f>HYPERLINK("https://klasma.github.io/Logging_0883/klagomålsmail/A 33825-2023 FSC-klagomål mail.docx", "A 33825-2023")</f>
        <v/>
      </c>
      <c r="X113">
        <f>HYPERLINK("https://klasma.github.io/Logging_0883/tillsyn/A 33825-2023 tillsynsbegäran.docx", "A 33825-2023")</f>
        <v/>
      </c>
      <c r="Y113">
        <f>HYPERLINK("https://klasma.github.io/Logging_0883/tillsynsmail/A 33825-2023 tillsynsbegäran mail.docx", "A 33825-2023")</f>
        <v/>
      </c>
      <c r="Z113">
        <f>HYPERLINK("https://klasma.github.io/Logging_0883/fåglar/A 33825-2023 prioriterade fågelarter.docx", "A 33825-2023")</f>
        <v/>
      </c>
    </row>
    <row r="114" ht="15" customHeight="1">
      <c r="A114" t="inlineStr">
        <is>
          <t>A 34120-2023</t>
        </is>
      </c>
      <c r="B114" s="1" t="n">
        <v>45135</v>
      </c>
      <c r="C114" s="1" t="n">
        <v>45507</v>
      </c>
      <c r="D114" t="inlineStr">
        <is>
          <t>KALMAR LÄN</t>
        </is>
      </c>
      <c r="E114" t="inlineStr">
        <is>
          <t>VÄSTERVIK</t>
        </is>
      </c>
      <c r="G114" t="n">
        <v>2.1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Blodticka</t>
        </is>
      </c>
      <c r="S114">
        <f>HYPERLINK("https://klasma.github.io/Logging_0883/artfynd/A 34120-2023 artfynd.xlsx", "A 34120-2023")</f>
        <v/>
      </c>
      <c r="T114">
        <f>HYPERLINK("https://klasma.github.io/Logging_0883/kartor/A 34120-2023 karta.png", "A 34120-2023")</f>
        <v/>
      </c>
      <c r="U114">
        <f>HYPERLINK("https://klasma.github.io/Logging_0883/knärot/A 34120-2023 karta knärot.png", "A 34120-2023")</f>
        <v/>
      </c>
      <c r="V114">
        <f>HYPERLINK("https://klasma.github.io/Logging_0883/klagomål/A 34120-2023 FSC-klagomål.docx", "A 34120-2023")</f>
        <v/>
      </c>
      <c r="W114">
        <f>HYPERLINK("https://klasma.github.io/Logging_0883/klagomålsmail/A 34120-2023 FSC-klagomål mail.docx", "A 34120-2023")</f>
        <v/>
      </c>
      <c r="X114">
        <f>HYPERLINK("https://klasma.github.io/Logging_0883/tillsyn/A 34120-2023 tillsynsbegäran.docx", "A 34120-2023")</f>
        <v/>
      </c>
      <c r="Y114">
        <f>HYPERLINK("https://klasma.github.io/Logging_0883/tillsynsmail/A 34120-2023 tillsynsbegäran mail.docx", "A 34120-2023")</f>
        <v/>
      </c>
    </row>
    <row r="115" ht="15" customHeight="1">
      <c r="A115" t="inlineStr">
        <is>
          <t>A 34119-2023</t>
        </is>
      </c>
      <c r="B115" s="1" t="n">
        <v>45135</v>
      </c>
      <c r="C115" s="1" t="n">
        <v>45507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Blomkålssvamp</t>
        </is>
      </c>
      <c r="S115">
        <f>HYPERLINK("https://klasma.github.io/Logging_0883/artfynd/A 34119-2023 artfynd.xlsx", "A 34119-2023")</f>
        <v/>
      </c>
      <c r="T115">
        <f>HYPERLINK("https://klasma.github.io/Logging_0883/kartor/A 34119-2023 karta.png", "A 34119-2023")</f>
        <v/>
      </c>
      <c r="U115">
        <f>HYPERLINK("https://klasma.github.io/Logging_0883/knärot/A 34119-2023 karta knärot.png", "A 34119-2023")</f>
        <v/>
      </c>
      <c r="V115">
        <f>HYPERLINK("https://klasma.github.io/Logging_0883/klagomål/A 34119-2023 FSC-klagomål.docx", "A 34119-2023")</f>
        <v/>
      </c>
      <c r="W115">
        <f>HYPERLINK("https://klasma.github.io/Logging_0883/klagomålsmail/A 34119-2023 FSC-klagomål mail.docx", "A 34119-2023")</f>
        <v/>
      </c>
      <c r="X115">
        <f>HYPERLINK("https://klasma.github.io/Logging_0883/tillsyn/A 34119-2023 tillsynsbegäran.docx", "A 34119-2023")</f>
        <v/>
      </c>
      <c r="Y115">
        <f>HYPERLINK("https://klasma.github.io/Logging_0883/tillsynsmail/A 34119-2023 tillsynsbegäran mail.docx", "A 34119-2023")</f>
        <v/>
      </c>
    </row>
    <row r="116" ht="15" customHeight="1">
      <c r="A116" t="inlineStr">
        <is>
          <t>A 38036-2023</t>
        </is>
      </c>
      <c r="B116" s="1" t="n">
        <v>45160</v>
      </c>
      <c r="C116" s="1" t="n">
        <v>45507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Barbastell
Nordfladdermus</t>
        </is>
      </c>
      <c r="S116">
        <f>HYPERLINK("https://klasma.github.io/Logging_0883/artfynd/A 38036-2023 artfynd.xlsx", "A 38036-2023")</f>
        <v/>
      </c>
      <c r="T116">
        <f>HYPERLINK("https://klasma.github.io/Logging_0883/kartor/A 38036-2023 karta.png", "A 38036-2023")</f>
        <v/>
      </c>
      <c r="V116">
        <f>HYPERLINK("https://klasma.github.io/Logging_0883/klagomål/A 38036-2023 FSC-klagomål.docx", "A 38036-2023")</f>
        <v/>
      </c>
      <c r="W116">
        <f>HYPERLINK("https://klasma.github.io/Logging_0883/klagomålsmail/A 38036-2023 FSC-klagomål mail.docx", "A 38036-2023")</f>
        <v/>
      </c>
      <c r="X116">
        <f>HYPERLINK("https://klasma.github.io/Logging_0883/tillsyn/A 38036-2023 tillsynsbegäran.docx", "A 38036-2023")</f>
        <v/>
      </c>
      <c r="Y116">
        <f>HYPERLINK("https://klasma.github.io/Logging_0883/tillsynsmail/A 38036-2023 tillsynsbegäran mail.docx", "A 38036-2023")</f>
        <v/>
      </c>
    </row>
    <row r="117" ht="15" customHeight="1">
      <c r="A117" t="inlineStr">
        <is>
          <t>A 46089-2023</t>
        </is>
      </c>
      <c r="B117" s="1" t="n">
        <v>45196</v>
      </c>
      <c r="C117" s="1" t="n">
        <v>45507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Fällmossa
Blåsippa</t>
        </is>
      </c>
      <c r="S117">
        <f>HYPERLINK("https://klasma.github.io/Logging_0883/artfynd/A 46089-2023 artfynd.xlsx", "A 46089-2023")</f>
        <v/>
      </c>
      <c r="T117">
        <f>HYPERLINK("https://klasma.github.io/Logging_0883/kartor/A 46089-2023 karta.png", "A 46089-2023")</f>
        <v/>
      </c>
      <c r="V117">
        <f>HYPERLINK("https://klasma.github.io/Logging_0883/klagomål/A 46089-2023 FSC-klagomål.docx", "A 46089-2023")</f>
        <v/>
      </c>
      <c r="W117">
        <f>HYPERLINK("https://klasma.github.io/Logging_0883/klagomålsmail/A 46089-2023 FSC-klagomål mail.docx", "A 46089-2023")</f>
        <v/>
      </c>
      <c r="X117">
        <f>HYPERLINK("https://klasma.github.io/Logging_0883/tillsyn/A 46089-2023 tillsynsbegäran.docx", "A 46089-2023")</f>
        <v/>
      </c>
      <c r="Y117">
        <f>HYPERLINK("https://klasma.github.io/Logging_0883/tillsynsmail/A 46089-2023 tillsynsbegäran mail.docx", "A 46089-2023")</f>
        <v/>
      </c>
    </row>
    <row r="118" ht="15" customHeight="1">
      <c r="A118" t="inlineStr">
        <is>
          <t>A 47935-2023</t>
        </is>
      </c>
      <c r="B118" s="1" t="n">
        <v>45204</v>
      </c>
      <c r="C118" s="1" t="n">
        <v>45507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Tallticka
Blåmossa</t>
        </is>
      </c>
      <c r="S118">
        <f>HYPERLINK("https://klasma.github.io/Logging_0883/artfynd/A 47935-2023 artfynd.xlsx", "A 47935-2023")</f>
        <v/>
      </c>
      <c r="T118">
        <f>HYPERLINK("https://klasma.github.io/Logging_0883/kartor/A 47935-2023 karta.png", "A 47935-2023")</f>
        <v/>
      </c>
      <c r="V118">
        <f>HYPERLINK("https://klasma.github.io/Logging_0883/klagomål/A 47935-2023 FSC-klagomål.docx", "A 47935-2023")</f>
        <v/>
      </c>
      <c r="W118">
        <f>HYPERLINK("https://klasma.github.io/Logging_0883/klagomålsmail/A 47935-2023 FSC-klagomål mail.docx", "A 47935-2023")</f>
        <v/>
      </c>
      <c r="X118">
        <f>HYPERLINK("https://klasma.github.io/Logging_0883/tillsyn/A 47935-2023 tillsynsbegäran.docx", "A 47935-2023")</f>
        <v/>
      </c>
      <c r="Y118">
        <f>HYPERLINK("https://klasma.github.io/Logging_0883/tillsynsmail/A 47935-2023 tillsynsbegäran mail.docx", "A 47935-2023")</f>
        <v/>
      </c>
    </row>
    <row r="119" ht="15" customHeight="1">
      <c r="A119" t="inlineStr">
        <is>
          <t>A 54360-2023</t>
        </is>
      </c>
      <c r="B119" s="1" t="n">
        <v>45233</v>
      </c>
      <c r="C119" s="1" t="n">
        <v>45507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Spindelört
Mattlummer</t>
        </is>
      </c>
      <c r="S119">
        <f>HYPERLINK("https://klasma.github.io/Logging_0883/artfynd/A 54360-2023 artfynd.xlsx", "A 54360-2023")</f>
        <v/>
      </c>
      <c r="T119">
        <f>HYPERLINK("https://klasma.github.io/Logging_0883/kartor/A 54360-2023 karta.png", "A 54360-2023")</f>
        <v/>
      </c>
      <c r="V119">
        <f>HYPERLINK("https://klasma.github.io/Logging_0883/klagomål/A 54360-2023 FSC-klagomål.docx", "A 54360-2023")</f>
        <v/>
      </c>
      <c r="W119">
        <f>HYPERLINK("https://klasma.github.io/Logging_0883/klagomålsmail/A 54360-2023 FSC-klagomål mail.docx", "A 54360-2023")</f>
        <v/>
      </c>
      <c r="X119">
        <f>HYPERLINK("https://klasma.github.io/Logging_0883/tillsyn/A 54360-2023 tillsynsbegäran.docx", "A 54360-2023")</f>
        <v/>
      </c>
      <c r="Y119">
        <f>HYPERLINK("https://klasma.github.io/Logging_0883/tillsynsmail/A 54360-2023 tillsynsbegäran mail.docx", "A 54360-2023")</f>
        <v/>
      </c>
    </row>
    <row r="120" ht="15" customHeight="1">
      <c r="A120" t="inlineStr">
        <is>
          <t>A 55408-2023</t>
        </is>
      </c>
      <c r="B120" s="1" t="n">
        <v>45238</v>
      </c>
      <c r="C120" s="1" t="n">
        <v>45507</v>
      </c>
      <c r="D120" t="inlineStr">
        <is>
          <t>KALMAR LÄN</t>
        </is>
      </c>
      <c r="E120" t="inlineStr">
        <is>
          <t>VÄSTERVIK</t>
        </is>
      </c>
      <c r="G120" t="n">
        <v>2.8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Ekticka
Tallticka</t>
        </is>
      </c>
      <c r="S120">
        <f>HYPERLINK("https://klasma.github.io/Logging_0883/artfynd/A 55408-2023 artfynd.xlsx", "A 55408-2023")</f>
        <v/>
      </c>
      <c r="T120">
        <f>HYPERLINK("https://klasma.github.io/Logging_0883/kartor/A 55408-2023 karta.png", "A 55408-2023")</f>
        <v/>
      </c>
      <c r="V120">
        <f>HYPERLINK("https://klasma.github.io/Logging_0883/klagomål/A 55408-2023 FSC-klagomål.docx", "A 55408-2023")</f>
        <v/>
      </c>
      <c r="W120">
        <f>HYPERLINK("https://klasma.github.io/Logging_0883/klagomålsmail/A 55408-2023 FSC-klagomål mail.docx", "A 55408-2023")</f>
        <v/>
      </c>
      <c r="X120">
        <f>HYPERLINK("https://klasma.github.io/Logging_0883/tillsyn/A 55408-2023 tillsynsbegäran.docx", "A 55408-2023")</f>
        <v/>
      </c>
      <c r="Y120">
        <f>HYPERLINK("https://klasma.github.io/Logging_0883/tillsynsmail/A 55408-2023 tillsynsbegäran mail.docx", "A 55408-2023")</f>
        <v/>
      </c>
    </row>
    <row r="121" ht="15" customHeight="1">
      <c r="A121" t="inlineStr">
        <is>
          <t>A 56857-2023</t>
        </is>
      </c>
      <c r="B121" s="1" t="n">
        <v>45244</v>
      </c>
      <c r="C121" s="1" t="n">
        <v>45507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7.5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HYPERLINK("https://klasma.github.io/Logging_0883/artfynd/A 56857-2023 artfynd.xlsx", "A 56857-2023")</f>
        <v/>
      </c>
      <c r="T121">
        <f>HYPERLINK("https://klasma.github.io/Logging_0883/kartor/A 56857-2023 karta.png", "A 56857-2023")</f>
        <v/>
      </c>
      <c r="U121">
        <f>HYPERLINK("https://klasma.github.io/Logging_0883/knärot/A 56857-2023 karta knärot.png", "A 56857-2023")</f>
        <v/>
      </c>
      <c r="V121">
        <f>HYPERLINK("https://klasma.github.io/Logging_0883/klagomål/A 56857-2023 FSC-klagomål.docx", "A 56857-2023")</f>
        <v/>
      </c>
      <c r="W121">
        <f>HYPERLINK("https://klasma.github.io/Logging_0883/klagomålsmail/A 56857-2023 FSC-klagomål mail.docx", "A 56857-2023")</f>
        <v/>
      </c>
      <c r="X121">
        <f>HYPERLINK("https://klasma.github.io/Logging_0883/tillsyn/A 56857-2023 tillsynsbegäran.docx", "A 56857-2023")</f>
        <v/>
      </c>
      <c r="Y121">
        <f>HYPERLINK("https://klasma.github.io/Logging_0883/tillsynsmail/A 56857-2023 tillsynsbegäran mail.docx", "A 56857-2023")</f>
        <v/>
      </c>
    </row>
    <row r="122" ht="15" customHeight="1">
      <c r="A122" t="inlineStr">
        <is>
          <t>A 60631-2023</t>
        </is>
      </c>
      <c r="B122" s="1" t="n">
        <v>45260</v>
      </c>
      <c r="C122" s="1" t="n">
        <v>45507</v>
      </c>
      <c r="D122" t="inlineStr">
        <is>
          <t>KALMAR LÄN</t>
        </is>
      </c>
      <c r="E122" t="inlineStr">
        <is>
          <t>VÄSTERVIK</t>
        </is>
      </c>
      <c r="G122" t="n">
        <v>4.5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Revlummer</t>
        </is>
      </c>
      <c r="S122">
        <f>HYPERLINK("https://klasma.github.io/Logging_0883/artfynd/A 60631-2023 artfynd.xlsx", "A 60631-2023")</f>
        <v/>
      </c>
      <c r="T122">
        <f>HYPERLINK("https://klasma.github.io/Logging_0883/kartor/A 60631-2023 karta.png", "A 60631-2023")</f>
        <v/>
      </c>
      <c r="V122">
        <f>HYPERLINK("https://klasma.github.io/Logging_0883/klagomål/A 60631-2023 FSC-klagomål.docx", "A 60631-2023")</f>
        <v/>
      </c>
      <c r="W122">
        <f>HYPERLINK("https://klasma.github.io/Logging_0883/klagomålsmail/A 60631-2023 FSC-klagomål mail.docx", "A 60631-2023")</f>
        <v/>
      </c>
      <c r="X122">
        <f>HYPERLINK("https://klasma.github.io/Logging_0883/tillsyn/A 60631-2023 tillsynsbegäran.docx", "A 60631-2023")</f>
        <v/>
      </c>
      <c r="Y122">
        <f>HYPERLINK("https://klasma.github.io/Logging_0883/tillsynsmail/A 60631-2023 tillsynsbegäran mail.docx", "A 60631-2023")</f>
        <v/>
      </c>
    </row>
    <row r="123" ht="15" customHeight="1">
      <c r="A123" t="inlineStr">
        <is>
          <t>A 60920-2023</t>
        </is>
      </c>
      <c r="B123" s="1" t="n">
        <v>45261</v>
      </c>
      <c r="C123" s="1" t="n">
        <v>45507</v>
      </c>
      <c r="D123" t="inlineStr">
        <is>
          <t>KALMAR LÄN</t>
        </is>
      </c>
      <c r="E123" t="inlineStr">
        <is>
          <t>VÄSTERVIK</t>
        </is>
      </c>
      <c r="G123" t="n">
        <v>10.1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Solvända
Spindelört</t>
        </is>
      </c>
      <c r="S123">
        <f>HYPERLINK("https://klasma.github.io/Logging_0883/artfynd/A 60920-2023 artfynd.xlsx", "A 60920-2023")</f>
        <v/>
      </c>
      <c r="T123">
        <f>HYPERLINK("https://klasma.github.io/Logging_0883/kartor/A 60920-2023 karta.png", "A 60920-2023")</f>
        <v/>
      </c>
      <c r="V123">
        <f>HYPERLINK("https://klasma.github.io/Logging_0883/klagomål/A 60920-2023 FSC-klagomål.docx", "A 60920-2023")</f>
        <v/>
      </c>
      <c r="W123">
        <f>HYPERLINK("https://klasma.github.io/Logging_0883/klagomålsmail/A 60920-2023 FSC-klagomål mail.docx", "A 60920-2023")</f>
        <v/>
      </c>
      <c r="X123">
        <f>HYPERLINK("https://klasma.github.io/Logging_0883/tillsyn/A 60920-2023 tillsynsbegäran.docx", "A 60920-2023")</f>
        <v/>
      </c>
      <c r="Y123">
        <f>HYPERLINK("https://klasma.github.io/Logging_0883/tillsynsmail/A 60920-2023 tillsynsbegäran mail.docx", "A 60920-2023")</f>
        <v/>
      </c>
    </row>
    <row r="124" ht="15" customHeight="1">
      <c r="A124" t="inlineStr">
        <is>
          <t>A 61804-2023</t>
        </is>
      </c>
      <c r="B124" s="1" t="n">
        <v>45266</v>
      </c>
      <c r="C124" s="1" t="n">
        <v>45507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Smalsprötad bastardsvärmare</t>
        </is>
      </c>
      <c r="S124">
        <f>HYPERLINK("https://klasma.github.io/Logging_0883/artfynd/A 61804-2023 artfynd.xlsx", "A 61804-2023")</f>
        <v/>
      </c>
      <c r="T124">
        <f>HYPERLINK("https://klasma.github.io/Logging_0883/kartor/A 61804-2023 karta.png", "A 61804-2023")</f>
        <v/>
      </c>
      <c r="V124">
        <f>HYPERLINK("https://klasma.github.io/Logging_0883/klagomål/A 61804-2023 FSC-klagomål.docx", "A 61804-2023")</f>
        <v/>
      </c>
      <c r="W124">
        <f>HYPERLINK("https://klasma.github.io/Logging_0883/klagomålsmail/A 61804-2023 FSC-klagomål mail.docx", "A 61804-2023")</f>
        <v/>
      </c>
      <c r="X124">
        <f>HYPERLINK("https://klasma.github.io/Logging_0883/tillsyn/A 61804-2023 tillsynsbegäran.docx", "A 61804-2023")</f>
        <v/>
      </c>
      <c r="Y124">
        <f>HYPERLINK("https://klasma.github.io/Logging_0883/tillsynsmail/A 61804-2023 tillsynsbegäran mail.docx", "A 61804-2023")</f>
        <v/>
      </c>
    </row>
    <row r="125" ht="15" customHeight="1">
      <c r="A125" t="inlineStr">
        <is>
          <t>A 62008-2023</t>
        </is>
      </c>
      <c r="B125" s="1" t="n">
        <v>45266</v>
      </c>
      <c r="C125" s="1" t="n">
        <v>45507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HYPERLINK("https://klasma.github.io/Logging_0883/artfynd/A 62008-2023 artfynd.xlsx", "A 62008-2023")</f>
        <v/>
      </c>
      <c r="T125">
        <f>HYPERLINK("https://klasma.github.io/Logging_0883/kartor/A 62008-2023 karta.png", "A 62008-2023")</f>
        <v/>
      </c>
      <c r="U125">
        <f>HYPERLINK("https://klasma.github.io/Logging_0883/knärot/A 62008-2023 karta knärot.png", "A 62008-2023")</f>
        <v/>
      </c>
      <c r="V125">
        <f>HYPERLINK("https://klasma.github.io/Logging_0883/klagomål/A 62008-2023 FSC-klagomål.docx", "A 62008-2023")</f>
        <v/>
      </c>
      <c r="W125">
        <f>HYPERLINK("https://klasma.github.io/Logging_0883/klagomålsmail/A 62008-2023 FSC-klagomål mail.docx", "A 62008-2023")</f>
        <v/>
      </c>
      <c r="X125">
        <f>HYPERLINK("https://klasma.github.io/Logging_0883/tillsyn/A 62008-2023 tillsynsbegäran.docx", "A 62008-2023")</f>
        <v/>
      </c>
      <c r="Y125">
        <f>HYPERLINK("https://klasma.github.io/Logging_0883/tillsynsmail/A 62008-2023 tillsynsbegäran mail.docx", "A 62008-2023")</f>
        <v/>
      </c>
      <c r="Z125">
        <f>HYPERLINK("https://klasma.github.io/Logging_0883/fåglar/A 62008-2023 prioriterade fågelarter.docx", "A 62008-2023")</f>
        <v/>
      </c>
    </row>
    <row r="126" ht="15" customHeight="1">
      <c r="A126" t="inlineStr">
        <is>
          <t>A 62029-2023</t>
        </is>
      </c>
      <c r="B126" s="1" t="n">
        <v>45266</v>
      </c>
      <c r="C126" s="1" t="n">
        <v>45507</v>
      </c>
      <c r="D126" t="inlineStr">
        <is>
          <t>KALMAR LÄN</t>
        </is>
      </c>
      <c r="E126" t="inlineStr">
        <is>
          <t>VÄSTERVIK</t>
        </is>
      </c>
      <c r="G126" t="n">
        <v>4.8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Tallticka
Talltita</t>
        </is>
      </c>
      <c r="S126">
        <f>HYPERLINK("https://klasma.github.io/Logging_0883/artfynd/A 62029-2023 artfynd.xlsx", "A 62029-2023")</f>
        <v/>
      </c>
      <c r="T126">
        <f>HYPERLINK("https://klasma.github.io/Logging_0883/kartor/A 62029-2023 karta.png", "A 62029-2023")</f>
        <v/>
      </c>
      <c r="V126">
        <f>HYPERLINK("https://klasma.github.io/Logging_0883/klagomål/A 62029-2023 FSC-klagomål.docx", "A 62029-2023")</f>
        <v/>
      </c>
      <c r="W126">
        <f>HYPERLINK("https://klasma.github.io/Logging_0883/klagomålsmail/A 62029-2023 FSC-klagomål mail.docx", "A 62029-2023")</f>
        <v/>
      </c>
      <c r="X126">
        <f>HYPERLINK("https://klasma.github.io/Logging_0883/tillsyn/A 62029-2023 tillsynsbegäran.docx", "A 62029-2023")</f>
        <v/>
      </c>
      <c r="Y126">
        <f>HYPERLINK("https://klasma.github.io/Logging_0883/tillsynsmail/A 62029-2023 tillsynsbegäran mail.docx", "A 62029-2023")</f>
        <v/>
      </c>
      <c r="Z126">
        <f>HYPERLINK("https://klasma.github.io/Logging_0883/fåglar/A 62029-2023 prioriterade fågelarter.docx", "A 62029-2023")</f>
        <v/>
      </c>
    </row>
    <row r="127" ht="15" customHeight="1">
      <c r="A127" t="inlineStr">
        <is>
          <t>A 64761-2023</t>
        </is>
      </c>
      <c r="B127" s="1" t="n">
        <v>45282</v>
      </c>
      <c r="C127" s="1" t="n">
        <v>45507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5.8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HYPERLINK("https://klasma.github.io/Logging_0883/artfynd/A 64761-2023 artfynd.xlsx", "A 64761-2023")</f>
        <v/>
      </c>
      <c r="T127">
        <f>HYPERLINK("https://klasma.github.io/Logging_0883/kartor/A 64761-2023 karta.png", "A 64761-2023")</f>
        <v/>
      </c>
      <c r="U127">
        <f>HYPERLINK("https://klasma.github.io/Logging_0883/knärot/A 64761-2023 karta knärot.png", "A 64761-2023")</f>
        <v/>
      </c>
      <c r="V127">
        <f>HYPERLINK("https://klasma.github.io/Logging_0883/klagomål/A 64761-2023 FSC-klagomål.docx", "A 64761-2023")</f>
        <v/>
      </c>
      <c r="W127">
        <f>HYPERLINK("https://klasma.github.io/Logging_0883/klagomålsmail/A 64761-2023 FSC-klagomål mail.docx", "A 64761-2023")</f>
        <v/>
      </c>
      <c r="X127">
        <f>HYPERLINK("https://klasma.github.io/Logging_0883/tillsyn/A 64761-2023 tillsynsbegäran.docx", "A 64761-2023")</f>
        <v/>
      </c>
      <c r="Y127">
        <f>HYPERLINK("https://klasma.github.io/Logging_0883/tillsynsmail/A 64761-2023 tillsynsbegäran mail.docx", "A 64761-2023")</f>
        <v/>
      </c>
      <c r="Z127">
        <f>HYPERLINK("https://klasma.github.io/Logging_0883/fåglar/A 64761-2023 prioriterade fågelarter.docx", "A 64761-2023")</f>
        <v/>
      </c>
    </row>
    <row r="128" ht="15" customHeight="1">
      <c r="A128" t="inlineStr">
        <is>
          <t>A 932-2024</t>
        </is>
      </c>
      <c r="B128" s="1" t="n">
        <v>45301</v>
      </c>
      <c r="C128" s="1" t="n">
        <v>45507</v>
      </c>
      <c r="D128" t="inlineStr">
        <is>
          <t>KALMAR LÄN</t>
        </is>
      </c>
      <c r="E128" t="inlineStr">
        <is>
          <t>VÄSTERVIK</t>
        </is>
      </c>
      <c r="G128" t="n">
        <v>3.7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Grovticka</t>
        </is>
      </c>
      <c r="S128">
        <f>HYPERLINK("https://klasma.github.io/Logging_0883/artfynd/A 932-2024 artfynd.xlsx", "A 932-2024")</f>
        <v/>
      </c>
      <c r="T128">
        <f>HYPERLINK("https://klasma.github.io/Logging_0883/kartor/A 932-2024 karta.png", "A 932-2024")</f>
        <v/>
      </c>
      <c r="V128">
        <f>HYPERLINK("https://klasma.github.io/Logging_0883/klagomål/A 932-2024 FSC-klagomål.docx", "A 932-2024")</f>
        <v/>
      </c>
      <c r="W128">
        <f>HYPERLINK("https://klasma.github.io/Logging_0883/klagomålsmail/A 932-2024 FSC-klagomål mail.docx", "A 932-2024")</f>
        <v/>
      </c>
      <c r="X128">
        <f>HYPERLINK("https://klasma.github.io/Logging_0883/tillsyn/A 932-2024 tillsynsbegäran.docx", "A 932-2024")</f>
        <v/>
      </c>
      <c r="Y128">
        <f>HYPERLINK("https://klasma.github.io/Logging_0883/tillsynsmail/A 932-2024 tillsynsbegäran mail.docx", "A 932-2024")</f>
        <v/>
      </c>
      <c r="Z128">
        <f>HYPERLINK("https://klasma.github.io/Logging_0883/fåglar/A 932-2024 prioriterade fågelarter.docx", "A 932-2024")</f>
        <v/>
      </c>
    </row>
    <row r="129" ht="15" customHeight="1">
      <c r="A129" t="inlineStr">
        <is>
          <t>A 948-2024</t>
        </is>
      </c>
      <c r="B129" s="1" t="n">
        <v>45301</v>
      </c>
      <c r="C129" s="1" t="n">
        <v>45507</v>
      </c>
      <c r="D129" t="inlineStr">
        <is>
          <t>KALMAR LÄN</t>
        </is>
      </c>
      <c r="E129" t="inlineStr">
        <is>
          <t>VÄSTERVIK</t>
        </is>
      </c>
      <c r="G129" t="n">
        <v>4.5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Tjäder</t>
        </is>
      </c>
      <c r="S129">
        <f>HYPERLINK("https://klasma.github.io/Logging_0883/artfynd/A 948-2024 artfynd.xlsx", "A 948-2024")</f>
        <v/>
      </c>
      <c r="T129">
        <f>HYPERLINK("https://klasma.github.io/Logging_0883/kartor/A 948-2024 karta.png", "A 948-2024")</f>
        <v/>
      </c>
      <c r="V129">
        <f>HYPERLINK("https://klasma.github.io/Logging_0883/klagomål/A 948-2024 FSC-klagomål.docx", "A 948-2024")</f>
        <v/>
      </c>
      <c r="W129">
        <f>HYPERLINK("https://klasma.github.io/Logging_0883/klagomålsmail/A 948-2024 FSC-klagomål mail.docx", "A 948-2024")</f>
        <v/>
      </c>
      <c r="X129">
        <f>HYPERLINK("https://klasma.github.io/Logging_0883/tillsyn/A 948-2024 tillsynsbegäran.docx", "A 948-2024")</f>
        <v/>
      </c>
      <c r="Y129">
        <f>HYPERLINK("https://klasma.github.io/Logging_0883/tillsynsmail/A 948-2024 tillsynsbegäran mail.docx", "A 948-2024")</f>
        <v/>
      </c>
      <c r="Z129">
        <f>HYPERLINK("https://klasma.github.io/Logging_0883/fåglar/A 948-2024 prioriterade fågelarter.docx", "A 948-2024")</f>
        <v/>
      </c>
    </row>
    <row r="130" ht="15" customHeight="1">
      <c r="A130" t="inlineStr">
        <is>
          <t>A 911-2024</t>
        </is>
      </c>
      <c r="B130" s="1" t="n">
        <v>45301</v>
      </c>
      <c r="C130" s="1" t="n">
        <v>45507</v>
      </c>
      <c r="D130" t="inlineStr">
        <is>
          <t>KALMAR LÄN</t>
        </is>
      </c>
      <c r="E130" t="inlineStr">
        <is>
          <t>VÄSTERVIK</t>
        </is>
      </c>
      <c r="G130" t="n">
        <v>5.6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Talltita
Blodticka</t>
        </is>
      </c>
      <c r="S130">
        <f>HYPERLINK("https://klasma.github.io/Logging_0883/artfynd/A 911-2024 artfynd.xlsx", "A 911-2024")</f>
        <v/>
      </c>
      <c r="T130">
        <f>HYPERLINK("https://klasma.github.io/Logging_0883/kartor/A 911-2024 karta.png", "A 911-2024")</f>
        <v/>
      </c>
      <c r="V130">
        <f>HYPERLINK("https://klasma.github.io/Logging_0883/klagomål/A 911-2024 FSC-klagomål.docx", "A 911-2024")</f>
        <v/>
      </c>
      <c r="W130">
        <f>HYPERLINK("https://klasma.github.io/Logging_0883/klagomålsmail/A 911-2024 FSC-klagomål mail.docx", "A 911-2024")</f>
        <v/>
      </c>
      <c r="X130">
        <f>HYPERLINK("https://klasma.github.io/Logging_0883/tillsyn/A 911-2024 tillsynsbegäran.docx", "A 911-2024")</f>
        <v/>
      </c>
      <c r="Y130">
        <f>HYPERLINK("https://klasma.github.io/Logging_0883/tillsynsmail/A 911-2024 tillsynsbegäran mail.docx", "A 911-2024")</f>
        <v/>
      </c>
      <c r="Z130">
        <f>HYPERLINK("https://klasma.github.io/Logging_0883/fåglar/A 911-2024 prioriterade fågelarter.docx", "A 911-2024")</f>
        <v/>
      </c>
    </row>
    <row r="131" ht="15" customHeight="1">
      <c r="A131" t="inlineStr">
        <is>
          <t>A 941-2024</t>
        </is>
      </c>
      <c r="B131" s="1" t="n">
        <v>45301</v>
      </c>
      <c r="C131" s="1" t="n">
        <v>45507</v>
      </c>
      <c r="D131" t="inlineStr">
        <is>
          <t>KALMAR LÄN</t>
        </is>
      </c>
      <c r="E131" t="inlineStr">
        <is>
          <t>VÄSTERVIK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Svinrot</t>
        </is>
      </c>
      <c r="S131">
        <f>HYPERLINK("https://klasma.github.io/Logging_0883/artfynd/A 941-2024 artfynd.xlsx", "A 941-2024")</f>
        <v/>
      </c>
      <c r="T131">
        <f>HYPERLINK("https://klasma.github.io/Logging_0883/kartor/A 941-2024 karta.png", "A 941-2024")</f>
        <v/>
      </c>
      <c r="U131">
        <f>HYPERLINK("https://klasma.github.io/Logging_0883/knärot/A 941-2024 karta knärot.png", "A 941-2024")</f>
        <v/>
      </c>
      <c r="V131">
        <f>HYPERLINK("https://klasma.github.io/Logging_0883/klagomål/A 941-2024 FSC-klagomål.docx", "A 941-2024")</f>
        <v/>
      </c>
      <c r="W131">
        <f>HYPERLINK("https://klasma.github.io/Logging_0883/klagomålsmail/A 941-2024 FSC-klagomål mail.docx", "A 941-2024")</f>
        <v/>
      </c>
      <c r="X131">
        <f>HYPERLINK("https://klasma.github.io/Logging_0883/tillsyn/A 941-2024 tillsynsbegäran.docx", "A 941-2024")</f>
        <v/>
      </c>
      <c r="Y131">
        <f>HYPERLINK("https://klasma.github.io/Logging_0883/tillsynsmail/A 941-2024 tillsynsbegäran mail.docx", "A 941-2024")</f>
        <v/>
      </c>
    </row>
    <row r="132" ht="15" customHeight="1">
      <c r="A132" t="inlineStr">
        <is>
          <t>A 1373-2024</t>
        </is>
      </c>
      <c r="B132" s="1" t="n">
        <v>45303</v>
      </c>
      <c r="C132" s="1" t="n">
        <v>45507</v>
      </c>
      <c r="D132" t="inlineStr">
        <is>
          <t>KALMAR LÄN</t>
        </is>
      </c>
      <c r="E132" t="inlineStr">
        <is>
          <t>VÄSTERVIK</t>
        </is>
      </c>
      <c r="G132" t="n">
        <v>3.7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Tallticka
Talltita</t>
        </is>
      </c>
      <c r="S132">
        <f>HYPERLINK("https://klasma.github.io/Logging_0883/artfynd/A 1373-2024 artfynd.xlsx", "A 1373-2024")</f>
        <v/>
      </c>
      <c r="T132">
        <f>HYPERLINK("https://klasma.github.io/Logging_0883/kartor/A 1373-2024 karta.png", "A 1373-2024")</f>
        <v/>
      </c>
      <c r="U132">
        <f>HYPERLINK("https://klasma.github.io/Logging_0883/knärot/A 1373-2024 karta knärot.png", "A 1373-2024")</f>
        <v/>
      </c>
      <c r="V132">
        <f>HYPERLINK("https://klasma.github.io/Logging_0883/klagomål/A 1373-2024 FSC-klagomål.docx", "A 1373-2024")</f>
        <v/>
      </c>
      <c r="W132">
        <f>HYPERLINK("https://klasma.github.io/Logging_0883/klagomålsmail/A 1373-2024 FSC-klagomål mail.docx", "A 1373-2024")</f>
        <v/>
      </c>
      <c r="X132">
        <f>HYPERLINK("https://klasma.github.io/Logging_0883/tillsyn/A 1373-2024 tillsynsbegäran.docx", "A 1373-2024")</f>
        <v/>
      </c>
      <c r="Y132">
        <f>HYPERLINK("https://klasma.github.io/Logging_0883/tillsynsmail/A 1373-2024 tillsynsbegäran mail.docx", "A 1373-2024")</f>
        <v/>
      </c>
      <c r="Z132">
        <f>HYPERLINK("https://klasma.github.io/Logging_0883/fåglar/A 1373-2024 prioriterade fågelarter.docx", "A 1373-2024")</f>
        <v/>
      </c>
    </row>
    <row r="133" ht="15" customHeight="1">
      <c r="A133" t="inlineStr">
        <is>
          <t>A 2126-2024</t>
        </is>
      </c>
      <c r="B133" s="1" t="n">
        <v>45309</v>
      </c>
      <c r="C133" s="1" t="n">
        <v>45507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Talltita</t>
        </is>
      </c>
      <c r="S133">
        <f>HYPERLINK("https://klasma.github.io/Logging_0883/artfynd/A 2126-2024 artfynd.xlsx", "A 2126-2024")</f>
        <v/>
      </c>
      <c r="T133">
        <f>HYPERLINK("https://klasma.github.io/Logging_0883/kartor/A 2126-2024 karta.png", "A 2126-2024")</f>
        <v/>
      </c>
      <c r="U133">
        <f>HYPERLINK("https://klasma.github.io/Logging_0883/knärot/A 2126-2024 karta knärot.png", "A 2126-2024")</f>
        <v/>
      </c>
      <c r="V133">
        <f>HYPERLINK("https://klasma.github.io/Logging_0883/klagomål/A 2126-2024 FSC-klagomål.docx", "A 2126-2024")</f>
        <v/>
      </c>
      <c r="W133">
        <f>HYPERLINK("https://klasma.github.io/Logging_0883/klagomålsmail/A 2126-2024 FSC-klagomål mail.docx", "A 2126-2024")</f>
        <v/>
      </c>
      <c r="X133">
        <f>HYPERLINK("https://klasma.github.io/Logging_0883/tillsyn/A 2126-2024 tillsynsbegäran.docx", "A 2126-2024")</f>
        <v/>
      </c>
      <c r="Y133">
        <f>HYPERLINK("https://klasma.github.io/Logging_0883/tillsynsmail/A 2126-2024 tillsynsbegäran mail.docx", "A 2126-2024")</f>
        <v/>
      </c>
      <c r="Z133">
        <f>HYPERLINK("https://klasma.github.io/Logging_0883/fåglar/A 2126-2024 prioriterade fågelarter.docx", "A 2126-2024")</f>
        <v/>
      </c>
    </row>
    <row r="134" ht="15" customHeight="1">
      <c r="A134" t="inlineStr">
        <is>
          <t>A 2809-2024</t>
        </is>
      </c>
      <c r="B134" s="1" t="n">
        <v>45314</v>
      </c>
      <c r="C134" s="1" t="n">
        <v>45507</v>
      </c>
      <c r="D134" t="inlineStr">
        <is>
          <t>KALMAR LÄN</t>
        </is>
      </c>
      <c r="E134" t="inlineStr">
        <is>
          <t>VÄSTERVIK</t>
        </is>
      </c>
      <c r="G134" t="n">
        <v>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Tallticka
Tjäder</t>
        </is>
      </c>
      <c r="S134">
        <f>HYPERLINK("https://klasma.github.io/Logging_0883/artfynd/A 2809-2024 artfynd.xlsx", "A 2809-2024")</f>
        <v/>
      </c>
      <c r="T134">
        <f>HYPERLINK("https://klasma.github.io/Logging_0883/kartor/A 2809-2024 karta.png", "A 2809-2024")</f>
        <v/>
      </c>
      <c r="U134">
        <f>HYPERLINK("https://klasma.github.io/Logging_0883/knärot/A 2809-2024 karta knärot.png", "A 2809-2024")</f>
        <v/>
      </c>
      <c r="V134">
        <f>HYPERLINK("https://klasma.github.io/Logging_0883/klagomål/A 2809-2024 FSC-klagomål.docx", "A 2809-2024")</f>
        <v/>
      </c>
      <c r="W134">
        <f>HYPERLINK("https://klasma.github.io/Logging_0883/klagomålsmail/A 2809-2024 FSC-klagomål mail.docx", "A 2809-2024")</f>
        <v/>
      </c>
      <c r="X134">
        <f>HYPERLINK("https://klasma.github.io/Logging_0883/tillsyn/A 2809-2024 tillsynsbegäran.docx", "A 2809-2024")</f>
        <v/>
      </c>
      <c r="Y134">
        <f>HYPERLINK("https://klasma.github.io/Logging_0883/tillsynsmail/A 2809-2024 tillsynsbegäran mail.docx", "A 2809-2024")</f>
        <v/>
      </c>
      <c r="Z134">
        <f>HYPERLINK("https://klasma.github.io/Logging_0883/fåglar/A 2809-2024 prioriterade fågelarter.docx", "A 2809-2024")</f>
        <v/>
      </c>
    </row>
    <row r="135" ht="15" customHeight="1">
      <c r="A135" t="inlineStr">
        <is>
          <t>A 3264-2024</t>
        </is>
      </c>
      <c r="B135" s="1" t="n">
        <v>45317</v>
      </c>
      <c r="C135" s="1" t="n">
        <v>45507</v>
      </c>
      <c r="D135" t="inlineStr">
        <is>
          <t>KALMAR LÄN</t>
        </is>
      </c>
      <c r="E135" t="inlineStr">
        <is>
          <t>VÄSTERVIK</t>
        </is>
      </c>
      <c r="G135" t="n">
        <v>6.5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Blåmossa</t>
        </is>
      </c>
      <c r="S135">
        <f>HYPERLINK("https://klasma.github.io/Logging_0883/artfynd/A 3264-2024 artfynd.xlsx", "A 3264-2024")</f>
        <v/>
      </c>
      <c r="T135">
        <f>HYPERLINK("https://klasma.github.io/Logging_0883/kartor/A 3264-2024 karta.png", "A 3264-2024")</f>
        <v/>
      </c>
      <c r="V135">
        <f>HYPERLINK("https://klasma.github.io/Logging_0883/klagomål/A 3264-2024 FSC-klagomål.docx", "A 3264-2024")</f>
        <v/>
      </c>
      <c r="W135">
        <f>HYPERLINK("https://klasma.github.io/Logging_0883/klagomålsmail/A 3264-2024 FSC-klagomål mail.docx", "A 3264-2024")</f>
        <v/>
      </c>
      <c r="X135">
        <f>HYPERLINK("https://klasma.github.io/Logging_0883/tillsyn/A 3264-2024 tillsynsbegäran.docx", "A 3264-2024")</f>
        <v/>
      </c>
      <c r="Y135">
        <f>HYPERLINK("https://klasma.github.io/Logging_0883/tillsynsmail/A 3264-2024 tillsynsbegäran mail.docx", "A 3264-2024")</f>
        <v/>
      </c>
      <c r="Z135">
        <f>HYPERLINK("https://klasma.github.io/Logging_0883/fåglar/A 3264-2024 prioriterade fågelarter.docx", "A 3264-2024")</f>
        <v/>
      </c>
    </row>
    <row r="136" ht="15" customHeight="1">
      <c r="A136" t="inlineStr">
        <is>
          <t>A 3658-2024</t>
        </is>
      </c>
      <c r="B136" s="1" t="n">
        <v>45321</v>
      </c>
      <c r="C136" s="1" t="n">
        <v>45507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3658-2024 artfynd.xlsx", "A 3658-2024")</f>
        <v/>
      </c>
      <c r="T136">
        <f>HYPERLINK("https://klasma.github.io/Logging_0883/kartor/A 3658-2024 karta.png", "A 3658-2024")</f>
        <v/>
      </c>
      <c r="U136">
        <f>HYPERLINK("https://klasma.github.io/Logging_0883/knärot/A 3658-2024 karta knärot.png", "A 3658-2024")</f>
        <v/>
      </c>
      <c r="V136">
        <f>HYPERLINK("https://klasma.github.io/Logging_0883/klagomål/A 3658-2024 FSC-klagomål.docx", "A 3658-2024")</f>
        <v/>
      </c>
      <c r="W136">
        <f>HYPERLINK("https://klasma.github.io/Logging_0883/klagomålsmail/A 3658-2024 FSC-klagomål mail.docx", "A 3658-2024")</f>
        <v/>
      </c>
      <c r="X136">
        <f>HYPERLINK("https://klasma.github.io/Logging_0883/tillsyn/A 3658-2024 tillsynsbegäran.docx", "A 3658-2024")</f>
        <v/>
      </c>
      <c r="Y136">
        <f>HYPERLINK("https://klasma.github.io/Logging_0883/tillsynsmail/A 3658-2024 tillsynsbegäran mail.docx", "A 3658-2024")</f>
        <v/>
      </c>
    </row>
    <row r="137" ht="15" customHeight="1">
      <c r="A137" t="inlineStr">
        <is>
          <t>A 8618-2024</t>
        </is>
      </c>
      <c r="B137" s="1" t="n">
        <v>45355</v>
      </c>
      <c r="C137" s="1" t="n">
        <v>45507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8618-2024 artfynd.xlsx", "A 8618-2024")</f>
        <v/>
      </c>
      <c r="T137">
        <f>HYPERLINK("https://klasma.github.io/Logging_0883/kartor/A 8618-2024 karta.png", "A 8618-2024")</f>
        <v/>
      </c>
      <c r="U137">
        <f>HYPERLINK("https://klasma.github.io/Logging_0883/knärot/A 8618-2024 karta knärot.png", "A 8618-2024")</f>
        <v/>
      </c>
      <c r="V137">
        <f>HYPERLINK("https://klasma.github.io/Logging_0883/klagomål/A 8618-2024 FSC-klagomål.docx", "A 8618-2024")</f>
        <v/>
      </c>
      <c r="W137">
        <f>HYPERLINK("https://klasma.github.io/Logging_0883/klagomålsmail/A 8618-2024 FSC-klagomål mail.docx", "A 8618-2024")</f>
        <v/>
      </c>
      <c r="X137">
        <f>HYPERLINK("https://klasma.github.io/Logging_0883/tillsyn/A 8618-2024 tillsynsbegäran.docx", "A 8618-2024")</f>
        <v/>
      </c>
      <c r="Y137">
        <f>HYPERLINK("https://klasma.github.io/Logging_0883/tillsynsmail/A 8618-2024 tillsynsbegäran mail.docx", "A 8618-2024")</f>
        <v/>
      </c>
    </row>
    <row r="138" ht="15" customHeight="1">
      <c r="A138" t="inlineStr">
        <is>
          <t>A 9770-2024</t>
        </is>
      </c>
      <c r="B138" s="1" t="n">
        <v>45362</v>
      </c>
      <c r="C138" s="1" t="n">
        <v>45507</v>
      </c>
      <c r="D138" t="inlineStr">
        <is>
          <t>KALMAR LÄN</t>
        </is>
      </c>
      <c r="E138" t="inlineStr">
        <is>
          <t>VÄSTERVIK</t>
        </is>
      </c>
      <c r="G138" t="n">
        <v>2.6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Tjäder</t>
        </is>
      </c>
      <c r="S138">
        <f>HYPERLINK("https://klasma.github.io/Logging_0883/artfynd/A 9770-2024 artfynd.xlsx", "A 9770-2024")</f>
        <v/>
      </c>
      <c r="T138">
        <f>HYPERLINK("https://klasma.github.io/Logging_0883/kartor/A 9770-2024 karta.png", "A 9770-2024")</f>
        <v/>
      </c>
      <c r="V138">
        <f>HYPERLINK("https://klasma.github.io/Logging_0883/klagomål/A 9770-2024 FSC-klagomål.docx", "A 9770-2024")</f>
        <v/>
      </c>
      <c r="W138">
        <f>HYPERLINK("https://klasma.github.io/Logging_0883/klagomålsmail/A 9770-2024 FSC-klagomål mail.docx", "A 9770-2024")</f>
        <v/>
      </c>
      <c r="X138">
        <f>HYPERLINK("https://klasma.github.io/Logging_0883/tillsyn/A 9770-2024 tillsynsbegäran.docx", "A 9770-2024")</f>
        <v/>
      </c>
      <c r="Y138">
        <f>HYPERLINK("https://klasma.github.io/Logging_0883/tillsynsmail/A 9770-2024 tillsynsbegäran mail.docx", "A 9770-2024")</f>
        <v/>
      </c>
      <c r="Z138">
        <f>HYPERLINK("https://klasma.github.io/Logging_0883/fåglar/A 9770-2024 prioriterade fågelarter.docx", "A 9770-2024")</f>
        <v/>
      </c>
    </row>
    <row r="139" ht="15" customHeight="1">
      <c r="A139" t="inlineStr">
        <is>
          <t>A 11849-2024</t>
        </is>
      </c>
      <c r="B139" s="1" t="n">
        <v>45376</v>
      </c>
      <c r="C139" s="1" t="n">
        <v>45507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Mattlummer
Revlummer</t>
        </is>
      </c>
      <c r="S139">
        <f>HYPERLINK("https://klasma.github.io/Logging_0883/artfynd/A 11849-2024 artfynd.xlsx", "A 11849-2024")</f>
        <v/>
      </c>
      <c r="T139">
        <f>HYPERLINK("https://klasma.github.io/Logging_0883/kartor/A 11849-2024 karta.png", "A 11849-2024")</f>
        <v/>
      </c>
      <c r="V139">
        <f>HYPERLINK("https://klasma.github.io/Logging_0883/klagomål/A 11849-2024 FSC-klagomål.docx", "A 11849-2024")</f>
        <v/>
      </c>
      <c r="W139">
        <f>HYPERLINK("https://klasma.github.io/Logging_0883/klagomålsmail/A 11849-2024 FSC-klagomål mail.docx", "A 11849-2024")</f>
        <v/>
      </c>
      <c r="X139">
        <f>HYPERLINK("https://klasma.github.io/Logging_0883/tillsyn/A 11849-2024 tillsynsbegäran.docx", "A 11849-2024")</f>
        <v/>
      </c>
      <c r="Y139">
        <f>HYPERLINK("https://klasma.github.io/Logging_0883/tillsynsmail/A 11849-2024 tillsynsbegäran mail.docx", "A 11849-2024")</f>
        <v/>
      </c>
    </row>
    <row r="140" ht="15" customHeight="1">
      <c r="A140" t="inlineStr">
        <is>
          <t>A 12212-2024</t>
        </is>
      </c>
      <c r="B140" s="1" t="n">
        <v>45378</v>
      </c>
      <c r="C140" s="1" t="n">
        <v>45507</v>
      </c>
      <c r="D140" t="inlineStr">
        <is>
          <t>KALMAR LÄN</t>
        </is>
      </c>
      <c r="E140" t="inlineStr">
        <is>
          <t>VÄSTERVIK</t>
        </is>
      </c>
      <c r="G140" t="n">
        <v>0.8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12212-2024 artfynd.xlsx", "A 12212-2024")</f>
        <v/>
      </c>
      <c r="T140">
        <f>HYPERLINK("https://klasma.github.io/Logging_0883/kartor/A 12212-2024 karta.png", "A 12212-2024")</f>
        <v/>
      </c>
      <c r="V140">
        <f>HYPERLINK("https://klasma.github.io/Logging_0883/klagomål/A 12212-2024 FSC-klagomål.docx", "A 12212-2024")</f>
        <v/>
      </c>
      <c r="W140">
        <f>HYPERLINK("https://klasma.github.io/Logging_0883/klagomålsmail/A 12212-2024 FSC-klagomål mail.docx", "A 12212-2024")</f>
        <v/>
      </c>
      <c r="X140">
        <f>HYPERLINK("https://klasma.github.io/Logging_0883/tillsyn/A 12212-2024 tillsynsbegäran.docx", "A 12212-2024")</f>
        <v/>
      </c>
      <c r="Y140">
        <f>HYPERLINK("https://klasma.github.io/Logging_0883/tillsynsmail/A 12212-2024 tillsynsbegäran mail.docx", "A 12212-2024")</f>
        <v/>
      </c>
      <c r="Z140">
        <f>HYPERLINK("https://klasma.github.io/Logging_0883/fåglar/A 12212-2024 prioriterade fågelarter.docx", "A 12212-2024")</f>
        <v/>
      </c>
    </row>
    <row r="141" ht="15" customHeight="1">
      <c r="A141" t="inlineStr">
        <is>
          <t>A 12598-2024</t>
        </is>
      </c>
      <c r="B141" s="1" t="n">
        <v>45380</v>
      </c>
      <c r="C141" s="1" t="n">
        <v>45507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12598-2024 artfynd.xlsx", "A 12598-2024")</f>
        <v/>
      </c>
      <c r="T141">
        <f>HYPERLINK("https://klasma.github.io/Logging_0883/kartor/A 12598-2024 karta.png", "A 12598-2024")</f>
        <v/>
      </c>
      <c r="U141">
        <f>HYPERLINK("https://klasma.github.io/Logging_0883/knärot/A 12598-2024 karta knärot.png", "A 12598-2024")</f>
        <v/>
      </c>
      <c r="V141">
        <f>HYPERLINK("https://klasma.github.io/Logging_0883/klagomål/A 12598-2024 FSC-klagomål.docx", "A 12598-2024")</f>
        <v/>
      </c>
      <c r="W141">
        <f>HYPERLINK("https://klasma.github.io/Logging_0883/klagomålsmail/A 12598-2024 FSC-klagomål mail.docx", "A 12598-2024")</f>
        <v/>
      </c>
      <c r="X141">
        <f>HYPERLINK("https://klasma.github.io/Logging_0883/tillsyn/A 12598-2024 tillsynsbegäran.docx", "A 12598-2024")</f>
        <v/>
      </c>
      <c r="Y141">
        <f>HYPERLINK("https://klasma.github.io/Logging_0883/tillsynsmail/A 12598-2024 tillsynsbegäran mail.docx", "A 12598-2024")</f>
        <v/>
      </c>
    </row>
    <row r="142" ht="15" customHeight="1">
      <c r="A142" t="inlineStr">
        <is>
          <t>A 15534-2024</t>
        </is>
      </c>
      <c r="B142" s="1" t="n">
        <v>45401</v>
      </c>
      <c r="C142" s="1" t="n">
        <v>45507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15534-2024 artfynd.xlsx", "A 15534-2024")</f>
        <v/>
      </c>
      <c r="T142">
        <f>HYPERLINK("https://klasma.github.io/Logging_0883/kartor/A 15534-2024 karta.png", "A 15534-2024")</f>
        <v/>
      </c>
      <c r="U142">
        <f>HYPERLINK("https://klasma.github.io/Logging_0883/knärot/A 15534-2024 karta knärot.png", "A 15534-2024")</f>
        <v/>
      </c>
      <c r="V142">
        <f>HYPERLINK("https://klasma.github.io/Logging_0883/klagomål/A 15534-2024 FSC-klagomål.docx", "A 15534-2024")</f>
        <v/>
      </c>
      <c r="W142">
        <f>HYPERLINK("https://klasma.github.io/Logging_0883/klagomålsmail/A 15534-2024 FSC-klagomål mail.docx", "A 15534-2024")</f>
        <v/>
      </c>
      <c r="X142">
        <f>HYPERLINK("https://klasma.github.io/Logging_0883/tillsyn/A 15534-2024 tillsynsbegäran.docx", "A 15534-2024")</f>
        <v/>
      </c>
      <c r="Y142">
        <f>HYPERLINK("https://klasma.github.io/Logging_0883/tillsynsmail/A 15534-2024 tillsynsbegäran mail.docx", "A 15534-2024")</f>
        <v/>
      </c>
    </row>
    <row r="143" ht="15" customHeight="1">
      <c r="A143" t="inlineStr">
        <is>
          <t>A 16419-2024</t>
        </is>
      </c>
      <c r="B143" s="1" t="n">
        <v>45407</v>
      </c>
      <c r="C143" s="1" t="n">
        <v>45507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16419-2024 artfynd.xlsx", "A 16419-2024")</f>
        <v/>
      </c>
      <c r="T143">
        <f>HYPERLINK("https://klasma.github.io/Logging_0883/kartor/A 16419-2024 karta.png", "A 16419-2024")</f>
        <v/>
      </c>
      <c r="U143">
        <f>HYPERLINK("https://klasma.github.io/Logging_0883/knärot/A 16419-2024 karta knärot.png", "A 16419-2024")</f>
        <v/>
      </c>
      <c r="V143">
        <f>HYPERLINK("https://klasma.github.io/Logging_0883/klagomål/A 16419-2024 FSC-klagomål.docx", "A 16419-2024")</f>
        <v/>
      </c>
      <c r="W143">
        <f>HYPERLINK("https://klasma.github.io/Logging_0883/klagomålsmail/A 16419-2024 FSC-klagomål mail.docx", "A 16419-2024")</f>
        <v/>
      </c>
      <c r="X143">
        <f>HYPERLINK("https://klasma.github.io/Logging_0883/tillsyn/A 16419-2024 tillsynsbegäran.docx", "A 16419-2024")</f>
        <v/>
      </c>
      <c r="Y143">
        <f>HYPERLINK("https://klasma.github.io/Logging_0883/tillsynsmail/A 16419-2024 tillsynsbegäran mail.docx", "A 16419-2024")</f>
        <v/>
      </c>
      <c r="Z143">
        <f>HYPERLINK("https://klasma.github.io/Logging_0883/fåglar/A 16419-2024 prioriterade fågelarter.docx", "A 16419-2024")</f>
        <v/>
      </c>
    </row>
    <row r="144" ht="15" customHeight="1">
      <c r="A144" t="inlineStr">
        <is>
          <t>A 17438-2024</t>
        </is>
      </c>
      <c r="B144" s="1" t="n">
        <v>45415</v>
      </c>
      <c r="C144" s="1" t="n">
        <v>45507</v>
      </c>
      <c r="D144" t="inlineStr">
        <is>
          <t>KALMAR LÄN</t>
        </is>
      </c>
      <c r="E144" t="inlineStr">
        <is>
          <t>VÄSTERVIK</t>
        </is>
      </c>
      <c r="G144" t="n">
        <v>3.8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17438-2024 artfynd.xlsx", "A 17438-2024")</f>
        <v/>
      </c>
      <c r="T144">
        <f>HYPERLINK("https://klasma.github.io/Logging_0883/kartor/A 17438-2024 karta.png", "A 17438-2024")</f>
        <v/>
      </c>
      <c r="U144">
        <f>HYPERLINK("https://klasma.github.io/Logging_0883/knärot/A 17438-2024 karta knärot.png", "A 17438-2024")</f>
        <v/>
      </c>
      <c r="V144">
        <f>HYPERLINK("https://klasma.github.io/Logging_0883/klagomål/A 17438-2024 FSC-klagomål.docx", "A 17438-2024")</f>
        <v/>
      </c>
      <c r="W144">
        <f>HYPERLINK("https://klasma.github.io/Logging_0883/klagomålsmail/A 17438-2024 FSC-klagomål mail.docx", "A 17438-2024")</f>
        <v/>
      </c>
      <c r="X144">
        <f>HYPERLINK("https://klasma.github.io/Logging_0883/tillsyn/A 17438-2024 tillsynsbegäran.docx", "A 17438-2024")</f>
        <v/>
      </c>
      <c r="Y144">
        <f>HYPERLINK("https://klasma.github.io/Logging_0883/tillsynsmail/A 17438-2024 tillsynsbegäran mail.docx", "A 17438-2024")</f>
        <v/>
      </c>
      <c r="Z144">
        <f>HYPERLINK("https://klasma.github.io/Logging_0883/fåglar/A 17438-2024 prioriterade fågelarter.docx", "A 17438-2024")</f>
        <v/>
      </c>
    </row>
    <row r="145" ht="15" customHeight="1">
      <c r="A145" t="inlineStr">
        <is>
          <t>A 23220-2024</t>
        </is>
      </c>
      <c r="B145" s="1" t="n">
        <v>45452</v>
      </c>
      <c r="C145" s="1" t="n">
        <v>45507</v>
      </c>
      <c r="D145" t="inlineStr">
        <is>
          <t>KALMAR LÄN</t>
        </is>
      </c>
      <c r="E145" t="inlineStr">
        <is>
          <t>VÄSTERVIK</t>
        </is>
      </c>
      <c r="G145" t="n">
        <v>0.9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Grönpyrola</t>
        </is>
      </c>
      <c r="S145">
        <f>HYPERLINK("https://klasma.github.io/Logging_0883/artfynd/A 23220-2024 artfynd.xlsx", "A 23220-2024")</f>
        <v/>
      </c>
      <c r="T145">
        <f>HYPERLINK("https://klasma.github.io/Logging_0883/kartor/A 23220-2024 karta.png", "A 23220-2024")</f>
        <v/>
      </c>
      <c r="V145">
        <f>HYPERLINK("https://klasma.github.io/Logging_0883/klagomål/A 23220-2024 FSC-klagomål.docx", "A 23220-2024")</f>
        <v/>
      </c>
      <c r="W145">
        <f>HYPERLINK("https://klasma.github.io/Logging_0883/klagomålsmail/A 23220-2024 FSC-klagomål mail.docx", "A 23220-2024")</f>
        <v/>
      </c>
      <c r="X145">
        <f>HYPERLINK("https://klasma.github.io/Logging_0883/tillsyn/A 23220-2024 tillsynsbegäran.docx", "A 23220-2024")</f>
        <v/>
      </c>
      <c r="Y145">
        <f>HYPERLINK("https://klasma.github.io/Logging_0883/tillsynsmail/A 23220-2024 tillsynsbegäran mail.docx", "A 23220-2024")</f>
        <v/>
      </c>
    </row>
    <row r="146" ht="15" customHeight="1">
      <c r="A146" t="inlineStr">
        <is>
          <t>A 23791-2024</t>
        </is>
      </c>
      <c r="B146" s="1" t="n">
        <v>45455</v>
      </c>
      <c r="C146" s="1" t="n">
        <v>45507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Tjockfotad fingersvamp</t>
        </is>
      </c>
      <c r="S146">
        <f>HYPERLINK("https://klasma.github.io/Logging_0883/artfynd/A 23791-2024 artfynd.xlsx", "A 23791-2024")</f>
        <v/>
      </c>
      <c r="T146">
        <f>HYPERLINK("https://klasma.github.io/Logging_0883/kartor/A 23791-2024 karta.png", "A 23791-2024")</f>
        <v/>
      </c>
      <c r="U146">
        <f>HYPERLINK("https://klasma.github.io/Logging_0883/knärot/A 23791-2024 karta knärot.png", "A 23791-2024")</f>
        <v/>
      </c>
      <c r="V146">
        <f>HYPERLINK("https://klasma.github.io/Logging_0883/klagomål/A 23791-2024 FSC-klagomål.docx", "A 23791-2024")</f>
        <v/>
      </c>
      <c r="W146">
        <f>HYPERLINK("https://klasma.github.io/Logging_0883/klagomålsmail/A 23791-2024 FSC-klagomål mail.docx", "A 23791-2024")</f>
        <v/>
      </c>
      <c r="X146">
        <f>HYPERLINK("https://klasma.github.io/Logging_0883/tillsyn/A 23791-2024 tillsynsbegäran.docx", "A 23791-2024")</f>
        <v/>
      </c>
      <c r="Y146">
        <f>HYPERLINK("https://klasma.github.io/Logging_0883/tillsynsmail/A 23791-2024 tillsynsbegäran mail.docx", "A 23791-2024")</f>
        <v/>
      </c>
    </row>
    <row r="147" ht="15" customHeight="1">
      <c r="A147" t="inlineStr">
        <is>
          <t>A 27727-2024</t>
        </is>
      </c>
      <c r="B147" s="1" t="n">
        <v>45475</v>
      </c>
      <c r="C147" s="1" t="n">
        <v>45507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9.800000000000001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Blåmossa</t>
        </is>
      </c>
      <c r="S147">
        <f>HYPERLINK("https://klasma.github.io/Logging_0883/artfynd/A 27727-2024 artfynd.xlsx", "A 27727-2024")</f>
        <v/>
      </c>
      <c r="T147">
        <f>HYPERLINK("https://klasma.github.io/Logging_0883/kartor/A 27727-2024 karta.png", "A 27727-2024")</f>
        <v/>
      </c>
      <c r="V147">
        <f>HYPERLINK("https://klasma.github.io/Logging_0883/klagomål/A 27727-2024 FSC-klagomål.docx", "A 27727-2024")</f>
        <v/>
      </c>
      <c r="W147">
        <f>HYPERLINK("https://klasma.github.io/Logging_0883/klagomålsmail/A 27727-2024 FSC-klagomål mail.docx", "A 27727-2024")</f>
        <v/>
      </c>
      <c r="X147">
        <f>HYPERLINK("https://klasma.github.io/Logging_0883/tillsyn/A 27727-2024 tillsynsbegäran.docx", "A 27727-2024")</f>
        <v/>
      </c>
      <c r="Y147">
        <f>HYPERLINK("https://klasma.github.io/Logging_0883/tillsynsmail/A 27727-2024 tillsynsbegäran mail.docx", "A 27727-2024")</f>
        <v/>
      </c>
      <c r="Z147">
        <f>HYPERLINK("https://klasma.github.io/Logging_0883/fåglar/A 27727-2024 prioriterade fågelarter.docx", "A 27727-2024")</f>
        <v/>
      </c>
    </row>
    <row r="148" ht="15" customHeight="1">
      <c r="A148" t="inlineStr">
        <is>
          <t>A 27200-2019</t>
        </is>
      </c>
      <c r="B148" s="1" t="n">
        <v>43614</v>
      </c>
      <c r="C148" s="1" t="n">
        <v>45507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Myskmadra</t>
        </is>
      </c>
      <c r="S148">
        <f>HYPERLINK("https://klasma.github.io/Logging_0883/artfynd/A 27200-2019 artfynd.xlsx", "A 27200-2019")</f>
        <v/>
      </c>
      <c r="T148">
        <f>HYPERLINK("https://klasma.github.io/Logging_0883/kartor/A 27200-2019 karta.png", "A 27200-2019")</f>
        <v/>
      </c>
      <c r="V148">
        <f>HYPERLINK("https://klasma.github.io/Logging_0883/klagomål/A 27200-2019 FSC-klagomål.docx", "A 27200-2019")</f>
        <v/>
      </c>
      <c r="W148">
        <f>HYPERLINK("https://klasma.github.io/Logging_0883/klagomålsmail/A 27200-2019 FSC-klagomål mail.docx", "A 27200-2019")</f>
        <v/>
      </c>
      <c r="X148">
        <f>HYPERLINK("https://klasma.github.io/Logging_0883/tillsyn/A 27200-2019 tillsynsbegäran.docx", "A 27200-2019")</f>
        <v/>
      </c>
      <c r="Y148">
        <f>HYPERLINK("https://klasma.github.io/Logging_0883/tillsynsmail/A 27200-2019 tillsynsbegäran mail.docx", "A 27200-2019")</f>
        <v/>
      </c>
    </row>
    <row r="149" ht="15" customHeight="1">
      <c r="A149" t="inlineStr">
        <is>
          <t>A 27204-2019</t>
        </is>
      </c>
      <c r="B149" s="1" t="n">
        <v>43614</v>
      </c>
      <c r="C149" s="1" t="n">
        <v>45507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12.9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 fjädermossa</t>
        </is>
      </c>
      <c r="S149">
        <f>HYPERLINK("https://klasma.github.io/Logging_0883/artfynd/A 27204-2019 artfynd.xlsx", "A 27204-2019")</f>
        <v/>
      </c>
      <c r="T149">
        <f>HYPERLINK("https://klasma.github.io/Logging_0883/kartor/A 27204-2019 karta.png", "A 27204-2019")</f>
        <v/>
      </c>
      <c r="V149">
        <f>HYPERLINK("https://klasma.github.io/Logging_0883/klagomål/A 27204-2019 FSC-klagomål.docx", "A 27204-2019")</f>
        <v/>
      </c>
      <c r="W149">
        <f>HYPERLINK("https://klasma.github.io/Logging_0883/klagomålsmail/A 27204-2019 FSC-klagomål mail.docx", "A 27204-2019")</f>
        <v/>
      </c>
      <c r="X149">
        <f>HYPERLINK("https://klasma.github.io/Logging_0883/tillsyn/A 27204-2019 tillsynsbegäran.docx", "A 27204-2019")</f>
        <v/>
      </c>
      <c r="Y149">
        <f>HYPERLINK("https://klasma.github.io/Logging_0883/tillsynsmail/A 27204-2019 tillsynsbegäran mail.docx", "A 27204-2019")</f>
        <v/>
      </c>
    </row>
    <row r="150" ht="15" customHeight="1">
      <c r="A150" t="inlineStr">
        <is>
          <t>A 27203-2019</t>
        </is>
      </c>
      <c r="B150" s="1" t="n">
        <v>43614</v>
      </c>
      <c r="C150" s="1" t="n">
        <v>45507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Blomskägglav</t>
        </is>
      </c>
      <c r="S150">
        <f>HYPERLINK("https://klasma.github.io/Logging_0883/artfynd/A 27203-2019 artfynd.xlsx", "A 27203-2019")</f>
        <v/>
      </c>
      <c r="T150">
        <f>HYPERLINK("https://klasma.github.io/Logging_0883/kartor/A 27203-2019 karta.png", "A 27203-2019")</f>
        <v/>
      </c>
      <c r="V150">
        <f>HYPERLINK("https://klasma.github.io/Logging_0883/klagomål/A 27203-2019 FSC-klagomål.docx", "A 27203-2019")</f>
        <v/>
      </c>
      <c r="W150">
        <f>HYPERLINK("https://klasma.github.io/Logging_0883/klagomålsmail/A 27203-2019 FSC-klagomål mail.docx", "A 27203-2019")</f>
        <v/>
      </c>
      <c r="X150">
        <f>HYPERLINK("https://klasma.github.io/Logging_0883/tillsyn/A 27203-2019 tillsynsbegäran.docx", "A 27203-2019")</f>
        <v/>
      </c>
      <c r="Y150">
        <f>HYPERLINK("https://klasma.github.io/Logging_0883/tillsynsmail/A 27203-2019 tillsynsbegäran mail.docx", "A 27203-2019")</f>
        <v/>
      </c>
    </row>
    <row r="151" ht="15" customHeight="1">
      <c r="A151" t="inlineStr">
        <is>
          <t>A 59193-2019</t>
        </is>
      </c>
      <c r="B151" s="1" t="n">
        <v>43775</v>
      </c>
      <c r="C151" s="1" t="n">
        <v>45507</v>
      </c>
      <c r="D151" t="inlineStr">
        <is>
          <t>KALMAR LÄN</t>
        </is>
      </c>
      <c r="E151" t="inlineStr">
        <is>
          <t>VÄSTERVIK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Åkerkulla</t>
        </is>
      </c>
      <c r="S151">
        <f>HYPERLINK("https://klasma.github.io/Logging_0883/artfynd/A 59193-2019 artfynd.xlsx", "A 59193-2019")</f>
        <v/>
      </c>
      <c r="T151">
        <f>HYPERLINK("https://klasma.github.io/Logging_0883/kartor/A 59193-2019 karta.png", "A 59193-2019")</f>
        <v/>
      </c>
      <c r="V151">
        <f>HYPERLINK("https://klasma.github.io/Logging_0883/klagomål/A 59193-2019 FSC-klagomål.docx", "A 59193-2019")</f>
        <v/>
      </c>
      <c r="W151">
        <f>HYPERLINK("https://klasma.github.io/Logging_0883/klagomålsmail/A 59193-2019 FSC-klagomål mail.docx", "A 59193-2019")</f>
        <v/>
      </c>
      <c r="X151">
        <f>HYPERLINK("https://klasma.github.io/Logging_0883/tillsyn/A 59193-2019 tillsynsbegäran.docx", "A 59193-2019")</f>
        <v/>
      </c>
      <c r="Y151">
        <f>HYPERLINK("https://klasma.github.io/Logging_0883/tillsynsmail/A 59193-2019 tillsynsbegäran mail.docx", "A 59193-2019")</f>
        <v/>
      </c>
    </row>
    <row r="152" ht="15" customHeight="1">
      <c r="A152" t="inlineStr">
        <is>
          <t>A 16608-2020</t>
        </is>
      </c>
      <c r="B152" s="1" t="n">
        <v>43908</v>
      </c>
      <c r="C152" s="1" t="n">
        <v>45507</v>
      </c>
      <c r="D152" t="inlineStr">
        <is>
          <t>KALMAR LÄN</t>
        </is>
      </c>
      <c r="E152" t="inlineStr">
        <is>
          <t>VÄSTERVIK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Skogsklocka</t>
        </is>
      </c>
      <c r="S152">
        <f>HYPERLINK("https://klasma.github.io/Logging_0883/artfynd/A 16608-2020 artfynd.xlsx", "A 16608-2020")</f>
        <v/>
      </c>
      <c r="T152">
        <f>HYPERLINK("https://klasma.github.io/Logging_0883/kartor/A 16608-2020 karta.png", "A 16608-2020")</f>
        <v/>
      </c>
      <c r="V152">
        <f>HYPERLINK("https://klasma.github.io/Logging_0883/klagomål/A 16608-2020 FSC-klagomål.docx", "A 16608-2020")</f>
        <v/>
      </c>
      <c r="W152">
        <f>HYPERLINK("https://klasma.github.io/Logging_0883/klagomålsmail/A 16608-2020 FSC-klagomål mail.docx", "A 16608-2020")</f>
        <v/>
      </c>
      <c r="X152">
        <f>HYPERLINK("https://klasma.github.io/Logging_0883/tillsyn/A 16608-2020 tillsynsbegäran.docx", "A 16608-2020")</f>
        <v/>
      </c>
      <c r="Y152">
        <f>HYPERLINK("https://klasma.github.io/Logging_0883/tillsynsmail/A 16608-2020 tillsynsbegäran mail.docx", "A 16608-2020")</f>
        <v/>
      </c>
    </row>
    <row r="153" ht="15" customHeight="1">
      <c r="A153" t="inlineStr">
        <is>
          <t>A 15357-2020</t>
        </is>
      </c>
      <c r="B153" s="1" t="n">
        <v>43913</v>
      </c>
      <c r="C153" s="1" t="n">
        <v>45507</v>
      </c>
      <c r="D153" t="inlineStr">
        <is>
          <t>KALMAR LÄN</t>
        </is>
      </c>
      <c r="E153" t="inlineStr">
        <is>
          <t>VÄSTERVIK</t>
        </is>
      </c>
      <c r="G153" t="n">
        <v>2.9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15357-2020 artfynd.xlsx", "A 15357-2020")</f>
        <v/>
      </c>
      <c r="T153">
        <f>HYPERLINK("https://klasma.github.io/Logging_0883/kartor/A 15357-2020 karta.png", "A 15357-2020")</f>
        <v/>
      </c>
      <c r="U153">
        <f>HYPERLINK("https://klasma.github.io/Logging_0883/knärot/A 15357-2020 karta knärot.png", "A 15357-2020")</f>
        <v/>
      </c>
      <c r="V153">
        <f>HYPERLINK("https://klasma.github.io/Logging_0883/klagomål/A 15357-2020 FSC-klagomål.docx", "A 15357-2020")</f>
        <v/>
      </c>
      <c r="W153">
        <f>HYPERLINK("https://klasma.github.io/Logging_0883/klagomålsmail/A 15357-2020 FSC-klagomål mail.docx", "A 15357-2020")</f>
        <v/>
      </c>
      <c r="X153">
        <f>HYPERLINK("https://klasma.github.io/Logging_0883/tillsyn/A 15357-2020 tillsynsbegäran.docx", "A 15357-2020")</f>
        <v/>
      </c>
      <c r="Y153">
        <f>HYPERLINK("https://klasma.github.io/Logging_0883/tillsynsmail/A 15357-2020 tillsynsbegäran mail.docx", "A 15357-2020")</f>
        <v/>
      </c>
    </row>
    <row r="154" ht="15" customHeight="1">
      <c r="A154" t="inlineStr">
        <is>
          <t>A 39836-2020</t>
        </is>
      </c>
      <c r="B154" s="1" t="n">
        <v>44064</v>
      </c>
      <c r="C154" s="1" t="n">
        <v>45507</v>
      </c>
      <c r="D154" t="inlineStr">
        <is>
          <t>KALMAR LÄN</t>
        </is>
      </c>
      <c r="E154" t="inlineStr">
        <is>
          <t>VÄSTERVIK</t>
        </is>
      </c>
      <c r="G154" t="n">
        <v>13.4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HYPERLINK("https://klasma.github.io/Logging_0883/artfynd/A 39836-2020 artfynd.xlsx", "A 39836-2020")</f>
        <v/>
      </c>
      <c r="T154">
        <f>HYPERLINK("https://klasma.github.io/Logging_0883/kartor/A 39836-2020 karta.png", "A 39836-2020")</f>
        <v/>
      </c>
      <c r="V154">
        <f>HYPERLINK("https://klasma.github.io/Logging_0883/klagomål/A 39836-2020 FSC-klagomål.docx", "A 39836-2020")</f>
        <v/>
      </c>
      <c r="W154">
        <f>HYPERLINK("https://klasma.github.io/Logging_0883/klagomålsmail/A 39836-2020 FSC-klagomål mail.docx", "A 39836-2020")</f>
        <v/>
      </c>
      <c r="X154">
        <f>HYPERLINK("https://klasma.github.io/Logging_0883/tillsyn/A 39836-2020 tillsynsbegäran.docx", "A 39836-2020")</f>
        <v/>
      </c>
      <c r="Y154">
        <f>HYPERLINK("https://klasma.github.io/Logging_0883/tillsynsmail/A 39836-2020 tillsynsbegäran mail.docx", "A 39836-2020")</f>
        <v/>
      </c>
      <c r="Z154">
        <f>HYPERLINK("https://klasma.github.io/Logging_0883/fåglar/A 39836-2020 prioriterade fågelarter.docx", "A 39836-2020")</f>
        <v/>
      </c>
    </row>
    <row r="155" ht="15" customHeight="1">
      <c r="A155" t="inlineStr">
        <is>
          <t>A 66752-2020</t>
        </is>
      </c>
      <c r="B155" s="1" t="n">
        <v>44175</v>
      </c>
      <c r="C155" s="1" t="n">
        <v>45507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66752-2020 artfynd.xlsx", "A 66752-2020")</f>
        <v/>
      </c>
      <c r="T155">
        <f>HYPERLINK("https://klasma.github.io/Logging_0883/kartor/A 66752-2020 karta.png", "A 66752-2020")</f>
        <v/>
      </c>
      <c r="V155">
        <f>HYPERLINK("https://klasma.github.io/Logging_0883/klagomål/A 66752-2020 FSC-klagomål.docx", "A 66752-2020")</f>
        <v/>
      </c>
      <c r="W155">
        <f>HYPERLINK("https://klasma.github.io/Logging_0883/klagomålsmail/A 66752-2020 FSC-klagomål mail.docx", "A 66752-2020")</f>
        <v/>
      </c>
      <c r="X155">
        <f>HYPERLINK("https://klasma.github.io/Logging_0883/tillsyn/A 66752-2020 tillsynsbegäran.docx", "A 66752-2020")</f>
        <v/>
      </c>
      <c r="Y155">
        <f>HYPERLINK("https://klasma.github.io/Logging_0883/tillsynsmail/A 66752-2020 tillsynsbegäran mail.docx", "A 66752-2020")</f>
        <v/>
      </c>
    </row>
    <row r="156" ht="15" customHeight="1">
      <c r="A156" t="inlineStr">
        <is>
          <t>A 69632-2020</t>
        </is>
      </c>
      <c r="B156" s="1" t="n">
        <v>44195</v>
      </c>
      <c r="C156" s="1" t="n">
        <v>45507</v>
      </c>
      <c r="D156" t="inlineStr">
        <is>
          <t>KALMAR LÄN</t>
        </is>
      </c>
      <c r="E156" t="inlineStr">
        <is>
          <t>VÄSTERVIK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69632-2020 artfynd.xlsx", "A 69632-2020")</f>
        <v/>
      </c>
      <c r="T156">
        <f>HYPERLINK("https://klasma.github.io/Logging_0883/kartor/A 69632-2020 karta.png", "A 69632-2020")</f>
        <v/>
      </c>
      <c r="V156">
        <f>HYPERLINK("https://klasma.github.io/Logging_0883/klagomål/A 69632-2020 FSC-klagomål.docx", "A 69632-2020")</f>
        <v/>
      </c>
      <c r="W156">
        <f>HYPERLINK("https://klasma.github.io/Logging_0883/klagomålsmail/A 69632-2020 FSC-klagomål mail.docx", "A 69632-2020")</f>
        <v/>
      </c>
      <c r="X156">
        <f>HYPERLINK("https://klasma.github.io/Logging_0883/tillsyn/A 69632-2020 tillsynsbegäran.docx", "A 69632-2020")</f>
        <v/>
      </c>
      <c r="Y156">
        <f>HYPERLINK("https://klasma.github.io/Logging_0883/tillsynsmail/A 69632-2020 tillsynsbegäran mail.docx", "A 69632-2020")</f>
        <v/>
      </c>
    </row>
    <row r="157" ht="15" customHeight="1">
      <c r="A157" t="inlineStr">
        <is>
          <t>A 20233-2021</t>
        </is>
      </c>
      <c r="B157" s="1" t="n">
        <v>44314</v>
      </c>
      <c r="C157" s="1" t="n">
        <v>45507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Skogsklocka</t>
        </is>
      </c>
      <c r="S157">
        <f>HYPERLINK("https://klasma.github.io/Logging_0883/artfynd/A 20233-2021 artfynd.xlsx", "A 20233-2021")</f>
        <v/>
      </c>
      <c r="T157">
        <f>HYPERLINK("https://klasma.github.io/Logging_0883/kartor/A 20233-2021 karta.png", "A 20233-2021")</f>
        <v/>
      </c>
      <c r="V157">
        <f>HYPERLINK("https://klasma.github.io/Logging_0883/klagomål/A 20233-2021 FSC-klagomål.docx", "A 20233-2021")</f>
        <v/>
      </c>
      <c r="W157">
        <f>HYPERLINK("https://klasma.github.io/Logging_0883/klagomålsmail/A 20233-2021 FSC-klagomål mail.docx", "A 20233-2021")</f>
        <v/>
      </c>
      <c r="X157">
        <f>HYPERLINK("https://klasma.github.io/Logging_0883/tillsyn/A 20233-2021 tillsynsbegäran.docx", "A 20233-2021")</f>
        <v/>
      </c>
      <c r="Y157">
        <f>HYPERLINK("https://klasma.github.io/Logging_0883/tillsynsmail/A 20233-2021 tillsynsbegäran mail.docx", "A 20233-2021")</f>
        <v/>
      </c>
    </row>
    <row r="158" ht="15" customHeight="1">
      <c r="A158" t="inlineStr">
        <is>
          <t>A 24048-2021</t>
        </is>
      </c>
      <c r="B158" s="1" t="n">
        <v>44336</v>
      </c>
      <c r="C158" s="1" t="n">
        <v>45507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24048-2021 artfynd.xlsx", "A 24048-2021")</f>
        <v/>
      </c>
      <c r="T158">
        <f>HYPERLINK("https://klasma.github.io/Logging_0883/kartor/A 24048-2021 karta.png", "A 24048-2021")</f>
        <v/>
      </c>
      <c r="U158">
        <f>HYPERLINK("https://klasma.github.io/Logging_0883/knärot/A 24048-2021 karta knärot.png", "A 24048-2021")</f>
        <v/>
      </c>
      <c r="V158">
        <f>HYPERLINK("https://klasma.github.io/Logging_0883/klagomål/A 24048-2021 FSC-klagomål.docx", "A 24048-2021")</f>
        <v/>
      </c>
      <c r="W158">
        <f>HYPERLINK("https://klasma.github.io/Logging_0883/klagomålsmail/A 24048-2021 FSC-klagomål mail.docx", "A 24048-2021")</f>
        <v/>
      </c>
      <c r="X158">
        <f>HYPERLINK("https://klasma.github.io/Logging_0883/tillsyn/A 24048-2021 tillsynsbegäran.docx", "A 24048-2021")</f>
        <v/>
      </c>
      <c r="Y158">
        <f>HYPERLINK("https://klasma.github.io/Logging_0883/tillsynsmail/A 24048-2021 tillsynsbegäran mail.docx", "A 24048-2021")</f>
        <v/>
      </c>
    </row>
    <row r="159" ht="15" customHeight="1">
      <c r="A159" t="inlineStr">
        <is>
          <t>A 25439-2021</t>
        </is>
      </c>
      <c r="B159" s="1" t="n">
        <v>44342</v>
      </c>
      <c r="C159" s="1" t="n">
        <v>45507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2.4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 sköldmossa</t>
        </is>
      </c>
      <c r="S159">
        <f>HYPERLINK("https://klasma.github.io/Logging_0883/artfynd/A 25439-2021 artfynd.xlsx", "A 25439-2021")</f>
        <v/>
      </c>
      <c r="T159">
        <f>HYPERLINK("https://klasma.github.io/Logging_0883/kartor/A 25439-2021 karta.png", "A 25439-2021")</f>
        <v/>
      </c>
      <c r="V159">
        <f>HYPERLINK("https://klasma.github.io/Logging_0883/klagomål/A 25439-2021 FSC-klagomål.docx", "A 25439-2021")</f>
        <v/>
      </c>
      <c r="W159">
        <f>HYPERLINK("https://klasma.github.io/Logging_0883/klagomålsmail/A 25439-2021 FSC-klagomål mail.docx", "A 25439-2021")</f>
        <v/>
      </c>
      <c r="X159">
        <f>HYPERLINK("https://klasma.github.io/Logging_0883/tillsyn/A 25439-2021 tillsynsbegäran.docx", "A 25439-2021")</f>
        <v/>
      </c>
      <c r="Y159">
        <f>HYPERLINK("https://klasma.github.io/Logging_0883/tillsynsmail/A 25439-2021 tillsynsbegäran mail.docx", "A 25439-2021")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45507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45507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45507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45507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45507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45507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45507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45507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45507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45507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45507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45507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45507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45507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45507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45507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45507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45507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45507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45507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45507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45507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45507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45507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45507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45507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45507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45507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45507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45507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45507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45507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45507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45507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45507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45507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45507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45507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45507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45507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45507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45507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45507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45507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45507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45507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45507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45507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45507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45507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45507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45507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45507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45507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45507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45507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45507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45507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45507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45507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45507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45507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45507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45507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45507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45507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45507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45507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45507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45507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45507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45507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45507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45507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45507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45507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45507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45507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45507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45507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45507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45507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45507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45507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45507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45507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45507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45507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45507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45507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45507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45507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45507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45507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45507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45507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45507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45507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45507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45507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45507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45507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45507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45507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45507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45507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45507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45507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45507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45507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45507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45507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45507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45507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45507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45507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45507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45507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45507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45507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45507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45507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45507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45507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45507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45507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45507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45507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45507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45507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45507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45507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45507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45507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45507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45507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45507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45507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45507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45507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45507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45507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45507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45507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45507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45507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45507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45507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45507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45507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45507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45507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45507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45507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45507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45507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45507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45507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45507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45507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45507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45507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45507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45507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45507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45507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45507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45507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45507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45507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45507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45507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45507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45507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45507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45507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45507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45507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45507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45507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45507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45507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45507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45507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45507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45507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45507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45507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45507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45507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45507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45507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45507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45507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45507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45507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45507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45507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45507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45507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45507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45507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45507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45507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45507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45507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45507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45507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45507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45507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45507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45507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45507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45507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45507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45507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45507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45507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45507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45507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45507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45507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45507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45507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45507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45507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45507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45507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45507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45507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45507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45507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45507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45507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45507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45507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45507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45507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45507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45507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45507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45507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45507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45507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45507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45507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45507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45507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45507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45507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45507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45507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45507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45507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45507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45507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45507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45507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45507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45507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45507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45507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45507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45507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45507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45507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45507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45507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45507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45507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45507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45507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45507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45507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45507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45507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45507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45507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45507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45507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45507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45507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45507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45507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45507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45507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45507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45507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45507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45507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45507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45507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45507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45507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45507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45507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45507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45507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45507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45507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45507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45507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45507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45507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45507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45507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45507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45507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45507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45507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45507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45507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45507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45507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45507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45507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45507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45507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45507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45507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45507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45507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45507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45507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45507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45507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45507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45507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45507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45507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45507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45507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45507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45507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45507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45507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45507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45507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45507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45507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45507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45507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45507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45507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45507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45507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45507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45507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45507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45507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45507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45507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45507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45507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45507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45507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45507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45507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45507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45507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45507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45507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45507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45507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45507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45507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45507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45507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45507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45507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45507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45507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45507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45507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45507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45507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45507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45507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45507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45507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45507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45507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45507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45507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45507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45507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45507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45507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45507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45507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45507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45507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45507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45507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45507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45507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45507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45507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45507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45507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45507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45507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45507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45507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45507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45507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45507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45507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45507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45507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45507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45507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45507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45507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45507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45507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45507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45507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45507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45507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45507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45507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45507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45507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45507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45507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45507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45507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45507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45507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45507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45507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45507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45507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45507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45507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45507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45507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45507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45507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45507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45507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45507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45507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45507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45507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45507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45507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45507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45507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45507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45507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45507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45507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45507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45507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45507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45507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45507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45507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45507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45507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45507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45507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45507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45507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45507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45507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45507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45507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45507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45507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45507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45507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45507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45507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45507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45507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45507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45507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45507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45507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45507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45507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45507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45507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45507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45507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45507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45507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45507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45507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45507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45507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45507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45507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45507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45507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45507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45507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45507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45507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45507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45507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45507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45507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45507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45507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45507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45507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45507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45507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45507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45507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45507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45507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45507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45507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45507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45507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45507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45507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45507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45507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45507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45507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45507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45507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45507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45507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45507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45507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45507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45507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45507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45507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45507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45507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45507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45507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45507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45507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45507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45507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45507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45507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45507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45507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45507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45507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45507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45507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45507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45507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45507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45507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45507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45507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45507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45507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45507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45507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45507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45507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45507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45507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45507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45507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45507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45507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45507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45507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45507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45507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45507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45507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45507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45507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45507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45507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45507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45507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45507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45507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45507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45507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45507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45507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45507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45507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45507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45507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45507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45507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45507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45507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45507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45507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45507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45507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45507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45507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45507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45507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45507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45507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45507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45507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45507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45507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45507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45507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45507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45507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45507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45507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45507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45507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45507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45507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45507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45507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45507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45507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45507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45507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45507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45507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45507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45507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45507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45507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45507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45507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45507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45507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45507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45507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45507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45507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45507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45507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45507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45507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45507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45507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45507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45507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45507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45507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45507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45507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45507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45507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45507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45507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45507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45507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45507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45507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45507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45507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45507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45507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45507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45507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45507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45507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45507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45507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45507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45507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45507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45507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45507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45507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45507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45507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45507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45507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45507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45507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45507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45507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45507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45507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45507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45507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45507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45507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45507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45507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45507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45507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45507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45507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45507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45507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45507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45507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45507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45507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45507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45507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45507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45507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45507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45507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45507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45507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45507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45507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45507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45507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45507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45507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45507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45507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45507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45507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45507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45507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45507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45507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45507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45507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45507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45507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45507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45507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45507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45507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45507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45507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45507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45507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45507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45507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45507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45507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45507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45507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45507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45507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45507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45507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45507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45507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45507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45507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45507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45507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45507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45507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45507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45507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45507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45507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45507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45507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45507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45507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45507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45507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45507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45507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45507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45507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45507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45507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45507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45507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45507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45507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45507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45507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45507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45507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45507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45507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45507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45507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45507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45507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45507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45507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45507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45507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45507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45507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45507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45507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45507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45507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45507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45507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45507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45507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45507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45507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45507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45507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45507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45507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45507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45507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45507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45507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45507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45507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45507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45507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45507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45507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45507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45507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45507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45507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45507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45507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45507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45507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45507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45507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45507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45507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45507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45507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45507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45507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45507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45507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45507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45507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45507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45507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45507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45507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45507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45507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45507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45507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45507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45507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45507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45507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45507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45507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45507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45507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45507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45507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45507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45507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45507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45507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45507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45507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45507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45507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45507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45507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45507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45507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45507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45507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45507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45507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45507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45507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45507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45507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45507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45507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45507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45507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45507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45507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45507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45507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45507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45507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45507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45507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45507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45507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45507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45507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45507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45507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45507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45507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45507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45507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45507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45507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45507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45507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45507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45507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45507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45507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45507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45507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45507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45507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45507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45507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45507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45507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45507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45507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45507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45507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45507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45507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45507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45507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45507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45507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45507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45507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45507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45507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45507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45507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45507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45507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45507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45507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45507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45507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45507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45507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45507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45507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45507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45507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45507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45507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45507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45507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45507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45507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45507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45507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45507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45507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45507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45507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45507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45507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45507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45507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45507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45507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45507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45507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45507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45507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45507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45507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45507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45507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45507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45507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45507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45507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45507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45507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45507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45507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45507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45507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45507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45507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45507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45507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45507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45507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45507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45507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45507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45507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45507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45507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45507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45507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45507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45507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45507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45507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45507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45507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45507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45507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45507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45507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45507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45507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45507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45507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45507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45507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45507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45507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45507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45507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45507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45507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45507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45507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45507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45507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45507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45507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45507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45507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45507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45507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45507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45507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45507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45507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45507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45507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45507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45507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45507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45507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45507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45507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45507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45507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45507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45507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45507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45507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45507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45507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45507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45507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45507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45507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45507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45507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45507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45507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45507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45507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45507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45507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45507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45507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45507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45507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45507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45507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45507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45507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45507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45507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45507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45507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45507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45507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45507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45507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45507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45507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45507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45507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45507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45507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45507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45507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45507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45507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45507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45507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45507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45507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45507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45507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45507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45507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45507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45507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45507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45507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45507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45507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45507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45507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45507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45507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45507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45507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45507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45507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45507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45507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45507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45507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45507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45507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45507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45507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45507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45507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45507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45507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45507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45507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45507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45507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45507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45507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45507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45507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45507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45507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45507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45507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45507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45507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45507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45507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45507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45507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45507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45507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45507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45507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45507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45507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45507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45507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45507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45507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45507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45507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45507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45507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45507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45507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45507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45507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45507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45507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45507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45507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45507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45507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45507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45507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45507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45507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45507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45507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45507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45507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45507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45507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45507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45507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45507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45507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45507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45507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45507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45507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45507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45507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45507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45507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45507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45507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45507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45507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45507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45507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45507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45507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45507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45507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45507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45507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45507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45507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45507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45507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45507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45507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45507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45507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45507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45507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45507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45507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45507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45507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45507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45507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45507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45507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45507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45507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45507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45507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45507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45507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45507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45507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45507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45507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45507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45507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45507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45507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45507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45507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45507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45507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45507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45507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45507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45507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45507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45507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45507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45507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45507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45507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45507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45507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45507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45507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45507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45507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45507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45507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45507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45507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45507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45507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45507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45507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45507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45507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45507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45507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45507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45507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45507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45507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45507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45507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45507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45507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45507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45507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45507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45507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45507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45507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45507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45507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45507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45507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45507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45507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45507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45507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45507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45507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45507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45507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45507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45507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45507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45507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45507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45507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45507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45507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45507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45507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45507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45507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45507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45507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45507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45507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45507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45507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45507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45507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45507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45507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45507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45507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45507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45507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45507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45507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45507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45507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45507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45507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45507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45507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45507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45507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45507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45507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45507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45507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45507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45507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45507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45507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45507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28640-2024</t>
        </is>
      </c>
      <c r="B1483" s="1" t="n">
        <v>45478</v>
      </c>
      <c r="C1483" s="1" t="n">
        <v>45507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28667-2024</t>
        </is>
      </c>
      <c r="B1484" s="1" t="n">
        <v>45478</v>
      </c>
      <c r="C1484" s="1" t="n">
        <v>45507</v>
      </c>
      <c r="D1484" t="inlineStr">
        <is>
          <t>KALMAR LÄN</t>
        </is>
      </c>
      <c r="E1484" t="inlineStr">
        <is>
          <t>VÄSTERVIK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29400-2024</t>
        </is>
      </c>
      <c r="B1485" s="1" t="n">
        <v>45483</v>
      </c>
      <c r="C1485" s="1" t="n">
        <v>45507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29396-2024</t>
        </is>
      </c>
      <c r="B1486" s="1" t="n">
        <v>45483</v>
      </c>
      <c r="C1486" s="1" t="n">
        <v>45507</v>
      </c>
      <c r="D1486" t="inlineStr">
        <is>
          <t>KALMAR LÄN</t>
        </is>
      </c>
      <c r="E1486" t="inlineStr">
        <is>
          <t>VÄSTERVIK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29407-2024</t>
        </is>
      </c>
      <c r="B1487" s="1" t="n">
        <v>45483</v>
      </c>
      <c r="C1487" s="1" t="n">
        <v>45507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29420-2024</t>
        </is>
      </c>
      <c r="B1488" s="1" t="n">
        <v>45483</v>
      </c>
      <c r="C1488" s="1" t="n">
        <v>45507</v>
      </c>
      <c r="D1488" t="inlineStr">
        <is>
          <t>KALMAR LÄN</t>
        </is>
      </c>
      <c r="E1488" t="inlineStr">
        <is>
          <t>VÄSTERVIK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29412-2024</t>
        </is>
      </c>
      <c r="B1489" s="1" t="n">
        <v>45483</v>
      </c>
      <c r="C1489" s="1" t="n">
        <v>45507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29404-2024</t>
        </is>
      </c>
      <c r="B1490" s="1" t="n">
        <v>45483</v>
      </c>
      <c r="C1490" s="1" t="n">
        <v>45507</v>
      </c>
      <c r="D1490" t="inlineStr">
        <is>
          <t>KALMAR LÄN</t>
        </is>
      </c>
      <c r="E1490" t="inlineStr">
        <is>
          <t>VÄSTERVIK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29417-2024</t>
        </is>
      </c>
      <c r="B1491" s="1" t="n">
        <v>45483</v>
      </c>
      <c r="C1491" s="1" t="n">
        <v>45507</v>
      </c>
      <c r="D1491" t="inlineStr">
        <is>
          <t>KALMAR LÄN</t>
        </is>
      </c>
      <c r="E1491" t="inlineStr">
        <is>
          <t>VÄSTERVIK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29405-2024</t>
        </is>
      </c>
      <c r="B1492" s="1" t="n">
        <v>45483</v>
      </c>
      <c r="C1492" s="1" t="n">
        <v>45507</v>
      </c>
      <c r="D1492" t="inlineStr">
        <is>
          <t>KALMAR LÄN</t>
        </is>
      </c>
      <c r="E1492" t="inlineStr">
        <is>
          <t>VÄSTERVIK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29414-2024</t>
        </is>
      </c>
      <c r="B1493" s="1" t="n">
        <v>45483</v>
      </c>
      <c r="C1493" s="1" t="n">
        <v>45507</v>
      </c>
      <c r="D1493" t="inlineStr">
        <is>
          <t>KALMAR LÄN</t>
        </is>
      </c>
      <c r="E1493" t="inlineStr">
        <is>
          <t>VÄSTERVIK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29418-2024</t>
        </is>
      </c>
      <c r="B1494" s="1" t="n">
        <v>45483</v>
      </c>
      <c r="C1494" s="1" t="n">
        <v>45507</v>
      </c>
      <c r="D1494" t="inlineStr">
        <is>
          <t>KALMAR LÄN</t>
        </is>
      </c>
      <c r="E1494" t="inlineStr">
        <is>
          <t>VÄSTERVIK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29571-2024</t>
        </is>
      </c>
      <c r="B1495" s="1" t="n">
        <v>45484</v>
      </c>
      <c r="C1495" s="1" t="n">
        <v>45507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29557-2024</t>
        </is>
      </c>
      <c r="B1496" s="1" t="n">
        <v>45484</v>
      </c>
      <c r="C1496" s="1" t="n">
        <v>45507</v>
      </c>
      <c r="D1496" t="inlineStr">
        <is>
          <t>KALMAR LÄN</t>
        </is>
      </c>
      <c r="E1496" t="inlineStr">
        <is>
          <t>VÄSTERVIK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29784-2024</t>
        </is>
      </c>
      <c r="B1497" s="1" t="n">
        <v>45485</v>
      </c>
      <c r="C1497" s="1" t="n">
        <v>45507</v>
      </c>
      <c r="D1497" t="inlineStr">
        <is>
          <t>KALMAR LÄN</t>
        </is>
      </c>
      <c r="E1497" t="inlineStr">
        <is>
          <t>VÄSTERVIK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29786-2024</t>
        </is>
      </c>
      <c r="B1498" s="1" t="n">
        <v>45485</v>
      </c>
      <c r="C1498" s="1" t="n">
        <v>45507</v>
      </c>
      <c r="D1498" t="inlineStr">
        <is>
          <t>KALMAR LÄN</t>
        </is>
      </c>
      <c r="E1498" t="inlineStr">
        <is>
          <t>VÄSTERVIK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29789-2024</t>
        </is>
      </c>
      <c r="B1499" s="1" t="n">
        <v>45485</v>
      </c>
      <c r="C1499" s="1" t="n">
        <v>45507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30149-2024</t>
        </is>
      </c>
      <c r="B1500" s="1" t="n">
        <v>45489</v>
      </c>
      <c r="C1500" s="1" t="n">
        <v>45507</v>
      </c>
      <c r="D1500" t="inlineStr">
        <is>
          <t>KALMAR LÄN</t>
        </is>
      </c>
      <c r="E1500" t="inlineStr">
        <is>
          <t>VÄSTERVIK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30148-2024</t>
        </is>
      </c>
      <c r="B1501" s="1" t="n">
        <v>45489</v>
      </c>
      <c r="C1501" s="1" t="n">
        <v>45507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30153-2024</t>
        </is>
      </c>
      <c r="B1502" s="1" t="n">
        <v>45489</v>
      </c>
      <c r="C1502" s="1" t="n">
        <v>45507</v>
      </c>
      <c r="D1502" t="inlineStr">
        <is>
          <t>KALMAR LÄN</t>
        </is>
      </c>
      <c r="E1502" t="inlineStr">
        <is>
          <t>VÄSTERVIK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30157-2024</t>
        </is>
      </c>
      <c r="B1503" s="1" t="n">
        <v>45489</v>
      </c>
      <c r="C1503" s="1" t="n">
        <v>45507</v>
      </c>
      <c r="D1503" t="inlineStr">
        <is>
          <t>KALMAR LÄN</t>
        </is>
      </c>
      <c r="E1503" t="inlineStr">
        <is>
          <t>VÄSTERVIK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45507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30525-2024</t>
        </is>
      </c>
      <c r="B1505" s="1" t="n">
        <v>45492</v>
      </c>
      <c r="C1505" s="1" t="n">
        <v>45507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30511-2024</t>
        </is>
      </c>
      <c r="B1506" s="1" t="n">
        <v>45492</v>
      </c>
      <c r="C1506" s="1" t="n">
        <v>45507</v>
      </c>
      <c r="D1506" t="inlineStr">
        <is>
          <t>KALMAR LÄN</t>
        </is>
      </c>
      <c r="E1506" t="inlineStr">
        <is>
          <t>VÄSTERVIK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30523-2024</t>
        </is>
      </c>
      <c r="B1507" s="1" t="n">
        <v>45492</v>
      </c>
      <c r="C1507" s="1" t="n">
        <v>45507</v>
      </c>
      <c r="D1507" t="inlineStr">
        <is>
          <t>KALMAR LÄN</t>
        </is>
      </c>
      <c r="E1507" t="inlineStr">
        <is>
          <t>VÄSTERVIK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31147-2024</t>
        </is>
      </c>
      <c r="B1508" s="1" t="n">
        <v>45502</v>
      </c>
      <c r="C1508" s="1" t="n">
        <v>45507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31082-2024</t>
        </is>
      </c>
      <c r="B1509" s="1" t="n">
        <v>45502</v>
      </c>
      <c r="C1509" s="1" t="n">
        <v>45507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31056-2024</t>
        </is>
      </c>
      <c r="B1510" s="1" t="n">
        <v>45502</v>
      </c>
      <c r="C1510" s="1" t="n">
        <v>45507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31060-2024</t>
        </is>
      </c>
      <c r="B1511" s="1" t="n">
        <v>45502</v>
      </c>
      <c r="C1511" s="1" t="n">
        <v>45507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2024-08-03T10:32:31Z</dcterms:created>
  <dcterms:modified xmlns:dcterms="http://purl.org/dc/terms/" xmlns:xsi="http://www.w3.org/2001/XMLSchema-instance" xsi:type="dcterms:W3CDTF">2024-08-03T10:32:33Z</dcterms:modified>
</cp:coreProperties>
</file>