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45833</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45833</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45833</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45833</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45833</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45833</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45833</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45833</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45833</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45833</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45833</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45833</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45833</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45833</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45833</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45833</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45833</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45833</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45833</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45833</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45833</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45833</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45833</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45833</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45833</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45833</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45833</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45833</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45833</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45833</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45833</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45833</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45833</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45833</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45833</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45833</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45833</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45833</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45833</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45833</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45833</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45833</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45833</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45833</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45833</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45833</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45833</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45833</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45833</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45833</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45833</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45833</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45833</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45833</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45833</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45833</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45833</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45833</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45833</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45833</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45833</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45833</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45833</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45833</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45833</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45833</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45833</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45833</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45833</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45833</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45833</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45833</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45833</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45833</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45833</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45833</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45833</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45833</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45833</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45833</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45833</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45833</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45833</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45833</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45833</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45833</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45833</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45833</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45833</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45833</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45833</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45833</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45833</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45833</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45833</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45833</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45833</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45833</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45833</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45833</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45833</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45833</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45833</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45833</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45833</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45833</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45833</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45833</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45833</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45833</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45833</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45833</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45833</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45833</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45833</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45833</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45833</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45833</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45833</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45833</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45833</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45833</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45833</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45833</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45833</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45833</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45833</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45833</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45833</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45833</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45833</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45833</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45833</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45833</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45833</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45833</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45833</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45833</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45833</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45833</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45833</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45833</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45833</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45833</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45833</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45833</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45833</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45833</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45833</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45833</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45833</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45833</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45833</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45833</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45833</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45833</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45833</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45833</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45833</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45833</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45833</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45833</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45833</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45833</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45833</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45833</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45833</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45833</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45833</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45833</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45833</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45833</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45833</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45833</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45833</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45833</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45833</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45833</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45833</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45833</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45833</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45833</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45833</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45833</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45833</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45833</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45833</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45833</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45833</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45833</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45833</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45833</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45833</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45833</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45833</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45833</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45833</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45833</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45833</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45833</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45833</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45833</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45833</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45833</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45833</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45833</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45833</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45833</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45833</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45833</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45833</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45833</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45833</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45833</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45833</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45833</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45833</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45833</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45833</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45833</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45833</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45833</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45833</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45833</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45833</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45833</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45833</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45833</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45833</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45833</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45833</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45833</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45833</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45833</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45833</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45833</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45833</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45833</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45833</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45833</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4778-2025</t>
        </is>
      </c>
      <c r="B247" s="1" t="n">
        <v>45688</v>
      </c>
      <c r="C247" s="1" t="n">
        <v>45833</v>
      </c>
      <c r="D247" t="inlineStr">
        <is>
          <t>KALMAR LÄN</t>
        </is>
      </c>
      <c r="E247" t="inlineStr">
        <is>
          <t>VÄSTERVIK</t>
        </is>
      </c>
      <c r="F247" t="inlineStr">
        <is>
          <t>Holmen skog AB</t>
        </is>
      </c>
      <c r="G247" t="n">
        <v>3.8</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4778-2025 artfynd.xlsx", "A 4778-2025")</f>
        <v/>
      </c>
      <c r="T247">
        <f>HYPERLINK("https://klasma.github.io/Logging_0883/kartor/A 4778-2025 karta.png", "A 4778-2025")</f>
        <v/>
      </c>
      <c r="U247">
        <f>HYPERLINK("https://klasma.github.io/Logging_0883/knärot/A 4778-2025 karta knärot.png", "A 4778-2025")</f>
        <v/>
      </c>
      <c r="V247">
        <f>HYPERLINK("https://klasma.github.io/Logging_0883/klagomål/A 4778-2025 FSC-klagomål.docx", "A 4778-2025")</f>
        <v/>
      </c>
      <c r="W247">
        <f>HYPERLINK("https://klasma.github.io/Logging_0883/klagomålsmail/A 4778-2025 FSC-klagomål mail.docx", "A 4778-2025")</f>
        <v/>
      </c>
      <c r="X247">
        <f>HYPERLINK("https://klasma.github.io/Logging_0883/tillsyn/A 4778-2025 tillsynsbegäran.docx", "A 4778-2025")</f>
        <v/>
      </c>
      <c r="Y247">
        <f>HYPERLINK("https://klasma.github.io/Logging_0883/tillsynsmail/A 4778-2025 tillsynsbegäran mail.docx", "A 4778-2025")</f>
        <v/>
      </c>
      <c r="Z247">
        <f>HYPERLINK("https://klasma.github.io/Logging_0883/fåglar/A 4778-2025 prioriterade fågelarter.docx", "A 4778-2025")</f>
        <v/>
      </c>
    </row>
    <row r="248" ht="15" customHeight="1">
      <c r="A248" t="inlineStr">
        <is>
          <t>A 5114-2025</t>
        </is>
      </c>
      <c r="B248" s="1" t="n">
        <v>45691</v>
      </c>
      <c r="C248" s="1" t="n">
        <v>45833</v>
      </c>
      <c r="D248" t="inlineStr">
        <is>
          <t>KALMAR LÄN</t>
        </is>
      </c>
      <c r="E248" t="inlineStr">
        <is>
          <t>VÄSTERVIK</t>
        </is>
      </c>
      <c r="G248" t="n">
        <v>3.6</v>
      </c>
      <c r="H248" t="n">
        <v>2</v>
      </c>
      <c r="I248" t="n">
        <v>0</v>
      </c>
      <c r="J248" t="n">
        <v>2</v>
      </c>
      <c r="K248" t="n">
        <v>0</v>
      </c>
      <c r="L248" t="n">
        <v>0</v>
      </c>
      <c r="M248" t="n">
        <v>0</v>
      </c>
      <c r="N248" t="n">
        <v>0</v>
      </c>
      <c r="O248" t="n">
        <v>2</v>
      </c>
      <c r="P248" t="n">
        <v>0</v>
      </c>
      <c r="Q248" t="n">
        <v>2</v>
      </c>
      <c r="R248" s="2" t="inlineStr">
        <is>
          <t>Spillkråka
Talltita</t>
        </is>
      </c>
      <c r="S248">
        <f>HYPERLINK("https://klasma.github.io/Logging_0883/artfynd/A 5114-2025 artfynd.xlsx", "A 5114-2025")</f>
        <v/>
      </c>
      <c r="T248">
        <f>HYPERLINK("https://klasma.github.io/Logging_0883/kartor/A 5114-2025 karta.png", "A 5114-2025")</f>
        <v/>
      </c>
      <c r="U248">
        <f>HYPERLINK("https://klasma.github.io/Logging_0883/knärot/A 5114-2025 karta knärot.png", "A 5114-2025")</f>
        <v/>
      </c>
      <c r="V248">
        <f>HYPERLINK("https://klasma.github.io/Logging_0883/klagomål/A 5114-2025 FSC-klagomål.docx", "A 5114-2025")</f>
        <v/>
      </c>
      <c r="W248">
        <f>HYPERLINK("https://klasma.github.io/Logging_0883/klagomålsmail/A 5114-2025 FSC-klagomål mail.docx", "A 5114-2025")</f>
        <v/>
      </c>
      <c r="X248">
        <f>HYPERLINK("https://klasma.github.io/Logging_0883/tillsyn/A 5114-2025 tillsynsbegäran.docx", "A 5114-2025")</f>
        <v/>
      </c>
      <c r="Y248">
        <f>HYPERLINK("https://klasma.github.io/Logging_0883/tillsynsmail/A 5114-2025 tillsynsbegäran mail.docx", "A 5114-2025")</f>
        <v/>
      </c>
      <c r="Z248">
        <f>HYPERLINK("https://klasma.github.io/Logging_0883/fåglar/A 5114-2025 prioriterade fågelarter.docx", "A 5114-2025")</f>
        <v/>
      </c>
    </row>
    <row r="249" ht="15" customHeight="1">
      <c r="A249" t="inlineStr">
        <is>
          <t>A 5668-2025</t>
        </is>
      </c>
      <c r="B249" s="1" t="n">
        <v>45693</v>
      </c>
      <c r="C249" s="1" t="n">
        <v>45833</v>
      </c>
      <c r="D249" t="inlineStr">
        <is>
          <t>KALMAR LÄN</t>
        </is>
      </c>
      <c r="E249" t="inlineStr">
        <is>
          <t>VÄSTERVIK</t>
        </is>
      </c>
      <c r="G249" t="n">
        <v>1.2</v>
      </c>
      <c r="H249" t="n">
        <v>2</v>
      </c>
      <c r="I249" t="n">
        <v>0</v>
      </c>
      <c r="J249" t="n">
        <v>1</v>
      </c>
      <c r="K249" t="n">
        <v>0</v>
      </c>
      <c r="L249" t="n">
        <v>0</v>
      </c>
      <c r="M249" t="n">
        <v>0</v>
      </c>
      <c r="N249" t="n">
        <v>0</v>
      </c>
      <c r="O249" t="n">
        <v>1</v>
      </c>
      <c r="P249" t="n">
        <v>0</v>
      </c>
      <c r="Q249" t="n">
        <v>2</v>
      </c>
      <c r="R249" s="2" t="inlineStr">
        <is>
          <t>Talltita
Kungsfågel</t>
        </is>
      </c>
      <c r="S249">
        <f>HYPERLINK("https://klasma.github.io/Logging_0883/artfynd/A 5668-2025 artfynd.xlsx", "A 5668-2025")</f>
        <v/>
      </c>
      <c r="T249">
        <f>HYPERLINK("https://klasma.github.io/Logging_0883/kartor/A 5668-2025 karta.png", "A 5668-2025")</f>
        <v/>
      </c>
      <c r="V249">
        <f>HYPERLINK("https://klasma.github.io/Logging_0883/klagomål/A 5668-2025 FSC-klagomål.docx", "A 5668-2025")</f>
        <v/>
      </c>
      <c r="W249">
        <f>HYPERLINK("https://klasma.github.io/Logging_0883/klagomålsmail/A 5668-2025 FSC-klagomål mail.docx", "A 5668-2025")</f>
        <v/>
      </c>
      <c r="X249">
        <f>HYPERLINK("https://klasma.github.io/Logging_0883/tillsyn/A 5668-2025 tillsynsbegäran.docx", "A 5668-2025")</f>
        <v/>
      </c>
      <c r="Y249">
        <f>HYPERLINK("https://klasma.github.io/Logging_0883/tillsynsmail/A 5668-2025 tillsynsbegäran mail.docx", "A 5668-2025")</f>
        <v/>
      </c>
      <c r="Z249">
        <f>HYPERLINK("https://klasma.github.io/Logging_0883/fåglar/A 5668-2025 prioriterade fågelarter.docx", "A 5668-2025")</f>
        <v/>
      </c>
    </row>
    <row r="250" ht="15" customHeight="1">
      <c r="A250" t="inlineStr">
        <is>
          <t>A 10784-2025</t>
        </is>
      </c>
      <c r="B250" s="1" t="n">
        <v>45722</v>
      </c>
      <c r="C250" s="1" t="n">
        <v>45833</v>
      </c>
      <c r="D250" t="inlineStr">
        <is>
          <t>KALMAR LÄN</t>
        </is>
      </c>
      <c r="E250" t="inlineStr">
        <is>
          <t>VÄSTERVIK</t>
        </is>
      </c>
      <c r="G250" t="n">
        <v>2.1</v>
      </c>
      <c r="H250" t="n">
        <v>2</v>
      </c>
      <c r="I250" t="n">
        <v>0</v>
      </c>
      <c r="J250" t="n">
        <v>1</v>
      </c>
      <c r="K250" t="n">
        <v>0</v>
      </c>
      <c r="L250" t="n">
        <v>0</v>
      </c>
      <c r="M250" t="n">
        <v>0</v>
      </c>
      <c r="N250" t="n">
        <v>0</v>
      </c>
      <c r="O250" t="n">
        <v>1</v>
      </c>
      <c r="P250" t="n">
        <v>0</v>
      </c>
      <c r="Q250" t="n">
        <v>2</v>
      </c>
      <c r="R250" s="2" t="inlineStr">
        <is>
          <t>Talltita
Kungsfågel</t>
        </is>
      </c>
      <c r="S250">
        <f>HYPERLINK("https://klasma.github.io/Logging_080883/artfynd/A 10784-2025 artfynd.xlsx", "A 10784-2025")</f>
        <v/>
      </c>
      <c r="T250">
        <f>HYPERLINK("https://klasma.github.io/Logging_080883/kartor/A 10784-2025 karta.png", "A 10784-2025")</f>
        <v/>
      </c>
      <c r="V250">
        <f>HYPERLINK("https://klasma.github.io/Logging_080883/klagomål/A 10784-2025 FSC-klagomål.docx", "A 10784-2025")</f>
        <v/>
      </c>
      <c r="W250">
        <f>HYPERLINK("https://klasma.github.io/Logging_080883/klagomålsmail/A 10784-2025 FSC-klagomål mail.docx", "A 10784-2025")</f>
        <v/>
      </c>
      <c r="X250">
        <f>HYPERLINK("https://klasma.github.io/Logging_080883/tillsyn/A 10784-2025 tillsynsbegäran.docx", "A 10784-2025")</f>
        <v/>
      </c>
      <c r="Y250">
        <f>HYPERLINK("https://klasma.github.io/Logging_080883/tillsynsmail/A 10784-2025 tillsynsbegäran mail.docx", "A 10784-2025")</f>
        <v/>
      </c>
      <c r="Z250">
        <f>HYPERLINK("https://klasma.github.io/Logging_080883/fåglar/A 10784-2025 prioriterade fågelarter.docx", "A 10784-2025")</f>
        <v/>
      </c>
    </row>
    <row r="251" ht="15" customHeight="1">
      <c r="A251" t="inlineStr">
        <is>
          <t>A 14126-2025</t>
        </is>
      </c>
      <c r="B251" s="1" t="n">
        <v>45740</v>
      </c>
      <c r="C251" s="1" t="n">
        <v>45833</v>
      </c>
      <c r="D251" t="inlineStr">
        <is>
          <t>KALMAR LÄN</t>
        </is>
      </c>
      <c r="E251" t="inlineStr">
        <is>
          <t>VÄSTERVIK</t>
        </is>
      </c>
      <c r="F251" t="inlineStr">
        <is>
          <t>Sveaskog</t>
        </is>
      </c>
      <c r="G251" t="n">
        <v>1.3</v>
      </c>
      <c r="H251" t="n">
        <v>2</v>
      </c>
      <c r="I251" t="n">
        <v>0</v>
      </c>
      <c r="J251" t="n">
        <v>1</v>
      </c>
      <c r="K251" t="n">
        <v>0</v>
      </c>
      <c r="L251" t="n">
        <v>0</v>
      </c>
      <c r="M251" t="n">
        <v>0</v>
      </c>
      <c r="N251" t="n">
        <v>0</v>
      </c>
      <c r="O251" t="n">
        <v>1</v>
      </c>
      <c r="P251" t="n">
        <v>0</v>
      </c>
      <c r="Q251" t="n">
        <v>2</v>
      </c>
      <c r="R251" s="2" t="inlineStr">
        <is>
          <t>Grönsångare
Blåsippa</t>
        </is>
      </c>
      <c r="S251">
        <f>HYPERLINK("https://klasma.github.io/Logging_080883/artfynd/A 14126-2025 artfynd.xlsx", "A 14126-2025")</f>
        <v/>
      </c>
      <c r="T251">
        <f>HYPERLINK("https://klasma.github.io/Logging_080883/kartor/A 14126-2025 karta.png", "A 14126-2025")</f>
        <v/>
      </c>
      <c r="V251">
        <f>HYPERLINK("https://klasma.github.io/Logging_080883/klagomål/A 14126-2025 FSC-klagomål.docx", "A 14126-2025")</f>
        <v/>
      </c>
      <c r="W251">
        <f>HYPERLINK("https://klasma.github.io/Logging_080883/klagomålsmail/A 14126-2025 FSC-klagomål mail.docx", "A 14126-2025")</f>
        <v/>
      </c>
      <c r="X251">
        <f>HYPERLINK("https://klasma.github.io/Logging_080883/tillsyn/A 14126-2025 tillsynsbegäran.docx", "A 14126-2025")</f>
        <v/>
      </c>
      <c r="Y251">
        <f>HYPERLINK("https://klasma.github.io/Logging_080883/tillsynsmail/A 14126-2025 tillsynsbegäran mail.docx", "A 14126-2025")</f>
        <v/>
      </c>
      <c r="Z251">
        <f>HYPERLINK("https://klasma.github.io/Logging_080883/fåglar/A 14126-2025 prioriterade fågelarter.docx", "A 14126-2025")</f>
        <v/>
      </c>
    </row>
    <row r="252" ht="15" customHeight="1">
      <c r="A252" t="inlineStr">
        <is>
          <t>A 14086-2025</t>
        </is>
      </c>
      <c r="B252" s="1" t="n">
        <v>45740</v>
      </c>
      <c r="C252" s="1" t="n">
        <v>45833</v>
      </c>
      <c r="D252" t="inlineStr">
        <is>
          <t>KALMAR LÄN</t>
        </is>
      </c>
      <c r="E252" t="inlineStr">
        <is>
          <t>VÄSTERVIK</t>
        </is>
      </c>
      <c r="F252" t="inlineStr">
        <is>
          <t>Sveaskog</t>
        </is>
      </c>
      <c r="G252" t="n">
        <v>3.2</v>
      </c>
      <c r="H252" t="n">
        <v>1</v>
      </c>
      <c r="I252" t="n">
        <v>1</v>
      </c>
      <c r="J252" t="n">
        <v>0</v>
      </c>
      <c r="K252" t="n">
        <v>0</v>
      </c>
      <c r="L252" t="n">
        <v>0</v>
      </c>
      <c r="M252" t="n">
        <v>0</v>
      </c>
      <c r="N252" t="n">
        <v>0</v>
      </c>
      <c r="O252" t="n">
        <v>0</v>
      </c>
      <c r="P252" t="n">
        <v>0</v>
      </c>
      <c r="Q252" t="n">
        <v>2</v>
      </c>
      <c r="R252" s="2" t="inlineStr">
        <is>
          <t>Skogsbräsma
Åkergroda</t>
        </is>
      </c>
      <c r="S252">
        <f>HYPERLINK("https://klasma.github.io/Logging_080883/artfynd/A 14086-2025 artfynd.xlsx", "A 14086-2025")</f>
        <v/>
      </c>
      <c r="T252">
        <f>HYPERLINK("https://klasma.github.io/Logging_080883/kartor/A 14086-2025 karta.png", "A 14086-2025")</f>
        <v/>
      </c>
      <c r="V252">
        <f>HYPERLINK("https://klasma.github.io/Logging_080883/klagomål/A 14086-2025 FSC-klagomål.docx", "A 14086-2025")</f>
        <v/>
      </c>
      <c r="W252">
        <f>HYPERLINK("https://klasma.github.io/Logging_080883/klagomålsmail/A 14086-2025 FSC-klagomål mail.docx", "A 14086-2025")</f>
        <v/>
      </c>
      <c r="X252">
        <f>HYPERLINK("https://klasma.github.io/Logging_080883/tillsyn/A 14086-2025 tillsynsbegäran.docx", "A 14086-2025")</f>
        <v/>
      </c>
      <c r="Y252">
        <f>HYPERLINK("https://klasma.github.io/Logging_080883/tillsynsmail/A 14086-2025 tillsynsbegäran mail.docx", "A 14086-2025")</f>
        <v/>
      </c>
    </row>
    <row r="253" ht="15" customHeight="1">
      <c r="A253" t="inlineStr">
        <is>
          <t>A 14090-2025</t>
        </is>
      </c>
      <c r="B253" s="1" t="n">
        <v>45740</v>
      </c>
      <c r="C253" s="1" t="n">
        <v>45833</v>
      </c>
      <c r="D253" t="inlineStr">
        <is>
          <t>KALMAR LÄN</t>
        </is>
      </c>
      <c r="E253" t="inlineStr">
        <is>
          <t>VÄSTERVIK</t>
        </is>
      </c>
      <c r="F253" t="inlineStr">
        <is>
          <t>Sveaskog</t>
        </is>
      </c>
      <c r="G253" t="n">
        <v>1</v>
      </c>
      <c r="H253" t="n">
        <v>2</v>
      </c>
      <c r="I253" t="n">
        <v>0</v>
      </c>
      <c r="J253" t="n">
        <v>1</v>
      </c>
      <c r="K253" t="n">
        <v>0</v>
      </c>
      <c r="L253" t="n">
        <v>0</v>
      </c>
      <c r="M253" t="n">
        <v>0</v>
      </c>
      <c r="N253" t="n">
        <v>0</v>
      </c>
      <c r="O253" t="n">
        <v>1</v>
      </c>
      <c r="P253" t="n">
        <v>0</v>
      </c>
      <c r="Q253" t="n">
        <v>2</v>
      </c>
      <c r="R253" s="2" t="inlineStr">
        <is>
          <t>Grönsångare
Åkergroda</t>
        </is>
      </c>
      <c r="S253">
        <f>HYPERLINK("https://klasma.github.io/Logging_080883/artfynd/A 14090-2025 artfynd.xlsx", "A 14090-2025")</f>
        <v/>
      </c>
      <c r="T253">
        <f>HYPERLINK("https://klasma.github.io/Logging_080883/kartor/A 14090-2025 karta.png", "A 14090-2025")</f>
        <v/>
      </c>
      <c r="V253">
        <f>HYPERLINK("https://klasma.github.io/Logging_080883/klagomål/A 14090-2025 FSC-klagomål.docx", "A 14090-2025")</f>
        <v/>
      </c>
      <c r="W253">
        <f>HYPERLINK("https://klasma.github.io/Logging_080883/klagomålsmail/A 14090-2025 FSC-klagomål mail.docx", "A 14090-2025")</f>
        <v/>
      </c>
      <c r="X253">
        <f>HYPERLINK("https://klasma.github.io/Logging_080883/tillsyn/A 14090-2025 tillsynsbegäran.docx", "A 14090-2025")</f>
        <v/>
      </c>
      <c r="Y253">
        <f>HYPERLINK("https://klasma.github.io/Logging_080883/tillsynsmail/A 14090-2025 tillsynsbegäran mail.docx", "A 14090-2025")</f>
        <v/>
      </c>
      <c r="Z253">
        <f>HYPERLINK("https://klasma.github.io/Logging_080883/fåglar/A 14090-2025 prioriterade fågelarter.docx", "A 14090-2025")</f>
        <v/>
      </c>
    </row>
    <row r="254" ht="15" customHeight="1">
      <c r="A254" t="inlineStr">
        <is>
          <t>A 15018-2025</t>
        </is>
      </c>
      <c r="B254" s="1" t="n">
        <v>45743</v>
      </c>
      <c r="C254" s="1" t="n">
        <v>45833</v>
      </c>
      <c r="D254" t="inlineStr">
        <is>
          <t>KALMAR LÄN</t>
        </is>
      </c>
      <c r="E254" t="inlineStr">
        <is>
          <t>VÄSTERVIK</t>
        </is>
      </c>
      <c r="G254" t="n">
        <v>1.7</v>
      </c>
      <c r="H254" t="n">
        <v>2</v>
      </c>
      <c r="I254" t="n">
        <v>0</v>
      </c>
      <c r="J254" t="n">
        <v>1</v>
      </c>
      <c r="K254" t="n">
        <v>0</v>
      </c>
      <c r="L254" t="n">
        <v>0</v>
      </c>
      <c r="M254" t="n">
        <v>0</v>
      </c>
      <c r="N254" t="n">
        <v>0</v>
      </c>
      <c r="O254" t="n">
        <v>1</v>
      </c>
      <c r="P254" t="n">
        <v>0</v>
      </c>
      <c r="Q254" t="n">
        <v>2</v>
      </c>
      <c r="R254" s="2" t="inlineStr">
        <is>
          <t>Fjällvråk
Nattskärra</t>
        </is>
      </c>
      <c r="S254">
        <f>HYPERLINK("https://klasma.github.io/Logging_080883/artfynd/A 15018-2025 artfynd.xlsx", "A 15018-2025")</f>
        <v/>
      </c>
      <c r="T254">
        <f>HYPERLINK("https://klasma.github.io/Logging_080883/kartor/A 15018-2025 karta.png", "A 15018-2025")</f>
        <v/>
      </c>
      <c r="V254">
        <f>HYPERLINK("https://klasma.github.io/Logging_080883/klagomål/A 15018-2025 FSC-klagomål.docx", "A 15018-2025")</f>
        <v/>
      </c>
      <c r="W254">
        <f>HYPERLINK("https://klasma.github.io/Logging_080883/klagomålsmail/A 15018-2025 FSC-klagomål mail.docx", "A 15018-2025")</f>
        <v/>
      </c>
      <c r="X254">
        <f>HYPERLINK("https://klasma.github.io/Logging_080883/tillsyn/A 15018-2025 tillsynsbegäran.docx", "A 15018-2025")</f>
        <v/>
      </c>
      <c r="Y254">
        <f>HYPERLINK("https://klasma.github.io/Logging_080883/tillsynsmail/A 15018-2025 tillsynsbegäran mail.docx", "A 15018-2025")</f>
        <v/>
      </c>
      <c r="Z254">
        <f>HYPERLINK("https://klasma.github.io/Logging_080883/fåglar/A 15018-2025 prioriterade fågelarter.docx", "A 15018-2025")</f>
        <v/>
      </c>
    </row>
    <row r="255" ht="15" customHeight="1">
      <c r="A255" t="inlineStr">
        <is>
          <t>A 16700-2025</t>
        </is>
      </c>
      <c r="B255" s="1" t="n">
        <v>45754</v>
      </c>
      <c r="C255" s="1" t="n">
        <v>45833</v>
      </c>
      <c r="D255" t="inlineStr">
        <is>
          <t>KALMAR LÄN</t>
        </is>
      </c>
      <c r="E255" t="inlineStr">
        <is>
          <t>VÄSTERVIK</t>
        </is>
      </c>
      <c r="F255" t="inlineStr">
        <is>
          <t>Sveaskog</t>
        </is>
      </c>
      <c r="G255" t="n">
        <v>1.7</v>
      </c>
      <c r="H255" t="n">
        <v>2</v>
      </c>
      <c r="I255" t="n">
        <v>0</v>
      </c>
      <c r="J255" t="n">
        <v>1</v>
      </c>
      <c r="K255" t="n">
        <v>0</v>
      </c>
      <c r="L255" t="n">
        <v>0</v>
      </c>
      <c r="M255" t="n">
        <v>0</v>
      </c>
      <c r="N255" t="n">
        <v>0</v>
      </c>
      <c r="O255" t="n">
        <v>1</v>
      </c>
      <c r="P255" t="n">
        <v>0</v>
      </c>
      <c r="Q255" t="n">
        <v>2</v>
      </c>
      <c r="R255" s="2" t="inlineStr">
        <is>
          <t>Spillkråka
Kungsfågel</t>
        </is>
      </c>
      <c r="S255">
        <f>HYPERLINK("https://klasma.github.io/Logging_080883/artfynd/A 16700-2025 artfynd.xlsx", "A 16700-2025")</f>
        <v/>
      </c>
      <c r="T255">
        <f>HYPERLINK("https://klasma.github.io/Logging_080883/kartor/A 16700-2025 karta.png", "A 16700-2025")</f>
        <v/>
      </c>
      <c r="V255">
        <f>HYPERLINK("https://klasma.github.io/Logging_080883/klagomål/A 16700-2025 FSC-klagomål.docx", "A 16700-2025")</f>
        <v/>
      </c>
      <c r="W255">
        <f>HYPERLINK("https://klasma.github.io/Logging_080883/klagomålsmail/A 16700-2025 FSC-klagomål mail.docx", "A 16700-2025")</f>
        <v/>
      </c>
      <c r="X255">
        <f>HYPERLINK("https://klasma.github.io/Logging_080883/tillsyn/A 16700-2025 tillsynsbegäran.docx", "A 16700-2025")</f>
        <v/>
      </c>
      <c r="Y255">
        <f>HYPERLINK("https://klasma.github.io/Logging_080883/tillsynsmail/A 16700-2025 tillsynsbegäran mail.docx", "A 16700-2025")</f>
        <v/>
      </c>
      <c r="Z255">
        <f>HYPERLINK("https://klasma.github.io/Logging_080883/fåglar/A 16700-2025 prioriterade fågelarter.docx", "A 16700-2025")</f>
        <v/>
      </c>
    </row>
    <row r="256" ht="15" customHeight="1">
      <c r="A256" t="inlineStr">
        <is>
          <t>A 21081-2025</t>
        </is>
      </c>
      <c r="B256" s="1" t="n">
        <v>45777</v>
      </c>
      <c r="C256" s="1" t="n">
        <v>45833</v>
      </c>
      <c r="D256" t="inlineStr">
        <is>
          <t>KALMAR LÄN</t>
        </is>
      </c>
      <c r="E256" t="inlineStr">
        <is>
          <t>VÄSTERVIK</t>
        </is>
      </c>
      <c r="G256" t="n">
        <v>1</v>
      </c>
      <c r="H256" t="n">
        <v>1</v>
      </c>
      <c r="I256" t="n">
        <v>0</v>
      </c>
      <c r="J256" t="n">
        <v>1</v>
      </c>
      <c r="K256" t="n">
        <v>1</v>
      </c>
      <c r="L256" t="n">
        <v>0</v>
      </c>
      <c r="M256" t="n">
        <v>0</v>
      </c>
      <c r="N256" t="n">
        <v>0</v>
      </c>
      <c r="O256" t="n">
        <v>2</v>
      </c>
      <c r="P256" t="n">
        <v>1</v>
      </c>
      <c r="Q256" t="n">
        <v>2</v>
      </c>
      <c r="R256" s="2" t="inlineStr">
        <is>
          <t>Knärot
Ullticka</t>
        </is>
      </c>
      <c r="S256">
        <f>HYPERLINK("https://klasma.github.io/Logging_080883/artfynd/A 21081-2025 artfynd.xlsx", "A 21081-2025")</f>
        <v/>
      </c>
      <c r="T256">
        <f>HYPERLINK("https://klasma.github.io/Logging_080883/kartor/A 21081-2025 karta.png", "A 21081-2025")</f>
        <v/>
      </c>
      <c r="U256">
        <f>HYPERLINK("https://klasma.github.io/Logging_080883/knärot/A 21081-2025 karta knärot.png", "A 21081-2025")</f>
        <v/>
      </c>
      <c r="V256">
        <f>HYPERLINK("https://klasma.github.io/Logging_080883/klagomål/A 21081-2025 FSC-klagomål.docx", "A 21081-2025")</f>
        <v/>
      </c>
      <c r="W256">
        <f>HYPERLINK("https://klasma.github.io/Logging_080883/klagomålsmail/A 21081-2025 FSC-klagomål mail.docx", "A 21081-2025")</f>
        <v/>
      </c>
      <c r="X256">
        <f>HYPERLINK("https://klasma.github.io/Logging_080883/tillsyn/A 21081-2025 tillsynsbegäran.docx", "A 21081-2025")</f>
        <v/>
      </c>
      <c r="Y256">
        <f>HYPERLINK("https://klasma.github.io/Logging_080883/tillsynsmail/A 21081-2025 tillsynsbegäran mail.docx", "A 21081-2025")</f>
        <v/>
      </c>
    </row>
    <row r="257" ht="15" customHeight="1">
      <c r="A257" t="inlineStr">
        <is>
          <t>A 27200-2019</t>
        </is>
      </c>
      <c r="B257" s="1" t="n">
        <v>43614</v>
      </c>
      <c r="C257" s="1" t="n">
        <v>45833</v>
      </c>
      <c r="D257" t="inlineStr">
        <is>
          <t>KALMAR LÄN</t>
        </is>
      </c>
      <c r="E257" t="inlineStr">
        <is>
          <t>VÄSTERVIK</t>
        </is>
      </c>
      <c r="F257" t="inlineStr">
        <is>
          <t>Sveaskog</t>
        </is>
      </c>
      <c r="G257" t="n">
        <v>8.5</v>
      </c>
      <c r="H257" t="n">
        <v>0</v>
      </c>
      <c r="I257" t="n">
        <v>1</v>
      </c>
      <c r="J257" t="n">
        <v>0</v>
      </c>
      <c r="K257" t="n">
        <v>0</v>
      </c>
      <c r="L257" t="n">
        <v>0</v>
      </c>
      <c r="M257" t="n">
        <v>0</v>
      </c>
      <c r="N257" t="n">
        <v>0</v>
      </c>
      <c r="O257" t="n">
        <v>0</v>
      </c>
      <c r="P257" t="n">
        <v>0</v>
      </c>
      <c r="Q257" t="n">
        <v>1</v>
      </c>
      <c r="R257" s="2" t="inlineStr">
        <is>
          <t>Myskmadra</t>
        </is>
      </c>
      <c r="S257">
        <f>HYPERLINK("https://klasma.github.io/Logging_0883/artfynd/A 27200-2019 artfynd.xlsx", "A 27200-2019")</f>
        <v/>
      </c>
      <c r="T257">
        <f>HYPERLINK("https://klasma.github.io/Logging_0883/kartor/A 27200-2019 karta.png", "A 27200-2019")</f>
        <v/>
      </c>
      <c r="V257">
        <f>HYPERLINK("https://klasma.github.io/Logging_0883/klagomål/A 27200-2019 FSC-klagomål.docx", "A 27200-2019")</f>
        <v/>
      </c>
      <c r="W257">
        <f>HYPERLINK("https://klasma.github.io/Logging_0883/klagomålsmail/A 27200-2019 FSC-klagomål mail.docx", "A 27200-2019")</f>
        <v/>
      </c>
      <c r="X257">
        <f>HYPERLINK("https://klasma.github.io/Logging_0883/tillsyn/A 27200-2019 tillsynsbegäran.docx", "A 27200-2019")</f>
        <v/>
      </c>
      <c r="Y257">
        <f>HYPERLINK("https://klasma.github.io/Logging_0883/tillsynsmail/A 27200-2019 tillsynsbegäran mail.docx", "A 27200-2019")</f>
        <v/>
      </c>
    </row>
    <row r="258" ht="15" customHeight="1">
      <c r="A258" t="inlineStr">
        <is>
          <t>A 27204-2019</t>
        </is>
      </c>
      <c r="B258" s="1" t="n">
        <v>43614</v>
      </c>
      <c r="C258" s="1" t="n">
        <v>45833</v>
      </c>
      <c r="D258" t="inlineStr">
        <is>
          <t>KALMAR LÄN</t>
        </is>
      </c>
      <c r="E258" t="inlineStr">
        <is>
          <t>VÄSTERVIK</t>
        </is>
      </c>
      <c r="F258" t="inlineStr">
        <is>
          <t>Sveaskog</t>
        </is>
      </c>
      <c r="G258" t="n">
        <v>12.9</v>
      </c>
      <c r="H258" t="n">
        <v>0</v>
      </c>
      <c r="I258" t="n">
        <v>1</v>
      </c>
      <c r="J258" t="n">
        <v>0</v>
      </c>
      <c r="K258" t="n">
        <v>0</v>
      </c>
      <c r="L258" t="n">
        <v>0</v>
      </c>
      <c r="M258" t="n">
        <v>0</v>
      </c>
      <c r="N258" t="n">
        <v>0</v>
      </c>
      <c r="O258" t="n">
        <v>0</v>
      </c>
      <c r="P258" t="n">
        <v>0</v>
      </c>
      <c r="Q258" t="n">
        <v>1</v>
      </c>
      <c r="R258" s="2" t="inlineStr">
        <is>
          <t>Platt fjädermossa</t>
        </is>
      </c>
      <c r="S258">
        <f>HYPERLINK("https://klasma.github.io/Logging_0883/artfynd/A 27204-2019 artfynd.xlsx", "A 27204-2019")</f>
        <v/>
      </c>
      <c r="T258">
        <f>HYPERLINK("https://klasma.github.io/Logging_0883/kartor/A 27204-2019 karta.png", "A 27204-2019")</f>
        <v/>
      </c>
      <c r="V258">
        <f>HYPERLINK("https://klasma.github.io/Logging_0883/klagomål/A 27204-2019 FSC-klagomål.docx", "A 27204-2019")</f>
        <v/>
      </c>
      <c r="W258">
        <f>HYPERLINK("https://klasma.github.io/Logging_0883/klagomålsmail/A 27204-2019 FSC-klagomål mail.docx", "A 27204-2019")</f>
        <v/>
      </c>
      <c r="X258">
        <f>HYPERLINK("https://klasma.github.io/Logging_0883/tillsyn/A 27204-2019 tillsynsbegäran.docx", "A 27204-2019")</f>
        <v/>
      </c>
      <c r="Y258">
        <f>HYPERLINK("https://klasma.github.io/Logging_0883/tillsynsmail/A 27204-2019 tillsynsbegäran mail.docx", "A 27204-2019")</f>
        <v/>
      </c>
    </row>
    <row r="259" ht="15" customHeight="1">
      <c r="A259" t="inlineStr">
        <is>
          <t>A 27203-2019</t>
        </is>
      </c>
      <c r="B259" s="1" t="n">
        <v>43614</v>
      </c>
      <c r="C259" s="1" t="n">
        <v>45833</v>
      </c>
      <c r="D259" t="inlineStr">
        <is>
          <t>KALMAR LÄN</t>
        </is>
      </c>
      <c r="E259" t="inlineStr">
        <is>
          <t>VÄSTERVIK</t>
        </is>
      </c>
      <c r="F259" t="inlineStr">
        <is>
          <t>Sveaskog</t>
        </is>
      </c>
      <c r="G259" t="n">
        <v>4.8</v>
      </c>
      <c r="H259" t="n">
        <v>0</v>
      </c>
      <c r="I259" t="n">
        <v>1</v>
      </c>
      <c r="J259" t="n">
        <v>0</v>
      </c>
      <c r="K259" t="n">
        <v>0</v>
      </c>
      <c r="L259" t="n">
        <v>0</v>
      </c>
      <c r="M259" t="n">
        <v>0</v>
      </c>
      <c r="N259" t="n">
        <v>0</v>
      </c>
      <c r="O259" t="n">
        <v>0</v>
      </c>
      <c r="P259" t="n">
        <v>0</v>
      </c>
      <c r="Q259" t="n">
        <v>1</v>
      </c>
      <c r="R259" s="2" t="inlineStr">
        <is>
          <t>Blomskägglav</t>
        </is>
      </c>
      <c r="S259">
        <f>HYPERLINK("https://klasma.github.io/Logging_0883/artfynd/A 27203-2019 artfynd.xlsx", "A 27203-2019")</f>
        <v/>
      </c>
      <c r="T259">
        <f>HYPERLINK("https://klasma.github.io/Logging_0883/kartor/A 27203-2019 karta.png", "A 27203-2019")</f>
        <v/>
      </c>
      <c r="V259">
        <f>HYPERLINK("https://klasma.github.io/Logging_0883/klagomål/A 27203-2019 FSC-klagomål.docx", "A 27203-2019")</f>
        <v/>
      </c>
      <c r="W259">
        <f>HYPERLINK("https://klasma.github.io/Logging_0883/klagomålsmail/A 27203-2019 FSC-klagomål mail.docx", "A 27203-2019")</f>
        <v/>
      </c>
      <c r="X259">
        <f>HYPERLINK("https://klasma.github.io/Logging_0883/tillsyn/A 27203-2019 tillsynsbegäran.docx", "A 27203-2019")</f>
        <v/>
      </c>
      <c r="Y259">
        <f>HYPERLINK("https://klasma.github.io/Logging_0883/tillsynsmail/A 27203-2019 tillsynsbegäran mail.docx", "A 27203-2019")</f>
        <v/>
      </c>
    </row>
    <row r="260" ht="15" customHeight="1">
      <c r="A260" t="inlineStr">
        <is>
          <t>A 59193-2019</t>
        </is>
      </c>
      <c r="B260" s="1" t="n">
        <v>43775</v>
      </c>
      <c r="C260" s="1" t="n">
        <v>45833</v>
      </c>
      <c r="D260" t="inlineStr">
        <is>
          <t>KALMAR LÄN</t>
        </is>
      </c>
      <c r="E260" t="inlineStr">
        <is>
          <t>VÄSTERVIK</t>
        </is>
      </c>
      <c r="G260" t="n">
        <v>3.8</v>
      </c>
      <c r="H260" t="n">
        <v>0</v>
      </c>
      <c r="I260" t="n">
        <v>0</v>
      </c>
      <c r="J260" t="n">
        <v>1</v>
      </c>
      <c r="K260" t="n">
        <v>0</v>
      </c>
      <c r="L260" t="n">
        <v>0</v>
      </c>
      <c r="M260" t="n">
        <v>0</v>
      </c>
      <c r="N260" t="n">
        <v>0</v>
      </c>
      <c r="O260" t="n">
        <v>1</v>
      </c>
      <c r="P260" t="n">
        <v>0</v>
      </c>
      <c r="Q260" t="n">
        <v>1</v>
      </c>
      <c r="R260" s="2" t="inlineStr">
        <is>
          <t>Åkerkulla</t>
        </is>
      </c>
      <c r="S260">
        <f>HYPERLINK("https://klasma.github.io/Logging_0883/artfynd/A 59193-2019 artfynd.xlsx", "A 59193-2019")</f>
        <v/>
      </c>
      <c r="T260">
        <f>HYPERLINK("https://klasma.github.io/Logging_0883/kartor/A 59193-2019 karta.png", "A 59193-2019")</f>
        <v/>
      </c>
      <c r="V260">
        <f>HYPERLINK("https://klasma.github.io/Logging_0883/klagomål/A 59193-2019 FSC-klagomål.docx", "A 59193-2019")</f>
        <v/>
      </c>
      <c r="W260">
        <f>HYPERLINK("https://klasma.github.io/Logging_0883/klagomålsmail/A 59193-2019 FSC-klagomål mail.docx", "A 59193-2019")</f>
        <v/>
      </c>
      <c r="X260">
        <f>HYPERLINK("https://klasma.github.io/Logging_0883/tillsyn/A 59193-2019 tillsynsbegäran.docx", "A 59193-2019")</f>
        <v/>
      </c>
      <c r="Y260">
        <f>HYPERLINK("https://klasma.github.io/Logging_0883/tillsynsmail/A 59193-2019 tillsynsbegäran mail.docx", "A 59193-2019")</f>
        <v/>
      </c>
    </row>
    <row r="261" ht="15" customHeight="1">
      <c r="A261" t="inlineStr">
        <is>
          <t>A 16608-2020</t>
        </is>
      </c>
      <c r="B261" s="1" t="n">
        <v>43908</v>
      </c>
      <c r="C261" s="1" t="n">
        <v>45833</v>
      </c>
      <c r="D261" t="inlineStr">
        <is>
          <t>KALMAR LÄN</t>
        </is>
      </c>
      <c r="E261" t="inlineStr">
        <is>
          <t>VÄSTERVIK</t>
        </is>
      </c>
      <c r="F261" t="inlineStr">
        <is>
          <t>Övriga Aktiebolag</t>
        </is>
      </c>
      <c r="G261" t="n">
        <v>1.7</v>
      </c>
      <c r="H261" t="n">
        <v>0</v>
      </c>
      <c r="I261" t="n">
        <v>0</v>
      </c>
      <c r="J261" t="n">
        <v>1</v>
      </c>
      <c r="K261" t="n">
        <v>0</v>
      </c>
      <c r="L261" t="n">
        <v>0</v>
      </c>
      <c r="M261" t="n">
        <v>0</v>
      </c>
      <c r="N261" t="n">
        <v>0</v>
      </c>
      <c r="O261" t="n">
        <v>1</v>
      </c>
      <c r="P261" t="n">
        <v>0</v>
      </c>
      <c r="Q261" t="n">
        <v>1</v>
      </c>
      <c r="R261" s="2" t="inlineStr">
        <is>
          <t>Skogsklocka</t>
        </is>
      </c>
      <c r="S261">
        <f>HYPERLINK("https://klasma.github.io/Logging_0883/artfynd/A 16608-2020 artfynd.xlsx", "A 16608-2020")</f>
        <v/>
      </c>
      <c r="T261">
        <f>HYPERLINK("https://klasma.github.io/Logging_0883/kartor/A 16608-2020 karta.png", "A 16608-2020")</f>
        <v/>
      </c>
      <c r="V261">
        <f>HYPERLINK("https://klasma.github.io/Logging_0883/klagomål/A 16608-2020 FSC-klagomål.docx", "A 16608-2020")</f>
        <v/>
      </c>
      <c r="W261">
        <f>HYPERLINK("https://klasma.github.io/Logging_0883/klagomålsmail/A 16608-2020 FSC-klagomål mail.docx", "A 16608-2020")</f>
        <v/>
      </c>
      <c r="X261">
        <f>HYPERLINK("https://klasma.github.io/Logging_0883/tillsyn/A 16608-2020 tillsynsbegäran.docx", "A 16608-2020")</f>
        <v/>
      </c>
      <c r="Y261">
        <f>HYPERLINK("https://klasma.github.io/Logging_0883/tillsynsmail/A 16608-2020 tillsynsbegäran mail.docx", "A 16608-2020")</f>
        <v/>
      </c>
    </row>
    <row r="262" ht="15" customHeight="1">
      <c r="A262" t="inlineStr">
        <is>
          <t>A 15357-2020</t>
        </is>
      </c>
      <c r="B262" s="1" t="n">
        <v>43913</v>
      </c>
      <c r="C262" s="1" t="n">
        <v>45833</v>
      </c>
      <c r="D262" t="inlineStr">
        <is>
          <t>KALMAR LÄN</t>
        </is>
      </c>
      <c r="E262" t="inlineStr">
        <is>
          <t>VÄSTERVIK</t>
        </is>
      </c>
      <c r="G262" t="n">
        <v>2.9</v>
      </c>
      <c r="H262" t="n">
        <v>0</v>
      </c>
      <c r="I262" t="n">
        <v>1</v>
      </c>
      <c r="J262" t="n">
        <v>0</v>
      </c>
      <c r="K262" t="n">
        <v>0</v>
      </c>
      <c r="L262" t="n">
        <v>0</v>
      </c>
      <c r="M262" t="n">
        <v>0</v>
      </c>
      <c r="N262" t="n">
        <v>0</v>
      </c>
      <c r="O262" t="n">
        <v>0</v>
      </c>
      <c r="P262" t="n">
        <v>0</v>
      </c>
      <c r="Q262" t="n">
        <v>1</v>
      </c>
      <c r="R262" s="2" t="inlineStr">
        <is>
          <t>Grönpyrola</t>
        </is>
      </c>
      <c r="S262">
        <f>HYPERLINK("https://klasma.github.io/Logging_0883/artfynd/A 15357-2020 artfynd.xlsx", "A 15357-2020")</f>
        <v/>
      </c>
      <c r="T262">
        <f>HYPERLINK("https://klasma.github.io/Logging_0883/kartor/A 15357-2020 karta.png", "A 15357-2020")</f>
        <v/>
      </c>
      <c r="U262">
        <f>HYPERLINK("https://klasma.github.io/Logging_0883/knärot/A 15357-2020 karta knärot.png", "A 15357-2020")</f>
        <v/>
      </c>
      <c r="V262">
        <f>HYPERLINK("https://klasma.github.io/Logging_0883/klagomål/A 15357-2020 FSC-klagomål.docx", "A 15357-2020")</f>
        <v/>
      </c>
      <c r="W262">
        <f>HYPERLINK("https://klasma.github.io/Logging_0883/klagomålsmail/A 15357-2020 FSC-klagomål mail.docx", "A 15357-2020")</f>
        <v/>
      </c>
      <c r="X262">
        <f>HYPERLINK("https://klasma.github.io/Logging_0883/tillsyn/A 15357-2020 tillsynsbegäran.docx", "A 15357-2020")</f>
        <v/>
      </c>
      <c r="Y262">
        <f>HYPERLINK("https://klasma.github.io/Logging_0883/tillsynsmail/A 15357-2020 tillsynsbegäran mail.docx", "A 15357-2020")</f>
        <v/>
      </c>
    </row>
    <row r="263" ht="15" customHeight="1">
      <c r="A263" t="inlineStr">
        <is>
          <t>A 39836-2020</t>
        </is>
      </c>
      <c r="B263" s="1" t="n">
        <v>44064</v>
      </c>
      <c r="C263" s="1" t="n">
        <v>45833</v>
      </c>
      <c r="D263" t="inlineStr">
        <is>
          <t>KALMAR LÄN</t>
        </is>
      </c>
      <c r="E263" t="inlineStr">
        <is>
          <t>VÄSTERVIK</t>
        </is>
      </c>
      <c r="G263" t="n">
        <v>13.4</v>
      </c>
      <c r="H263" t="n">
        <v>1</v>
      </c>
      <c r="I263" t="n">
        <v>0</v>
      </c>
      <c r="J263" t="n">
        <v>1</v>
      </c>
      <c r="K263" t="n">
        <v>0</v>
      </c>
      <c r="L263" t="n">
        <v>0</v>
      </c>
      <c r="M263" t="n">
        <v>0</v>
      </c>
      <c r="N263" t="n">
        <v>0</v>
      </c>
      <c r="O263" t="n">
        <v>1</v>
      </c>
      <c r="P263" t="n">
        <v>0</v>
      </c>
      <c r="Q263" t="n">
        <v>1</v>
      </c>
      <c r="R263" s="2" t="inlineStr">
        <is>
          <t>Havsörn</t>
        </is>
      </c>
      <c r="S263">
        <f>HYPERLINK("https://klasma.github.io/Logging_0883/artfynd/A 39836-2020 artfynd.xlsx", "A 39836-2020")</f>
        <v/>
      </c>
      <c r="T263">
        <f>HYPERLINK("https://klasma.github.io/Logging_0883/kartor/A 39836-2020 karta.png", "A 39836-2020")</f>
        <v/>
      </c>
      <c r="V263">
        <f>HYPERLINK("https://klasma.github.io/Logging_0883/klagomål/A 39836-2020 FSC-klagomål.docx", "A 39836-2020")</f>
        <v/>
      </c>
      <c r="W263">
        <f>HYPERLINK("https://klasma.github.io/Logging_0883/klagomålsmail/A 39836-2020 FSC-klagomål mail.docx", "A 39836-2020")</f>
        <v/>
      </c>
      <c r="X263">
        <f>HYPERLINK("https://klasma.github.io/Logging_0883/tillsyn/A 39836-2020 tillsynsbegäran.docx", "A 39836-2020")</f>
        <v/>
      </c>
      <c r="Y263">
        <f>HYPERLINK("https://klasma.github.io/Logging_0883/tillsynsmail/A 39836-2020 tillsynsbegäran mail.docx", "A 39836-2020")</f>
        <v/>
      </c>
      <c r="Z263">
        <f>HYPERLINK("https://klasma.github.io/Logging_0883/fåglar/A 39836-2020 prioriterade fågelarter.docx", "A 39836-2020")</f>
        <v/>
      </c>
    </row>
    <row r="264" ht="15" customHeight="1">
      <c r="A264" t="inlineStr">
        <is>
          <t>A 66752-2020</t>
        </is>
      </c>
      <c r="B264" s="1" t="n">
        <v>44175</v>
      </c>
      <c r="C264" s="1" t="n">
        <v>45833</v>
      </c>
      <c r="D264" t="inlineStr">
        <is>
          <t>KALMAR LÄN</t>
        </is>
      </c>
      <c r="E264" t="inlineStr">
        <is>
          <t>VÄSTERVIK</t>
        </is>
      </c>
      <c r="G264" t="n">
        <v>0.7</v>
      </c>
      <c r="H264" t="n">
        <v>0</v>
      </c>
      <c r="I264" t="n">
        <v>0</v>
      </c>
      <c r="J264" t="n">
        <v>1</v>
      </c>
      <c r="K264" t="n">
        <v>0</v>
      </c>
      <c r="L264" t="n">
        <v>0</v>
      </c>
      <c r="M264" t="n">
        <v>0</v>
      </c>
      <c r="N264" t="n">
        <v>0</v>
      </c>
      <c r="O264" t="n">
        <v>1</v>
      </c>
      <c r="P264" t="n">
        <v>0</v>
      </c>
      <c r="Q264" t="n">
        <v>1</v>
      </c>
      <c r="R264" s="2" t="inlineStr">
        <is>
          <t>Tallticka</t>
        </is>
      </c>
      <c r="S264">
        <f>HYPERLINK("https://klasma.github.io/Logging_0883/artfynd/A 66752-2020 artfynd.xlsx", "A 66752-2020")</f>
        <v/>
      </c>
      <c r="T264">
        <f>HYPERLINK("https://klasma.github.io/Logging_0883/kartor/A 66752-2020 karta.png", "A 66752-2020")</f>
        <v/>
      </c>
      <c r="V264">
        <f>HYPERLINK("https://klasma.github.io/Logging_0883/klagomål/A 66752-2020 FSC-klagomål.docx", "A 66752-2020")</f>
        <v/>
      </c>
      <c r="W264">
        <f>HYPERLINK("https://klasma.github.io/Logging_0883/klagomålsmail/A 66752-2020 FSC-klagomål mail.docx", "A 66752-2020")</f>
        <v/>
      </c>
      <c r="X264">
        <f>HYPERLINK("https://klasma.github.io/Logging_0883/tillsyn/A 66752-2020 tillsynsbegäran.docx", "A 66752-2020")</f>
        <v/>
      </c>
      <c r="Y264">
        <f>HYPERLINK("https://klasma.github.io/Logging_0883/tillsynsmail/A 66752-2020 tillsynsbegäran mail.docx", "A 66752-2020")</f>
        <v/>
      </c>
    </row>
    <row r="265" ht="15" customHeight="1">
      <c r="A265" t="inlineStr">
        <is>
          <t>A 69632-2020</t>
        </is>
      </c>
      <c r="B265" s="1" t="n">
        <v>44195</v>
      </c>
      <c r="C265" s="1" t="n">
        <v>45833</v>
      </c>
      <c r="D265" t="inlineStr">
        <is>
          <t>KALMAR LÄN</t>
        </is>
      </c>
      <c r="E265" t="inlineStr">
        <is>
          <t>VÄSTERVIK</t>
        </is>
      </c>
      <c r="G265" t="n">
        <v>2.5</v>
      </c>
      <c r="H265" t="n">
        <v>0</v>
      </c>
      <c r="I265" t="n">
        <v>0</v>
      </c>
      <c r="J265" t="n">
        <v>1</v>
      </c>
      <c r="K265" t="n">
        <v>0</v>
      </c>
      <c r="L265" t="n">
        <v>0</v>
      </c>
      <c r="M265" t="n">
        <v>0</v>
      </c>
      <c r="N265" t="n">
        <v>0</v>
      </c>
      <c r="O265" t="n">
        <v>1</v>
      </c>
      <c r="P265" t="n">
        <v>0</v>
      </c>
      <c r="Q265" t="n">
        <v>1</v>
      </c>
      <c r="R265" s="2" t="inlineStr">
        <is>
          <t>Tallticka</t>
        </is>
      </c>
      <c r="S265">
        <f>HYPERLINK("https://klasma.github.io/Logging_0883/artfynd/A 69632-2020 artfynd.xlsx", "A 69632-2020")</f>
        <v/>
      </c>
      <c r="T265">
        <f>HYPERLINK("https://klasma.github.io/Logging_0883/kartor/A 69632-2020 karta.png", "A 69632-2020")</f>
        <v/>
      </c>
      <c r="V265">
        <f>HYPERLINK("https://klasma.github.io/Logging_0883/klagomål/A 69632-2020 FSC-klagomål.docx", "A 69632-2020")</f>
        <v/>
      </c>
      <c r="W265">
        <f>HYPERLINK("https://klasma.github.io/Logging_0883/klagomålsmail/A 69632-2020 FSC-klagomål mail.docx", "A 69632-2020")</f>
        <v/>
      </c>
      <c r="X265">
        <f>HYPERLINK("https://klasma.github.io/Logging_0883/tillsyn/A 69632-2020 tillsynsbegäran.docx", "A 69632-2020")</f>
        <v/>
      </c>
      <c r="Y265">
        <f>HYPERLINK("https://klasma.github.io/Logging_0883/tillsynsmail/A 69632-2020 tillsynsbegäran mail.docx", "A 69632-2020")</f>
        <v/>
      </c>
    </row>
    <row r="266" ht="15" customHeight="1">
      <c r="A266" t="inlineStr">
        <is>
          <t>A 5575-2021</t>
        </is>
      </c>
      <c r="B266" s="1" t="n">
        <v>44230</v>
      </c>
      <c r="C266" s="1" t="n">
        <v>45833</v>
      </c>
      <c r="D266" t="inlineStr">
        <is>
          <t>KALMAR LÄN</t>
        </is>
      </c>
      <c r="E266" t="inlineStr">
        <is>
          <t>VÄSTERVIK</t>
        </is>
      </c>
      <c r="G266" t="n">
        <v>2.6</v>
      </c>
      <c r="H266" t="n">
        <v>1</v>
      </c>
      <c r="I266" t="n">
        <v>1</v>
      </c>
      <c r="J266" t="n">
        <v>0</v>
      </c>
      <c r="K266" t="n">
        <v>0</v>
      </c>
      <c r="L266" t="n">
        <v>0</v>
      </c>
      <c r="M266" t="n">
        <v>0</v>
      </c>
      <c r="N266" t="n">
        <v>0</v>
      </c>
      <c r="O266" t="n">
        <v>0</v>
      </c>
      <c r="P266" t="n">
        <v>0</v>
      </c>
      <c r="Q266" t="n">
        <v>1</v>
      </c>
      <c r="R266" s="2" t="inlineStr">
        <is>
          <t>Ekoxe</t>
        </is>
      </c>
      <c r="S266">
        <f>HYPERLINK("https://klasma.github.io/Logging_0883/artfynd/A 5575-2021 artfynd.xlsx", "A 5575-2021")</f>
        <v/>
      </c>
      <c r="T266">
        <f>HYPERLINK("https://klasma.github.io/Logging_0883/kartor/A 5575-2021 karta.png", "A 5575-2021")</f>
        <v/>
      </c>
      <c r="V266">
        <f>HYPERLINK("https://klasma.github.io/Logging_0883/klagomål/A 5575-2021 FSC-klagomål.docx", "A 5575-2021")</f>
        <v/>
      </c>
      <c r="W266">
        <f>HYPERLINK("https://klasma.github.io/Logging_0883/klagomålsmail/A 5575-2021 FSC-klagomål mail.docx", "A 5575-2021")</f>
        <v/>
      </c>
      <c r="X266">
        <f>HYPERLINK("https://klasma.github.io/Logging_0883/tillsyn/A 5575-2021 tillsynsbegäran.docx", "A 5575-2021")</f>
        <v/>
      </c>
      <c r="Y266">
        <f>HYPERLINK("https://klasma.github.io/Logging_0883/tillsynsmail/A 5575-2021 tillsynsbegäran mail.docx", "A 5575-2021")</f>
        <v/>
      </c>
    </row>
    <row r="267" ht="15" customHeight="1">
      <c r="A267" t="inlineStr">
        <is>
          <t>A 20233-2021</t>
        </is>
      </c>
      <c r="B267" s="1" t="n">
        <v>44314</v>
      </c>
      <c r="C267" s="1" t="n">
        <v>45833</v>
      </c>
      <c r="D267" t="inlineStr">
        <is>
          <t>KALMAR LÄN</t>
        </is>
      </c>
      <c r="E267" t="inlineStr">
        <is>
          <t>VÄSTERVIK</t>
        </is>
      </c>
      <c r="F267" t="inlineStr">
        <is>
          <t>Holmen skog AB</t>
        </is>
      </c>
      <c r="G267" t="n">
        <v>11.8</v>
      </c>
      <c r="H267" t="n">
        <v>0</v>
      </c>
      <c r="I267" t="n">
        <v>0</v>
      </c>
      <c r="J267" t="n">
        <v>1</v>
      </c>
      <c r="K267" t="n">
        <v>0</v>
      </c>
      <c r="L267" t="n">
        <v>0</v>
      </c>
      <c r="M267" t="n">
        <v>0</v>
      </c>
      <c r="N267" t="n">
        <v>0</v>
      </c>
      <c r="O267" t="n">
        <v>1</v>
      </c>
      <c r="P267" t="n">
        <v>0</v>
      </c>
      <c r="Q267" t="n">
        <v>1</v>
      </c>
      <c r="R267" s="2" t="inlineStr">
        <is>
          <t>Skogsklocka</t>
        </is>
      </c>
      <c r="S267">
        <f>HYPERLINK("https://klasma.github.io/Logging_0883/artfynd/A 20233-2021 artfynd.xlsx", "A 20233-2021")</f>
        <v/>
      </c>
      <c r="T267">
        <f>HYPERLINK("https://klasma.github.io/Logging_0883/kartor/A 20233-2021 karta.png", "A 20233-2021")</f>
        <v/>
      </c>
      <c r="V267">
        <f>HYPERLINK("https://klasma.github.io/Logging_0883/klagomål/A 20233-2021 FSC-klagomål.docx", "A 20233-2021")</f>
        <v/>
      </c>
      <c r="W267">
        <f>HYPERLINK("https://klasma.github.io/Logging_0883/klagomålsmail/A 20233-2021 FSC-klagomål mail.docx", "A 20233-2021")</f>
        <v/>
      </c>
      <c r="X267">
        <f>HYPERLINK("https://klasma.github.io/Logging_0883/tillsyn/A 20233-2021 tillsynsbegäran.docx", "A 20233-2021")</f>
        <v/>
      </c>
      <c r="Y267">
        <f>HYPERLINK("https://klasma.github.io/Logging_0883/tillsynsmail/A 20233-2021 tillsynsbegäran mail.docx", "A 20233-2021")</f>
        <v/>
      </c>
    </row>
    <row r="268" ht="15" customHeight="1">
      <c r="A268" t="inlineStr">
        <is>
          <t>A 24048-2021</t>
        </is>
      </c>
      <c r="B268" s="1" t="n">
        <v>44336</v>
      </c>
      <c r="C268" s="1" t="n">
        <v>45833</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25447-2021</t>
        </is>
      </c>
      <c r="B269" s="1" t="n">
        <v>44342</v>
      </c>
      <c r="C269" s="1" t="n">
        <v>45833</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25594-2021</t>
        </is>
      </c>
      <c r="B270" s="1" t="n">
        <v>44343</v>
      </c>
      <c r="C270" s="1" t="n">
        <v>45833</v>
      </c>
      <c r="D270" t="inlineStr">
        <is>
          <t>KALMAR LÄN</t>
        </is>
      </c>
      <c r="E270" t="inlineStr">
        <is>
          <t>VÄSTERVIK</t>
        </is>
      </c>
      <c r="F270" t="inlineStr">
        <is>
          <t>Holmen skog AB</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HYPERLINK("https://klasma.github.io/Logging_0883/artfynd/A 25594-2021 artfynd.xlsx", "A 25594-2021")</f>
        <v/>
      </c>
      <c r="T270">
        <f>HYPERLINK("https://klasma.github.io/Logging_0883/kartor/A 25594-2021 karta.png", "A 25594-2021")</f>
        <v/>
      </c>
      <c r="U270">
        <f>HYPERLINK("https://klasma.github.io/Logging_0883/knärot/A 25594-2021 karta knärot.png", "A 25594-2021")</f>
        <v/>
      </c>
      <c r="V270">
        <f>HYPERLINK("https://klasma.github.io/Logging_0883/klagomål/A 25594-2021 FSC-klagomål.docx", "A 25594-2021")</f>
        <v/>
      </c>
      <c r="W270">
        <f>HYPERLINK("https://klasma.github.io/Logging_0883/klagomålsmail/A 25594-2021 FSC-klagomål mail.docx", "A 25594-2021")</f>
        <v/>
      </c>
      <c r="X270">
        <f>HYPERLINK("https://klasma.github.io/Logging_0883/tillsyn/A 25594-2021 tillsynsbegäran.docx", "A 25594-2021")</f>
        <v/>
      </c>
      <c r="Y270">
        <f>HYPERLINK("https://klasma.github.io/Logging_0883/tillsynsmail/A 25594-2021 tillsynsbegäran mail.docx", "A 25594-2021")</f>
        <v/>
      </c>
    </row>
    <row r="271" ht="15" customHeight="1">
      <c r="A271" t="inlineStr">
        <is>
          <t>A 29455-2021</t>
        </is>
      </c>
      <c r="B271" s="1" t="n">
        <v>44361</v>
      </c>
      <c r="C271" s="1" t="n">
        <v>45833</v>
      </c>
      <c r="D271" t="inlineStr">
        <is>
          <t>KALMAR LÄN</t>
        </is>
      </c>
      <c r="E271" t="inlineStr">
        <is>
          <t>VÄSTERVIK</t>
        </is>
      </c>
      <c r="F271" t="inlineStr">
        <is>
          <t>Övriga Aktiebolag</t>
        </is>
      </c>
      <c r="G271" t="n">
        <v>3.1</v>
      </c>
      <c r="H271" t="n">
        <v>1</v>
      </c>
      <c r="I271" t="n">
        <v>0</v>
      </c>
      <c r="J271" t="n">
        <v>0</v>
      </c>
      <c r="K271" t="n">
        <v>1</v>
      </c>
      <c r="L271" t="n">
        <v>0</v>
      </c>
      <c r="M271" t="n">
        <v>0</v>
      </c>
      <c r="N271" t="n">
        <v>0</v>
      </c>
      <c r="O271" t="n">
        <v>1</v>
      </c>
      <c r="P271" t="n">
        <v>1</v>
      </c>
      <c r="Q271" t="n">
        <v>1</v>
      </c>
      <c r="R271" s="2" t="inlineStr">
        <is>
          <t>Knärot</t>
        </is>
      </c>
      <c r="S271">
        <f>HYPERLINK("https://klasma.github.io/Logging_0883/artfynd/A 29455-2021 artfynd.xlsx", "A 29455-2021")</f>
        <v/>
      </c>
      <c r="T271">
        <f>HYPERLINK("https://klasma.github.io/Logging_0883/kartor/A 29455-2021 karta.png", "A 29455-2021")</f>
        <v/>
      </c>
      <c r="U271">
        <f>HYPERLINK("https://klasma.github.io/Logging_0883/knärot/A 29455-2021 karta knärot.png", "A 29455-2021")</f>
        <v/>
      </c>
      <c r="V271">
        <f>HYPERLINK("https://klasma.github.io/Logging_0883/klagomål/A 29455-2021 FSC-klagomål.docx", "A 29455-2021")</f>
        <v/>
      </c>
      <c r="W271">
        <f>HYPERLINK("https://klasma.github.io/Logging_0883/klagomålsmail/A 29455-2021 FSC-klagomål mail.docx", "A 29455-2021")</f>
        <v/>
      </c>
      <c r="X271">
        <f>HYPERLINK("https://klasma.github.io/Logging_0883/tillsyn/A 29455-2021 tillsynsbegäran.docx", "A 29455-2021")</f>
        <v/>
      </c>
      <c r="Y271">
        <f>HYPERLINK("https://klasma.github.io/Logging_0883/tillsynsmail/A 29455-2021 tillsynsbegäran mail.docx", "A 29455-2021")</f>
        <v/>
      </c>
    </row>
    <row r="272" ht="15" customHeight="1">
      <c r="A272" t="inlineStr">
        <is>
          <t>A 31315-2021</t>
        </is>
      </c>
      <c r="B272" s="1" t="n">
        <v>44368</v>
      </c>
      <c r="C272" s="1" t="n">
        <v>45833</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44635-2021</t>
        </is>
      </c>
      <c r="B273" s="1" t="n">
        <v>44437</v>
      </c>
      <c r="C273" s="1" t="n">
        <v>45833</v>
      </c>
      <c r="D273" t="inlineStr">
        <is>
          <t>KALMAR LÄN</t>
        </is>
      </c>
      <c r="E273" t="inlineStr">
        <is>
          <t>VÄSTERVIK</t>
        </is>
      </c>
      <c r="G273" t="n">
        <v>0.9</v>
      </c>
      <c r="H273" t="n">
        <v>0</v>
      </c>
      <c r="I273" t="n">
        <v>1</v>
      </c>
      <c r="J273" t="n">
        <v>0</v>
      </c>
      <c r="K273" t="n">
        <v>0</v>
      </c>
      <c r="L273" t="n">
        <v>0</v>
      </c>
      <c r="M273" t="n">
        <v>0</v>
      </c>
      <c r="N273" t="n">
        <v>0</v>
      </c>
      <c r="O273" t="n">
        <v>0</v>
      </c>
      <c r="P273" t="n">
        <v>0</v>
      </c>
      <c r="Q273" t="n">
        <v>1</v>
      </c>
      <c r="R273" s="2" t="inlineStr">
        <is>
          <t>Brandticka</t>
        </is>
      </c>
      <c r="S273">
        <f>HYPERLINK("https://klasma.github.io/Logging_0883/artfynd/A 44635-2021 artfynd.xlsx", "A 44635-2021")</f>
        <v/>
      </c>
      <c r="T273">
        <f>HYPERLINK("https://klasma.github.io/Logging_0883/kartor/A 44635-2021 karta.png", "A 44635-2021")</f>
        <v/>
      </c>
      <c r="V273">
        <f>HYPERLINK("https://klasma.github.io/Logging_0883/klagomål/A 44635-2021 FSC-klagomål.docx", "A 44635-2021")</f>
        <v/>
      </c>
      <c r="W273">
        <f>HYPERLINK("https://klasma.github.io/Logging_0883/klagomålsmail/A 44635-2021 FSC-klagomål mail.docx", "A 44635-2021")</f>
        <v/>
      </c>
      <c r="X273">
        <f>HYPERLINK("https://klasma.github.io/Logging_0883/tillsyn/A 44635-2021 tillsynsbegäran.docx", "A 44635-2021")</f>
        <v/>
      </c>
      <c r="Y273">
        <f>HYPERLINK("https://klasma.github.io/Logging_0883/tillsynsmail/A 44635-2021 tillsynsbegäran mail.docx", "A 44635-2021")</f>
        <v/>
      </c>
    </row>
    <row r="274" ht="15" customHeight="1">
      <c r="A274" t="inlineStr">
        <is>
          <t>A 47860-2021</t>
        </is>
      </c>
      <c r="B274" s="1" t="n">
        <v>44448</v>
      </c>
      <c r="C274" s="1" t="n">
        <v>45833</v>
      </c>
      <c r="D274" t="inlineStr">
        <is>
          <t>KALMAR LÄN</t>
        </is>
      </c>
      <c r="E274" t="inlineStr">
        <is>
          <t>VÄSTERVIK</t>
        </is>
      </c>
      <c r="G274" t="n">
        <v>2.8</v>
      </c>
      <c r="H274" t="n">
        <v>0</v>
      </c>
      <c r="I274" t="n">
        <v>0</v>
      </c>
      <c r="J274" t="n">
        <v>1</v>
      </c>
      <c r="K274" t="n">
        <v>0</v>
      </c>
      <c r="L274" t="n">
        <v>0</v>
      </c>
      <c r="M274" t="n">
        <v>0</v>
      </c>
      <c r="N274" t="n">
        <v>0</v>
      </c>
      <c r="O274" t="n">
        <v>1</v>
      </c>
      <c r="P274" t="n">
        <v>0</v>
      </c>
      <c r="Q274" t="n">
        <v>1</v>
      </c>
      <c r="R274" s="2" t="inlineStr">
        <is>
          <t>Tallticka</t>
        </is>
      </c>
      <c r="S274">
        <f>HYPERLINK("https://klasma.github.io/Logging_0883/artfynd/A 47860-2021 artfynd.xlsx", "A 47860-2021")</f>
        <v/>
      </c>
      <c r="T274">
        <f>HYPERLINK("https://klasma.github.io/Logging_0883/kartor/A 47860-2021 karta.png", "A 47860-2021")</f>
        <v/>
      </c>
      <c r="V274">
        <f>HYPERLINK("https://klasma.github.io/Logging_0883/klagomål/A 47860-2021 FSC-klagomål.docx", "A 47860-2021")</f>
        <v/>
      </c>
      <c r="W274">
        <f>HYPERLINK("https://klasma.github.io/Logging_0883/klagomålsmail/A 47860-2021 FSC-klagomål mail.docx", "A 47860-2021")</f>
        <v/>
      </c>
      <c r="X274">
        <f>HYPERLINK("https://klasma.github.io/Logging_0883/tillsyn/A 47860-2021 tillsynsbegäran.docx", "A 47860-2021")</f>
        <v/>
      </c>
      <c r="Y274">
        <f>HYPERLINK("https://klasma.github.io/Logging_0883/tillsynsmail/A 47860-2021 tillsynsbegäran mail.docx", "A 47860-2021")</f>
        <v/>
      </c>
    </row>
    <row r="275" ht="15" customHeight="1">
      <c r="A275" t="inlineStr">
        <is>
          <t>A 52831-2021</t>
        </is>
      </c>
      <c r="B275" s="1" t="n">
        <v>44467</v>
      </c>
      <c r="C275" s="1" t="n">
        <v>45833</v>
      </c>
      <c r="D275" t="inlineStr">
        <is>
          <t>KALMAR LÄN</t>
        </is>
      </c>
      <c r="E275" t="inlineStr">
        <is>
          <t>VÄSTERVIK</t>
        </is>
      </c>
      <c r="G275" t="n">
        <v>0.8</v>
      </c>
      <c r="H275" t="n">
        <v>0</v>
      </c>
      <c r="I275" t="n">
        <v>0</v>
      </c>
      <c r="J275" t="n">
        <v>1</v>
      </c>
      <c r="K275" t="n">
        <v>0</v>
      </c>
      <c r="L275" t="n">
        <v>0</v>
      </c>
      <c r="M275" t="n">
        <v>0</v>
      </c>
      <c r="N275" t="n">
        <v>0</v>
      </c>
      <c r="O275" t="n">
        <v>1</v>
      </c>
      <c r="P275" t="n">
        <v>0</v>
      </c>
      <c r="Q275" t="n">
        <v>1</v>
      </c>
      <c r="R275" s="2" t="inlineStr">
        <is>
          <t>Tallticka</t>
        </is>
      </c>
      <c r="S275">
        <f>HYPERLINK("https://klasma.github.io/Logging_0883/artfynd/A 52831-2021 artfynd.xlsx", "A 52831-2021")</f>
        <v/>
      </c>
      <c r="T275">
        <f>HYPERLINK("https://klasma.github.io/Logging_0883/kartor/A 52831-2021 karta.png", "A 52831-2021")</f>
        <v/>
      </c>
      <c r="V275">
        <f>HYPERLINK("https://klasma.github.io/Logging_0883/klagomål/A 52831-2021 FSC-klagomål.docx", "A 52831-2021")</f>
        <v/>
      </c>
      <c r="W275">
        <f>HYPERLINK("https://klasma.github.io/Logging_0883/klagomålsmail/A 52831-2021 FSC-klagomål mail.docx", "A 52831-2021")</f>
        <v/>
      </c>
      <c r="X275">
        <f>HYPERLINK("https://klasma.github.io/Logging_0883/tillsyn/A 52831-2021 tillsynsbegäran.docx", "A 52831-2021")</f>
        <v/>
      </c>
      <c r="Y275">
        <f>HYPERLINK("https://klasma.github.io/Logging_0883/tillsynsmail/A 52831-2021 tillsynsbegäran mail.docx", "A 52831-2021")</f>
        <v/>
      </c>
    </row>
    <row r="276" ht="15" customHeight="1">
      <c r="A276" t="inlineStr">
        <is>
          <t>A 53738-2021</t>
        </is>
      </c>
      <c r="B276" s="1" t="n">
        <v>44467</v>
      </c>
      <c r="C276" s="1" t="n">
        <v>45833</v>
      </c>
      <c r="D276" t="inlineStr">
        <is>
          <t>KALMAR LÄN</t>
        </is>
      </c>
      <c r="E276" t="inlineStr">
        <is>
          <t>VÄSTERVIK</t>
        </is>
      </c>
      <c r="G276" t="n">
        <v>2.8</v>
      </c>
      <c r="H276" t="n">
        <v>1</v>
      </c>
      <c r="I276" t="n">
        <v>0</v>
      </c>
      <c r="J276" t="n">
        <v>0</v>
      </c>
      <c r="K276" t="n">
        <v>1</v>
      </c>
      <c r="L276" t="n">
        <v>0</v>
      </c>
      <c r="M276" t="n">
        <v>0</v>
      </c>
      <c r="N276" t="n">
        <v>0</v>
      </c>
      <c r="O276" t="n">
        <v>1</v>
      </c>
      <c r="P276" t="n">
        <v>1</v>
      </c>
      <c r="Q276" t="n">
        <v>1</v>
      </c>
      <c r="R276" s="2" t="inlineStr">
        <is>
          <t>Knärot</t>
        </is>
      </c>
      <c r="S276">
        <f>HYPERLINK("https://klasma.github.io/Logging_0883/artfynd/A 53738-2021 artfynd.xlsx", "A 53738-2021")</f>
        <v/>
      </c>
      <c r="T276">
        <f>HYPERLINK("https://klasma.github.io/Logging_0883/kartor/A 53738-2021 karta.png", "A 53738-2021")</f>
        <v/>
      </c>
      <c r="U276">
        <f>HYPERLINK("https://klasma.github.io/Logging_0883/knärot/A 53738-2021 karta knärot.png", "A 53738-2021")</f>
        <v/>
      </c>
      <c r="V276">
        <f>HYPERLINK("https://klasma.github.io/Logging_0883/klagomål/A 53738-2021 FSC-klagomål.docx", "A 53738-2021")</f>
        <v/>
      </c>
      <c r="W276">
        <f>HYPERLINK("https://klasma.github.io/Logging_0883/klagomålsmail/A 53738-2021 FSC-klagomål mail.docx", "A 53738-2021")</f>
        <v/>
      </c>
      <c r="X276">
        <f>HYPERLINK("https://klasma.github.io/Logging_0883/tillsyn/A 53738-2021 tillsynsbegäran.docx", "A 53738-2021")</f>
        <v/>
      </c>
      <c r="Y276">
        <f>HYPERLINK("https://klasma.github.io/Logging_0883/tillsynsmail/A 53738-2021 tillsynsbegäran mail.docx", "A 53738-2021")</f>
        <v/>
      </c>
    </row>
    <row r="277" ht="15" customHeight="1">
      <c r="A277" t="inlineStr">
        <is>
          <t>A 56618-2021</t>
        </is>
      </c>
      <c r="B277" s="1" t="n">
        <v>44480</v>
      </c>
      <c r="C277" s="1" t="n">
        <v>45833</v>
      </c>
      <c r="D277" t="inlineStr">
        <is>
          <t>KALMAR LÄN</t>
        </is>
      </c>
      <c r="E277" t="inlineStr">
        <is>
          <t>VÄSTERVIK</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HYPERLINK("https://klasma.github.io/Logging_0883/artfynd/A 56618-2021 artfynd.xlsx", "A 56618-2021")</f>
        <v/>
      </c>
      <c r="T277">
        <f>HYPERLINK("https://klasma.github.io/Logging_0883/kartor/A 56618-2021 karta.png", "A 56618-2021")</f>
        <v/>
      </c>
      <c r="V277">
        <f>HYPERLINK("https://klasma.github.io/Logging_0883/klagomål/A 56618-2021 FSC-klagomål.docx", "A 56618-2021")</f>
        <v/>
      </c>
      <c r="W277">
        <f>HYPERLINK("https://klasma.github.io/Logging_0883/klagomålsmail/A 56618-2021 FSC-klagomål mail.docx", "A 56618-2021")</f>
        <v/>
      </c>
      <c r="X277">
        <f>HYPERLINK("https://klasma.github.io/Logging_0883/tillsyn/A 56618-2021 tillsynsbegäran.docx", "A 56618-2021")</f>
        <v/>
      </c>
      <c r="Y277">
        <f>HYPERLINK("https://klasma.github.io/Logging_0883/tillsynsmail/A 56618-2021 tillsynsbegäran mail.docx", "A 56618-2021")</f>
        <v/>
      </c>
    </row>
    <row r="278" ht="15" customHeight="1">
      <c r="A278" t="inlineStr">
        <is>
          <t>A 61319-2021</t>
        </is>
      </c>
      <c r="B278" s="1" t="n">
        <v>44498</v>
      </c>
      <c r="C278" s="1" t="n">
        <v>45833</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1677-2022</t>
        </is>
      </c>
      <c r="B279" s="1" t="n">
        <v>44574</v>
      </c>
      <c r="C279" s="1" t="n">
        <v>45833</v>
      </c>
      <c r="D279" t="inlineStr">
        <is>
          <t>KALMAR LÄN</t>
        </is>
      </c>
      <c r="E279" t="inlineStr">
        <is>
          <t>VÄSTERVIK</t>
        </is>
      </c>
      <c r="G279" t="n">
        <v>3.3</v>
      </c>
      <c r="H279" t="n">
        <v>1</v>
      </c>
      <c r="I279" t="n">
        <v>0</v>
      </c>
      <c r="J279" t="n">
        <v>0</v>
      </c>
      <c r="K279" t="n">
        <v>1</v>
      </c>
      <c r="L279" t="n">
        <v>0</v>
      </c>
      <c r="M279" t="n">
        <v>0</v>
      </c>
      <c r="N279" t="n">
        <v>0</v>
      </c>
      <c r="O279" t="n">
        <v>1</v>
      </c>
      <c r="P279" t="n">
        <v>1</v>
      </c>
      <c r="Q279" t="n">
        <v>1</v>
      </c>
      <c r="R279" s="2" t="inlineStr">
        <is>
          <t>Knärot</t>
        </is>
      </c>
      <c r="S279">
        <f>HYPERLINK("https://klasma.github.io/Logging_0883/artfynd/A 1677-2022 artfynd.xlsx", "A 1677-2022")</f>
        <v/>
      </c>
      <c r="T279">
        <f>HYPERLINK("https://klasma.github.io/Logging_0883/kartor/A 1677-2022 karta.png", "A 1677-2022")</f>
        <v/>
      </c>
      <c r="U279">
        <f>HYPERLINK("https://klasma.github.io/Logging_0883/knärot/A 1677-2022 karta knärot.png", "A 1677-2022")</f>
        <v/>
      </c>
      <c r="V279">
        <f>HYPERLINK("https://klasma.github.io/Logging_0883/klagomål/A 1677-2022 FSC-klagomål.docx", "A 1677-2022")</f>
        <v/>
      </c>
      <c r="W279">
        <f>HYPERLINK("https://klasma.github.io/Logging_0883/klagomålsmail/A 1677-2022 FSC-klagomål mail.docx", "A 1677-2022")</f>
        <v/>
      </c>
      <c r="X279">
        <f>HYPERLINK("https://klasma.github.io/Logging_0883/tillsyn/A 1677-2022 tillsynsbegäran.docx", "A 1677-2022")</f>
        <v/>
      </c>
      <c r="Y279">
        <f>HYPERLINK("https://klasma.github.io/Logging_0883/tillsynsmail/A 1677-2022 tillsynsbegäran mail.docx", "A 1677-2022")</f>
        <v/>
      </c>
    </row>
    <row r="280" ht="15" customHeight="1">
      <c r="A280" t="inlineStr">
        <is>
          <t>A 11609-2022</t>
        </is>
      </c>
      <c r="B280" s="1" t="n">
        <v>44631</v>
      </c>
      <c r="C280" s="1" t="n">
        <v>45833</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12662-2022</t>
        </is>
      </c>
      <c r="B281" s="1" t="n">
        <v>44641</v>
      </c>
      <c r="C281" s="1" t="n">
        <v>45833</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15378-2022</t>
        </is>
      </c>
      <c r="B282" s="1" t="n">
        <v>44659</v>
      </c>
      <c r="C282" s="1" t="n">
        <v>45833</v>
      </c>
      <c r="D282" t="inlineStr">
        <is>
          <t>KALMAR LÄN</t>
        </is>
      </c>
      <c r="E282" t="inlineStr">
        <is>
          <t>VÄSTERVIK</t>
        </is>
      </c>
      <c r="G282" t="n">
        <v>1.4</v>
      </c>
      <c r="H282" t="n">
        <v>0</v>
      </c>
      <c r="I282" t="n">
        <v>0</v>
      </c>
      <c r="J282" t="n">
        <v>1</v>
      </c>
      <c r="K282" t="n">
        <v>0</v>
      </c>
      <c r="L282" t="n">
        <v>0</v>
      </c>
      <c r="M282" t="n">
        <v>0</v>
      </c>
      <c r="N282" t="n">
        <v>0</v>
      </c>
      <c r="O282" t="n">
        <v>1</v>
      </c>
      <c r="P282" t="n">
        <v>0</v>
      </c>
      <c r="Q282" t="n">
        <v>1</v>
      </c>
      <c r="R282" s="2" t="inlineStr">
        <is>
          <t>Klofibbla</t>
        </is>
      </c>
      <c r="S282">
        <f>HYPERLINK("https://klasma.github.io/Logging_0883/artfynd/A 15378-2022 artfynd.xlsx", "A 15378-2022")</f>
        <v/>
      </c>
      <c r="T282">
        <f>HYPERLINK("https://klasma.github.io/Logging_0883/kartor/A 15378-2022 karta.png", "A 15378-2022")</f>
        <v/>
      </c>
      <c r="V282">
        <f>HYPERLINK("https://klasma.github.io/Logging_0883/klagomål/A 15378-2022 FSC-klagomål.docx", "A 15378-2022")</f>
        <v/>
      </c>
      <c r="W282">
        <f>HYPERLINK("https://klasma.github.io/Logging_0883/klagomålsmail/A 15378-2022 FSC-klagomål mail.docx", "A 15378-2022")</f>
        <v/>
      </c>
      <c r="X282">
        <f>HYPERLINK("https://klasma.github.io/Logging_0883/tillsyn/A 15378-2022 tillsynsbegäran.docx", "A 15378-2022")</f>
        <v/>
      </c>
      <c r="Y282">
        <f>HYPERLINK("https://klasma.github.io/Logging_0883/tillsynsmail/A 15378-2022 tillsynsbegäran mail.docx", "A 15378-2022")</f>
        <v/>
      </c>
    </row>
    <row r="283" ht="15" customHeight="1">
      <c r="A283" t="inlineStr">
        <is>
          <t>A 19900-2022</t>
        </is>
      </c>
      <c r="B283" s="1" t="n">
        <v>44697</v>
      </c>
      <c r="C283" s="1" t="n">
        <v>45833</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19900-2022 artfynd.xlsx", "A 19900-2022")</f>
        <v/>
      </c>
      <c r="T283">
        <f>HYPERLINK("https://klasma.github.io/Logging_0883/kartor/A 19900-2022 karta.png", "A 19900-2022")</f>
        <v/>
      </c>
      <c r="U283">
        <f>HYPERLINK("https://klasma.github.io/Logging_0883/knärot/A 19900-2022 karta knärot.png", "A 19900-2022")</f>
        <v/>
      </c>
      <c r="V283">
        <f>HYPERLINK("https://klasma.github.io/Logging_0883/klagomål/A 19900-2022 FSC-klagomål.docx", "A 19900-2022")</f>
        <v/>
      </c>
      <c r="W283">
        <f>HYPERLINK("https://klasma.github.io/Logging_0883/klagomålsmail/A 19900-2022 FSC-klagomål mail.docx", "A 19900-2022")</f>
        <v/>
      </c>
      <c r="X283">
        <f>HYPERLINK("https://klasma.github.io/Logging_0883/tillsyn/A 19900-2022 tillsynsbegäran.docx", "A 19900-2022")</f>
        <v/>
      </c>
      <c r="Y283">
        <f>HYPERLINK("https://klasma.github.io/Logging_0883/tillsynsmail/A 19900-2022 tillsynsbegäran mail.docx", "A 19900-2022")</f>
        <v/>
      </c>
    </row>
    <row r="284" ht="15" customHeight="1">
      <c r="A284" t="inlineStr">
        <is>
          <t>A 26056-2022</t>
        </is>
      </c>
      <c r="B284" s="1" t="n">
        <v>44734</v>
      </c>
      <c r="C284" s="1" t="n">
        <v>45833</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Slåtterfibbla</t>
        </is>
      </c>
      <c r="S284">
        <f>HYPERLINK("https://klasma.github.io/Logging_0883/artfynd/A 26056-2022 artfynd.xlsx", "A 26056-2022")</f>
        <v/>
      </c>
      <c r="T284">
        <f>HYPERLINK("https://klasma.github.io/Logging_0883/kartor/A 26056-2022 karta.png", "A 26056-2022")</f>
        <v/>
      </c>
      <c r="V284">
        <f>HYPERLINK("https://klasma.github.io/Logging_0883/klagomål/A 26056-2022 FSC-klagomål.docx", "A 26056-2022")</f>
        <v/>
      </c>
      <c r="W284">
        <f>HYPERLINK("https://klasma.github.io/Logging_0883/klagomålsmail/A 26056-2022 FSC-klagomål mail.docx", "A 26056-2022")</f>
        <v/>
      </c>
      <c r="X284">
        <f>HYPERLINK("https://klasma.github.io/Logging_0883/tillsyn/A 26056-2022 tillsynsbegäran.docx", "A 26056-2022")</f>
        <v/>
      </c>
      <c r="Y284">
        <f>HYPERLINK("https://klasma.github.io/Logging_0883/tillsynsmail/A 26056-2022 tillsynsbegäran mail.docx", "A 26056-2022")</f>
        <v/>
      </c>
    </row>
    <row r="285" ht="15" customHeight="1">
      <c r="A285" t="inlineStr">
        <is>
          <t>A 33209-2022</t>
        </is>
      </c>
      <c r="B285" s="1" t="n">
        <v>44785</v>
      </c>
      <c r="C285" s="1" t="n">
        <v>45833</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Slåtterfibbla</t>
        </is>
      </c>
      <c r="S285">
        <f>HYPERLINK("https://klasma.github.io/Logging_0883/artfynd/A 33209-2022 artfynd.xlsx", "A 33209-2022")</f>
        <v/>
      </c>
      <c r="T285">
        <f>HYPERLINK("https://klasma.github.io/Logging_0883/kartor/A 33209-2022 karta.png", "A 33209-2022")</f>
        <v/>
      </c>
      <c r="V285">
        <f>HYPERLINK("https://klasma.github.io/Logging_0883/klagomål/A 33209-2022 FSC-klagomål.docx", "A 33209-2022")</f>
        <v/>
      </c>
      <c r="W285">
        <f>HYPERLINK("https://klasma.github.io/Logging_0883/klagomålsmail/A 33209-2022 FSC-klagomål mail.docx", "A 33209-2022")</f>
        <v/>
      </c>
      <c r="X285">
        <f>HYPERLINK("https://klasma.github.io/Logging_0883/tillsyn/A 33209-2022 tillsynsbegäran.docx", "A 33209-2022")</f>
        <v/>
      </c>
      <c r="Y285">
        <f>HYPERLINK("https://klasma.github.io/Logging_0883/tillsynsmail/A 33209-2022 tillsynsbegäran mail.docx", "A 33209-2022")</f>
        <v/>
      </c>
    </row>
    <row r="286" ht="15" customHeight="1">
      <c r="A286" t="inlineStr">
        <is>
          <t>A 40924-2022</t>
        </is>
      </c>
      <c r="B286" s="1" t="n">
        <v>44825</v>
      </c>
      <c r="C286" s="1" t="n">
        <v>45833</v>
      </c>
      <c r="D286" t="inlineStr">
        <is>
          <t>KALMAR LÄN</t>
        </is>
      </c>
      <c r="E286" t="inlineStr">
        <is>
          <t>VÄSTERVIK</t>
        </is>
      </c>
      <c r="F286" t="inlineStr">
        <is>
          <t>Sveaskog</t>
        </is>
      </c>
      <c r="G286" t="n">
        <v>0.5</v>
      </c>
      <c r="H286" t="n">
        <v>1</v>
      </c>
      <c r="I286" t="n">
        <v>0</v>
      </c>
      <c r="J286" t="n">
        <v>1</v>
      </c>
      <c r="K286" t="n">
        <v>0</v>
      </c>
      <c r="L286" t="n">
        <v>0</v>
      </c>
      <c r="M286" t="n">
        <v>0</v>
      </c>
      <c r="N286" t="n">
        <v>0</v>
      </c>
      <c r="O286" t="n">
        <v>1</v>
      </c>
      <c r="P286" t="n">
        <v>0</v>
      </c>
      <c r="Q286" t="n">
        <v>1</v>
      </c>
      <c r="R286" s="2" t="inlineStr">
        <is>
          <t>Barbastell</t>
        </is>
      </c>
      <c r="S286">
        <f>HYPERLINK("https://klasma.github.io/Logging_0883/artfynd/A 40924-2022 artfynd.xlsx", "A 40924-2022")</f>
        <v/>
      </c>
      <c r="T286">
        <f>HYPERLINK("https://klasma.github.io/Logging_0883/kartor/A 40924-2022 karta.png", "A 40924-2022")</f>
        <v/>
      </c>
      <c r="V286">
        <f>HYPERLINK("https://klasma.github.io/Logging_0883/klagomål/A 40924-2022 FSC-klagomål.docx", "A 40924-2022")</f>
        <v/>
      </c>
      <c r="W286">
        <f>HYPERLINK("https://klasma.github.io/Logging_0883/klagomålsmail/A 40924-2022 FSC-klagomål mail.docx", "A 40924-2022")</f>
        <v/>
      </c>
      <c r="X286">
        <f>HYPERLINK("https://klasma.github.io/Logging_0883/tillsyn/A 40924-2022 tillsynsbegäran.docx", "A 40924-2022")</f>
        <v/>
      </c>
      <c r="Y286">
        <f>HYPERLINK("https://klasma.github.io/Logging_0883/tillsynsmail/A 40924-2022 tillsynsbegäran mail.docx", "A 40924-2022")</f>
        <v/>
      </c>
    </row>
    <row r="287" ht="15" customHeight="1">
      <c r="A287" t="inlineStr">
        <is>
          <t>A 46559-2022</t>
        </is>
      </c>
      <c r="B287" s="1" t="n">
        <v>44848</v>
      </c>
      <c r="C287" s="1" t="n">
        <v>45833</v>
      </c>
      <c r="D287" t="inlineStr">
        <is>
          <t>KALMAR LÄN</t>
        </is>
      </c>
      <c r="E287" t="inlineStr">
        <is>
          <t>VÄSTERVIK</t>
        </is>
      </c>
      <c r="F287" t="inlineStr">
        <is>
          <t>Sveaskog</t>
        </is>
      </c>
      <c r="G287" t="n">
        <v>2.2</v>
      </c>
      <c r="H287" t="n">
        <v>1</v>
      </c>
      <c r="I287" t="n">
        <v>0</v>
      </c>
      <c r="J287" t="n">
        <v>0</v>
      </c>
      <c r="K287" t="n">
        <v>0</v>
      </c>
      <c r="L287" t="n">
        <v>0</v>
      </c>
      <c r="M287" t="n">
        <v>0</v>
      </c>
      <c r="N287" t="n">
        <v>0</v>
      </c>
      <c r="O287" t="n">
        <v>0</v>
      </c>
      <c r="P287" t="n">
        <v>0</v>
      </c>
      <c r="Q287" t="n">
        <v>1</v>
      </c>
      <c r="R287" s="2" t="inlineStr">
        <is>
          <t>Blåsippa</t>
        </is>
      </c>
      <c r="S287">
        <f>HYPERLINK("https://klasma.github.io/Logging_0883/artfynd/A 46559-2022 artfynd.xlsx", "A 46559-2022")</f>
        <v/>
      </c>
      <c r="T287">
        <f>HYPERLINK("https://klasma.github.io/Logging_0883/kartor/A 46559-2022 karta.png", "A 46559-2022")</f>
        <v/>
      </c>
      <c r="V287">
        <f>HYPERLINK("https://klasma.github.io/Logging_0883/klagomål/A 46559-2022 FSC-klagomål.docx", "A 46559-2022")</f>
        <v/>
      </c>
      <c r="W287">
        <f>HYPERLINK("https://klasma.github.io/Logging_0883/klagomålsmail/A 46559-2022 FSC-klagomål mail.docx", "A 46559-2022")</f>
        <v/>
      </c>
      <c r="X287">
        <f>HYPERLINK("https://klasma.github.io/Logging_0883/tillsyn/A 46559-2022 tillsynsbegäran.docx", "A 46559-2022")</f>
        <v/>
      </c>
      <c r="Y287">
        <f>HYPERLINK("https://klasma.github.io/Logging_0883/tillsynsmail/A 46559-2022 tillsynsbegäran mail.docx", "A 46559-2022")</f>
        <v/>
      </c>
    </row>
    <row r="288" ht="15" customHeight="1">
      <c r="A288" t="inlineStr">
        <is>
          <t>A 46556-2022</t>
        </is>
      </c>
      <c r="B288" s="1" t="n">
        <v>44848</v>
      </c>
      <c r="C288" s="1" t="n">
        <v>45833</v>
      </c>
      <c r="D288" t="inlineStr">
        <is>
          <t>KALMAR LÄN</t>
        </is>
      </c>
      <c r="E288" t="inlineStr">
        <is>
          <t>VÄSTERVIK</t>
        </is>
      </c>
      <c r="F288" t="inlineStr">
        <is>
          <t>Sveaskog</t>
        </is>
      </c>
      <c r="G288" t="n">
        <v>1.5</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46556-2022 artfynd.xlsx", "A 46556-2022")</f>
        <v/>
      </c>
      <c r="T288">
        <f>HYPERLINK("https://klasma.github.io/Logging_0883/kartor/A 46556-2022 karta.png", "A 46556-2022")</f>
        <v/>
      </c>
      <c r="V288">
        <f>HYPERLINK("https://klasma.github.io/Logging_0883/klagomål/A 46556-2022 FSC-klagomål.docx", "A 46556-2022")</f>
        <v/>
      </c>
      <c r="W288">
        <f>HYPERLINK("https://klasma.github.io/Logging_0883/klagomålsmail/A 46556-2022 FSC-klagomål mail.docx", "A 46556-2022")</f>
        <v/>
      </c>
      <c r="X288">
        <f>HYPERLINK("https://klasma.github.io/Logging_0883/tillsyn/A 46556-2022 tillsynsbegäran.docx", "A 46556-2022")</f>
        <v/>
      </c>
      <c r="Y288">
        <f>HYPERLINK("https://klasma.github.io/Logging_0883/tillsynsmail/A 46556-2022 tillsynsbegäran mail.docx", "A 46556-2022")</f>
        <v/>
      </c>
    </row>
    <row r="289" ht="15" customHeight="1">
      <c r="A289" t="inlineStr">
        <is>
          <t>A 51024-2022</t>
        </is>
      </c>
      <c r="B289" s="1" t="n">
        <v>44867</v>
      </c>
      <c r="C289" s="1" t="n">
        <v>45833</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54193-2022</t>
        </is>
      </c>
      <c r="B290" s="1" t="n">
        <v>44881</v>
      </c>
      <c r="C290" s="1" t="n">
        <v>45833</v>
      </c>
      <c r="D290" t="inlineStr">
        <is>
          <t>KALMAR LÄN</t>
        </is>
      </c>
      <c r="E290" t="inlineStr">
        <is>
          <t>VÄSTERVIK</t>
        </is>
      </c>
      <c r="G290" t="n">
        <v>1.7</v>
      </c>
      <c r="H290" t="n">
        <v>0</v>
      </c>
      <c r="I290" t="n">
        <v>1</v>
      </c>
      <c r="J290" t="n">
        <v>0</v>
      </c>
      <c r="K290" t="n">
        <v>0</v>
      </c>
      <c r="L290" t="n">
        <v>0</v>
      </c>
      <c r="M290" t="n">
        <v>0</v>
      </c>
      <c r="N290" t="n">
        <v>0</v>
      </c>
      <c r="O290" t="n">
        <v>0</v>
      </c>
      <c r="P290" t="n">
        <v>0</v>
      </c>
      <c r="Q290" t="n">
        <v>1</v>
      </c>
      <c r="R290" s="2" t="inlineStr">
        <is>
          <t>Murgröna</t>
        </is>
      </c>
      <c r="S290">
        <f>HYPERLINK("https://klasma.github.io/Logging_0883/artfynd/A 54193-2022 artfynd.xlsx", "A 54193-2022")</f>
        <v/>
      </c>
      <c r="T290">
        <f>HYPERLINK("https://klasma.github.io/Logging_0883/kartor/A 54193-2022 karta.png", "A 54193-2022")</f>
        <v/>
      </c>
      <c r="U290">
        <f>HYPERLINK("https://klasma.github.io/Logging_0883/knärot/A 54193-2022 karta knärot.png", "A 54193-2022")</f>
        <v/>
      </c>
      <c r="V290">
        <f>HYPERLINK("https://klasma.github.io/Logging_0883/klagomål/A 54193-2022 FSC-klagomål.docx", "A 54193-2022")</f>
        <v/>
      </c>
      <c r="W290">
        <f>HYPERLINK("https://klasma.github.io/Logging_0883/klagomålsmail/A 54193-2022 FSC-klagomål mail.docx", "A 54193-2022")</f>
        <v/>
      </c>
      <c r="X290">
        <f>HYPERLINK("https://klasma.github.io/Logging_0883/tillsyn/A 54193-2022 tillsynsbegäran.docx", "A 54193-2022")</f>
        <v/>
      </c>
      <c r="Y290">
        <f>HYPERLINK("https://klasma.github.io/Logging_0883/tillsynsmail/A 54193-2022 tillsynsbegäran mail.docx", "A 54193-2022")</f>
        <v/>
      </c>
    </row>
    <row r="291" ht="15" customHeight="1">
      <c r="A291" t="inlineStr">
        <is>
          <t>A 59178-2022</t>
        </is>
      </c>
      <c r="B291" s="1" t="n">
        <v>44904</v>
      </c>
      <c r="C291" s="1" t="n">
        <v>45833</v>
      </c>
      <c r="D291" t="inlineStr">
        <is>
          <t>KALMAR LÄN</t>
        </is>
      </c>
      <c r="E291" t="inlineStr">
        <is>
          <t>VÄSTERVIK</t>
        </is>
      </c>
      <c r="G291" t="n">
        <v>3.3</v>
      </c>
      <c r="H291" t="n">
        <v>0</v>
      </c>
      <c r="I291" t="n">
        <v>0</v>
      </c>
      <c r="J291" t="n">
        <v>1</v>
      </c>
      <c r="K291" t="n">
        <v>0</v>
      </c>
      <c r="L291" t="n">
        <v>0</v>
      </c>
      <c r="M291" t="n">
        <v>0</v>
      </c>
      <c r="N291" t="n">
        <v>0</v>
      </c>
      <c r="O291" t="n">
        <v>1</v>
      </c>
      <c r="P291" t="n">
        <v>0</v>
      </c>
      <c r="Q291" t="n">
        <v>1</v>
      </c>
      <c r="R291" s="2" t="inlineStr">
        <is>
          <t>Tallticka</t>
        </is>
      </c>
      <c r="S291">
        <f>HYPERLINK("https://klasma.github.io/Logging_0883/artfynd/A 59178-2022 artfynd.xlsx", "A 59178-2022")</f>
        <v/>
      </c>
      <c r="T291">
        <f>HYPERLINK("https://klasma.github.io/Logging_0883/kartor/A 59178-2022 karta.png", "A 59178-2022")</f>
        <v/>
      </c>
      <c r="V291">
        <f>HYPERLINK("https://klasma.github.io/Logging_0883/klagomål/A 59178-2022 FSC-klagomål.docx", "A 59178-2022")</f>
        <v/>
      </c>
      <c r="W291">
        <f>HYPERLINK("https://klasma.github.io/Logging_0883/klagomålsmail/A 59178-2022 FSC-klagomål mail.docx", "A 59178-2022")</f>
        <v/>
      </c>
      <c r="X291">
        <f>HYPERLINK("https://klasma.github.io/Logging_0883/tillsyn/A 59178-2022 tillsynsbegäran.docx", "A 59178-2022")</f>
        <v/>
      </c>
      <c r="Y291">
        <f>HYPERLINK("https://klasma.github.io/Logging_0883/tillsynsmail/A 59178-2022 tillsynsbegäran mail.docx", "A 59178-2022")</f>
        <v/>
      </c>
    </row>
    <row r="292" ht="15" customHeight="1">
      <c r="A292" t="inlineStr">
        <is>
          <t>A 975-2023</t>
        </is>
      </c>
      <c r="B292" s="1" t="n">
        <v>44935</v>
      </c>
      <c r="C292" s="1" t="n">
        <v>45833</v>
      </c>
      <c r="D292" t="inlineStr">
        <is>
          <t>KALMAR LÄN</t>
        </is>
      </c>
      <c r="E292" t="inlineStr">
        <is>
          <t>VÄSTERVIK</t>
        </is>
      </c>
      <c r="G292" t="n">
        <v>1.7</v>
      </c>
      <c r="H292" t="n">
        <v>1</v>
      </c>
      <c r="I292" t="n">
        <v>0</v>
      </c>
      <c r="J292" t="n">
        <v>0</v>
      </c>
      <c r="K292" t="n">
        <v>1</v>
      </c>
      <c r="L292" t="n">
        <v>0</v>
      </c>
      <c r="M292" t="n">
        <v>0</v>
      </c>
      <c r="N292" t="n">
        <v>0</v>
      </c>
      <c r="O292" t="n">
        <v>1</v>
      </c>
      <c r="P292" t="n">
        <v>1</v>
      </c>
      <c r="Q292" t="n">
        <v>1</v>
      </c>
      <c r="R292" s="2" t="inlineStr">
        <is>
          <t>Läderbagge</t>
        </is>
      </c>
      <c r="S292">
        <f>HYPERLINK("https://klasma.github.io/Logging_0883/artfynd/A 975-2023 artfynd.xlsx", "A 975-2023")</f>
        <v/>
      </c>
      <c r="T292">
        <f>HYPERLINK("https://klasma.github.io/Logging_0883/kartor/A 975-2023 karta.png", "A 975-2023")</f>
        <v/>
      </c>
      <c r="V292">
        <f>HYPERLINK("https://klasma.github.io/Logging_0883/klagomål/A 975-2023 FSC-klagomål.docx", "A 975-2023")</f>
        <v/>
      </c>
      <c r="W292">
        <f>HYPERLINK("https://klasma.github.io/Logging_0883/klagomålsmail/A 975-2023 FSC-klagomål mail.docx", "A 975-2023")</f>
        <v/>
      </c>
      <c r="X292">
        <f>HYPERLINK("https://klasma.github.io/Logging_0883/tillsyn/A 975-2023 tillsynsbegäran.docx", "A 975-2023")</f>
        <v/>
      </c>
      <c r="Y292">
        <f>HYPERLINK("https://klasma.github.io/Logging_0883/tillsynsmail/A 975-2023 tillsynsbegäran mail.docx", "A 975-2023")</f>
        <v/>
      </c>
    </row>
    <row r="293" ht="15" customHeight="1">
      <c r="A293" t="inlineStr">
        <is>
          <t>A 1024-2023</t>
        </is>
      </c>
      <c r="B293" s="1" t="n">
        <v>44935</v>
      </c>
      <c r="C293" s="1" t="n">
        <v>45833</v>
      </c>
      <c r="D293" t="inlineStr">
        <is>
          <t>KALMAR LÄN</t>
        </is>
      </c>
      <c r="E293" t="inlineStr">
        <is>
          <t>VÄSTERVIK</t>
        </is>
      </c>
      <c r="F293" t="inlineStr">
        <is>
          <t>Holmen skog AB</t>
        </is>
      </c>
      <c r="G293" t="n">
        <v>1.9</v>
      </c>
      <c r="H293" t="n">
        <v>0</v>
      </c>
      <c r="I293" t="n">
        <v>0</v>
      </c>
      <c r="J293" t="n">
        <v>1</v>
      </c>
      <c r="K293" t="n">
        <v>0</v>
      </c>
      <c r="L293" t="n">
        <v>0</v>
      </c>
      <c r="M293" t="n">
        <v>0</v>
      </c>
      <c r="N293" t="n">
        <v>0</v>
      </c>
      <c r="O293" t="n">
        <v>1</v>
      </c>
      <c r="P293" t="n">
        <v>0</v>
      </c>
      <c r="Q293" t="n">
        <v>1</v>
      </c>
      <c r="R293" s="2" t="inlineStr">
        <is>
          <t>Ekticka</t>
        </is>
      </c>
      <c r="S293">
        <f>HYPERLINK("https://klasma.github.io/Logging_0883/artfynd/A 1024-2023 artfynd.xlsx", "A 1024-2023")</f>
        <v/>
      </c>
      <c r="T293">
        <f>HYPERLINK("https://klasma.github.io/Logging_0883/kartor/A 1024-2023 karta.png", "A 1024-2023")</f>
        <v/>
      </c>
      <c r="V293">
        <f>HYPERLINK("https://klasma.github.io/Logging_0883/klagomål/A 1024-2023 FSC-klagomål.docx", "A 1024-2023")</f>
        <v/>
      </c>
      <c r="W293">
        <f>HYPERLINK("https://klasma.github.io/Logging_0883/klagomålsmail/A 1024-2023 FSC-klagomål mail.docx", "A 1024-2023")</f>
        <v/>
      </c>
      <c r="X293">
        <f>HYPERLINK("https://klasma.github.io/Logging_0883/tillsyn/A 1024-2023 tillsynsbegäran.docx", "A 1024-2023")</f>
        <v/>
      </c>
      <c r="Y293">
        <f>HYPERLINK("https://klasma.github.io/Logging_0883/tillsynsmail/A 1024-2023 tillsynsbegäran mail.docx", "A 1024-2023")</f>
        <v/>
      </c>
    </row>
    <row r="294" ht="15" customHeight="1">
      <c r="A294" t="inlineStr">
        <is>
          <t>A 11589-2023</t>
        </is>
      </c>
      <c r="B294" s="1" t="n">
        <v>44994</v>
      </c>
      <c r="C294" s="1" t="n">
        <v>45833</v>
      </c>
      <c r="D294" t="inlineStr">
        <is>
          <t>KALMAR LÄN</t>
        </is>
      </c>
      <c r="E294" t="inlineStr">
        <is>
          <t>VÄSTERVIK</t>
        </is>
      </c>
      <c r="G294" t="n">
        <v>7.7</v>
      </c>
      <c r="H294" t="n">
        <v>1</v>
      </c>
      <c r="I294" t="n">
        <v>0</v>
      </c>
      <c r="J294" t="n">
        <v>0</v>
      </c>
      <c r="K294" t="n">
        <v>0</v>
      </c>
      <c r="L294" t="n">
        <v>0</v>
      </c>
      <c r="M294" t="n">
        <v>0</v>
      </c>
      <c r="N294" t="n">
        <v>0</v>
      </c>
      <c r="O294" t="n">
        <v>0</v>
      </c>
      <c r="P294" t="n">
        <v>0</v>
      </c>
      <c r="Q294" t="n">
        <v>1</v>
      </c>
      <c r="R294" s="2" t="inlineStr">
        <is>
          <t>Revlummer</t>
        </is>
      </c>
      <c r="S294">
        <f>HYPERLINK("https://klasma.github.io/Logging_0883/artfynd/A 11589-2023 artfynd.xlsx", "A 11589-2023")</f>
        <v/>
      </c>
      <c r="T294">
        <f>HYPERLINK("https://klasma.github.io/Logging_0883/kartor/A 11589-2023 karta.png", "A 11589-2023")</f>
        <v/>
      </c>
      <c r="V294">
        <f>HYPERLINK("https://klasma.github.io/Logging_0883/klagomål/A 11589-2023 FSC-klagomål.docx", "A 11589-2023")</f>
        <v/>
      </c>
      <c r="W294">
        <f>HYPERLINK("https://klasma.github.io/Logging_0883/klagomålsmail/A 11589-2023 FSC-klagomål mail.docx", "A 11589-2023")</f>
        <v/>
      </c>
      <c r="X294">
        <f>HYPERLINK("https://klasma.github.io/Logging_0883/tillsyn/A 11589-2023 tillsynsbegäran.docx", "A 11589-2023")</f>
        <v/>
      </c>
      <c r="Y294">
        <f>HYPERLINK("https://klasma.github.io/Logging_0883/tillsynsmail/A 11589-2023 tillsynsbegäran mail.docx", "A 11589-2023")</f>
        <v/>
      </c>
    </row>
    <row r="295" ht="15" customHeight="1">
      <c r="A295" t="inlineStr">
        <is>
          <t>A 11729-2023</t>
        </is>
      </c>
      <c r="B295" s="1" t="n">
        <v>44994</v>
      </c>
      <c r="C295" s="1" t="n">
        <v>45833</v>
      </c>
      <c r="D295" t="inlineStr">
        <is>
          <t>KALMAR LÄN</t>
        </is>
      </c>
      <c r="E295" t="inlineStr">
        <is>
          <t>VÄSTERVIK</t>
        </is>
      </c>
      <c r="F295" t="inlineStr">
        <is>
          <t>Sveaskog</t>
        </is>
      </c>
      <c r="G295" t="n">
        <v>4.1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HYPERLINK("https://klasma.github.io/Logging_0883/artfynd/A 11729-2023 artfynd.xlsx", "A 11729-2023")</f>
        <v/>
      </c>
      <c r="T295">
        <f>HYPERLINK("https://klasma.github.io/Logging_0883/kartor/A 11729-2023 karta.png", "A 11729-2023")</f>
        <v/>
      </c>
      <c r="V295">
        <f>HYPERLINK("https://klasma.github.io/Logging_0883/klagomål/A 11729-2023 FSC-klagomål.docx", "A 11729-2023")</f>
        <v/>
      </c>
      <c r="W295">
        <f>HYPERLINK("https://klasma.github.io/Logging_0883/klagomålsmail/A 11729-2023 FSC-klagomål mail.docx", "A 11729-2023")</f>
        <v/>
      </c>
      <c r="X295">
        <f>HYPERLINK("https://klasma.github.io/Logging_0883/tillsyn/A 11729-2023 tillsynsbegäran.docx", "A 11729-2023")</f>
        <v/>
      </c>
      <c r="Y295">
        <f>HYPERLINK("https://klasma.github.io/Logging_0883/tillsynsmail/A 11729-2023 tillsynsbegäran mail.docx", "A 11729-2023")</f>
        <v/>
      </c>
    </row>
    <row r="296" ht="15" customHeight="1">
      <c r="A296" t="inlineStr">
        <is>
          <t>A 14720-2023</t>
        </is>
      </c>
      <c r="B296" s="1" t="n">
        <v>45014</v>
      </c>
      <c r="C296" s="1" t="n">
        <v>45833</v>
      </c>
      <c r="D296" t="inlineStr">
        <is>
          <t>KALMAR LÄN</t>
        </is>
      </c>
      <c r="E296" t="inlineStr">
        <is>
          <t>VÄSTERVIK</t>
        </is>
      </c>
      <c r="G296" t="n">
        <v>3.5</v>
      </c>
      <c r="H296" t="n">
        <v>1</v>
      </c>
      <c r="I296" t="n">
        <v>0</v>
      </c>
      <c r="J296" t="n">
        <v>0</v>
      </c>
      <c r="K296" t="n">
        <v>1</v>
      </c>
      <c r="L296" t="n">
        <v>0</v>
      </c>
      <c r="M296" t="n">
        <v>0</v>
      </c>
      <c r="N296" t="n">
        <v>0</v>
      </c>
      <c r="O296" t="n">
        <v>1</v>
      </c>
      <c r="P296" t="n">
        <v>1</v>
      </c>
      <c r="Q296" t="n">
        <v>1</v>
      </c>
      <c r="R296" s="2" t="inlineStr">
        <is>
          <t>Knärot</t>
        </is>
      </c>
      <c r="S296">
        <f>HYPERLINK("https://klasma.github.io/Logging_0883/artfynd/A 14720-2023 artfynd.xlsx", "A 14720-2023")</f>
        <v/>
      </c>
      <c r="T296">
        <f>HYPERLINK("https://klasma.github.io/Logging_0883/kartor/A 14720-2023 karta.png", "A 14720-2023")</f>
        <v/>
      </c>
      <c r="U296">
        <f>HYPERLINK("https://klasma.github.io/Logging_0883/knärot/A 14720-2023 karta knärot.png", "A 14720-2023")</f>
        <v/>
      </c>
      <c r="V296">
        <f>HYPERLINK("https://klasma.github.io/Logging_0883/klagomål/A 14720-2023 FSC-klagomål.docx", "A 14720-2023")</f>
        <v/>
      </c>
      <c r="W296">
        <f>HYPERLINK("https://klasma.github.io/Logging_0883/klagomålsmail/A 14720-2023 FSC-klagomål mail.docx", "A 14720-2023")</f>
        <v/>
      </c>
      <c r="X296">
        <f>HYPERLINK("https://klasma.github.io/Logging_0883/tillsyn/A 14720-2023 tillsynsbegäran.docx", "A 14720-2023")</f>
        <v/>
      </c>
      <c r="Y296">
        <f>HYPERLINK("https://klasma.github.io/Logging_0883/tillsynsmail/A 14720-2023 tillsynsbegäran mail.docx", "A 14720-2023")</f>
        <v/>
      </c>
    </row>
    <row r="297" ht="15" customHeight="1">
      <c r="A297" t="inlineStr">
        <is>
          <t>A 21828-2023</t>
        </is>
      </c>
      <c r="B297" s="1" t="n">
        <v>45068</v>
      </c>
      <c r="C297" s="1" t="n">
        <v>45833</v>
      </c>
      <c r="D297" t="inlineStr">
        <is>
          <t>KALMAR LÄN</t>
        </is>
      </c>
      <c r="E297" t="inlineStr">
        <is>
          <t>VÄSTERVIK</t>
        </is>
      </c>
      <c r="G297" t="n">
        <v>0.7</v>
      </c>
      <c r="H297" t="n">
        <v>0</v>
      </c>
      <c r="I297" t="n">
        <v>1</v>
      </c>
      <c r="J297" t="n">
        <v>0</v>
      </c>
      <c r="K297" t="n">
        <v>0</v>
      </c>
      <c r="L297" t="n">
        <v>0</v>
      </c>
      <c r="M297" t="n">
        <v>0</v>
      </c>
      <c r="N297" t="n">
        <v>0</v>
      </c>
      <c r="O297" t="n">
        <v>0</v>
      </c>
      <c r="P297" t="n">
        <v>0</v>
      </c>
      <c r="Q297" t="n">
        <v>1</v>
      </c>
      <c r="R297" s="2" t="inlineStr">
        <is>
          <t>Grönpyrola</t>
        </is>
      </c>
      <c r="S297">
        <f>HYPERLINK("https://klasma.github.io/Logging_0883/artfynd/A 21828-2023 artfynd.xlsx", "A 21828-2023")</f>
        <v/>
      </c>
      <c r="T297">
        <f>HYPERLINK("https://klasma.github.io/Logging_0883/kartor/A 21828-2023 karta.png", "A 21828-2023")</f>
        <v/>
      </c>
      <c r="V297">
        <f>HYPERLINK("https://klasma.github.io/Logging_0883/klagomål/A 21828-2023 FSC-klagomål.docx", "A 21828-2023")</f>
        <v/>
      </c>
      <c r="W297">
        <f>HYPERLINK("https://klasma.github.io/Logging_0883/klagomålsmail/A 21828-2023 FSC-klagomål mail.docx", "A 21828-2023")</f>
        <v/>
      </c>
      <c r="X297">
        <f>HYPERLINK("https://klasma.github.io/Logging_0883/tillsyn/A 21828-2023 tillsynsbegäran.docx", "A 21828-2023")</f>
        <v/>
      </c>
      <c r="Y297">
        <f>HYPERLINK("https://klasma.github.io/Logging_0883/tillsynsmail/A 21828-2023 tillsynsbegäran mail.docx", "A 21828-2023")</f>
        <v/>
      </c>
    </row>
    <row r="298" ht="15" customHeight="1">
      <c r="A298" t="inlineStr">
        <is>
          <t>A 25436-2023</t>
        </is>
      </c>
      <c r="B298" s="1" t="n">
        <v>45089</v>
      </c>
      <c r="C298" s="1" t="n">
        <v>45833</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25433-2023</t>
        </is>
      </c>
      <c r="B299" s="1" t="n">
        <v>45089</v>
      </c>
      <c r="C299" s="1" t="n">
        <v>45833</v>
      </c>
      <c r="D299" t="inlineStr">
        <is>
          <t>KALMAR LÄN</t>
        </is>
      </c>
      <c r="E299" t="inlineStr">
        <is>
          <t>VÄSTERVIK</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HYPERLINK("https://klasma.github.io/Logging_0883/artfynd/A 25433-2023 artfynd.xlsx", "A 25433-2023")</f>
        <v/>
      </c>
      <c r="T299">
        <f>HYPERLINK("https://klasma.github.io/Logging_0883/kartor/A 25433-2023 karta.png", "A 25433-2023")</f>
        <v/>
      </c>
      <c r="U299">
        <f>HYPERLINK("https://klasma.github.io/Logging_0883/knärot/A 25433-2023 karta knärot.png", "A 25433-2023")</f>
        <v/>
      </c>
      <c r="V299">
        <f>HYPERLINK("https://klasma.github.io/Logging_0883/klagomål/A 25433-2023 FSC-klagomål.docx", "A 25433-2023")</f>
        <v/>
      </c>
      <c r="W299">
        <f>HYPERLINK("https://klasma.github.io/Logging_0883/klagomålsmail/A 25433-2023 FSC-klagomål mail.docx", "A 25433-2023")</f>
        <v/>
      </c>
      <c r="X299">
        <f>HYPERLINK("https://klasma.github.io/Logging_0883/tillsyn/A 25433-2023 tillsynsbegäran.docx", "A 25433-2023")</f>
        <v/>
      </c>
      <c r="Y299">
        <f>HYPERLINK("https://klasma.github.io/Logging_0883/tillsynsmail/A 25433-2023 tillsynsbegäran mail.docx", "A 25433-2023")</f>
        <v/>
      </c>
    </row>
    <row r="300" ht="15" customHeight="1">
      <c r="A300" t="inlineStr">
        <is>
          <t>A 25563-2023</t>
        </is>
      </c>
      <c r="B300" s="1" t="n">
        <v>45089</v>
      </c>
      <c r="C300" s="1" t="n">
        <v>45833</v>
      </c>
      <c r="D300" t="inlineStr">
        <is>
          <t>KALMAR LÄN</t>
        </is>
      </c>
      <c r="E300" t="inlineStr">
        <is>
          <t>VÄSTERVIK</t>
        </is>
      </c>
      <c r="G300" t="n">
        <v>1.6</v>
      </c>
      <c r="H300" t="n">
        <v>1</v>
      </c>
      <c r="I300" t="n">
        <v>0</v>
      </c>
      <c r="J300" t="n">
        <v>1</v>
      </c>
      <c r="K300" t="n">
        <v>0</v>
      </c>
      <c r="L300" t="n">
        <v>0</v>
      </c>
      <c r="M300" t="n">
        <v>0</v>
      </c>
      <c r="N300" t="n">
        <v>0</v>
      </c>
      <c r="O300" t="n">
        <v>1</v>
      </c>
      <c r="P300" t="n">
        <v>0</v>
      </c>
      <c r="Q300" t="n">
        <v>1</v>
      </c>
      <c r="R300" s="2" t="inlineStr">
        <is>
          <t>Talltita</t>
        </is>
      </c>
      <c r="S300">
        <f>HYPERLINK("https://klasma.github.io/Logging_0883/artfynd/A 25563-2023 artfynd.xlsx", "A 25563-2023")</f>
        <v/>
      </c>
      <c r="T300">
        <f>HYPERLINK("https://klasma.github.io/Logging_0883/kartor/A 25563-2023 karta.png", "A 25563-2023")</f>
        <v/>
      </c>
      <c r="V300">
        <f>HYPERLINK("https://klasma.github.io/Logging_0883/klagomål/A 25563-2023 FSC-klagomål.docx", "A 25563-2023")</f>
        <v/>
      </c>
      <c r="W300">
        <f>HYPERLINK("https://klasma.github.io/Logging_0883/klagomålsmail/A 25563-2023 FSC-klagomål mail.docx", "A 25563-2023")</f>
        <v/>
      </c>
      <c r="X300">
        <f>HYPERLINK("https://klasma.github.io/Logging_0883/tillsyn/A 25563-2023 tillsynsbegäran.docx", "A 25563-2023")</f>
        <v/>
      </c>
      <c r="Y300">
        <f>HYPERLINK("https://klasma.github.io/Logging_0883/tillsynsmail/A 25563-2023 tillsynsbegäran mail.docx", "A 25563-2023")</f>
        <v/>
      </c>
      <c r="Z300">
        <f>HYPERLINK("https://klasma.github.io/Logging_0883/fåglar/A 25563-2023 prioriterade fågelarter.docx", "A 25563-2023")</f>
        <v/>
      </c>
    </row>
    <row r="301" ht="15" customHeight="1">
      <c r="A301" t="inlineStr">
        <is>
          <t>A 26278-2023</t>
        </is>
      </c>
      <c r="B301" s="1" t="n">
        <v>45091</v>
      </c>
      <c r="C301" s="1" t="n">
        <v>45833</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26278-2023 artfynd.xlsx", "A 26278-2023")</f>
        <v/>
      </c>
      <c r="T301">
        <f>HYPERLINK("https://klasma.github.io/Logging_0883/kartor/A 26278-2023 karta.png", "A 26278-2023")</f>
        <v/>
      </c>
      <c r="U301">
        <f>HYPERLINK("https://klasma.github.io/Logging_0883/knärot/A 26278-2023 karta knärot.png", "A 26278-2023")</f>
        <v/>
      </c>
      <c r="V301">
        <f>HYPERLINK("https://klasma.github.io/Logging_0883/klagomål/A 26278-2023 FSC-klagomål.docx", "A 26278-2023")</f>
        <v/>
      </c>
      <c r="W301">
        <f>HYPERLINK("https://klasma.github.io/Logging_0883/klagomålsmail/A 26278-2023 FSC-klagomål mail.docx", "A 26278-2023")</f>
        <v/>
      </c>
      <c r="X301">
        <f>HYPERLINK("https://klasma.github.io/Logging_0883/tillsyn/A 26278-2023 tillsynsbegäran.docx", "A 26278-2023")</f>
        <v/>
      </c>
      <c r="Y301">
        <f>HYPERLINK("https://klasma.github.io/Logging_0883/tillsynsmail/A 26278-2023 tillsynsbegäran mail.docx", "A 26278-2023")</f>
        <v/>
      </c>
    </row>
    <row r="302" ht="15" customHeight="1">
      <c r="A302" t="inlineStr">
        <is>
          <t>A 28495-2023</t>
        </is>
      </c>
      <c r="B302" s="1" t="n">
        <v>45103</v>
      </c>
      <c r="C302" s="1" t="n">
        <v>45833</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28495-2023 artfynd.xlsx", "A 28495-2023")</f>
        <v/>
      </c>
      <c r="T302">
        <f>HYPERLINK("https://klasma.github.io/Logging_0883/kartor/A 28495-2023 karta.png", "A 28495-2023")</f>
        <v/>
      </c>
      <c r="U302">
        <f>HYPERLINK("https://klasma.github.io/Logging_0883/knärot/A 28495-2023 karta knärot.png", "A 28495-2023")</f>
        <v/>
      </c>
      <c r="V302">
        <f>HYPERLINK("https://klasma.github.io/Logging_0883/klagomål/A 28495-2023 FSC-klagomål.docx", "A 28495-2023")</f>
        <v/>
      </c>
      <c r="W302">
        <f>HYPERLINK("https://klasma.github.io/Logging_0883/klagomålsmail/A 28495-2023 FSC-klagomål mail.docx", "A 28495-2023")</f>
        <v/>
      </c>
      <c r="X302">
        <f>HYPERLINK("https://klasma.github.io/Logging_0883/tillsyn/A 28495-2023 tillsynsbegäran.docx", "A 28495-2023")</f>
        <v/>
      </c>
      <c r="Y302">
        <f>HYPERLINK("https://klasma.github.io/Logging_0883/tillsynsmail/A 28495-2023 tillsynsbegäran mail.docx", "A 28495-2023")</f>
        <v/>
      </c>
    </row>
    <row r="303" ht="15" customHeight="1">
      <c r="A303" t="inlineStr">
        <is>
          <t>A 32653-2023</t>
        </is>
      </c>
      <c r="B303" s="1" t="n">
        <v>45121</v>
      </c>
      <c r="C303" s="1" t="n">
        <v>45833</v>
      </c>
      <c r="D303" t="inlineStr">
        <is>
          <t>KALMAR LÄN</t>
        </is>
      </c>
      <c r="E303" t="inlineStr">
        <is>
          <t>VÄSTERVIK</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HYPERLINK("https://klasma.github.io/Logging_0883/artfynd/A 32653-2023 artfynd.xlsx", "A 32653-2023")</f>
        <v/>
      </c>
      <c r="T303">
        <f>HYPERLINK("https://klasma.github.io/Logging_0883/kartor/A 32653-2023 karta.png", "A 32653-2023")</f>
        <v/>
      </c>
      <c r="U303">
        <f>HYPERLINK("https://klasma.github.io/Logging_0883/knärot/A 32653-2023 karta knärot.png", "A 32653-2023")</f>
        <v/>
      </c>
      <c r="V303">
        <f>HYPERLINK("https://klasma.github.io/Logging_0883/klagomål/A 32653-2023 FSC-klagomål.docx", "A 32653-2023")</f>
        <v/>
      </c>
      <c r="W303">
        <f>HYPERLINK("https://klasma.github.io/Logging_0883/klagomålsmail/A 32653-2023 FSC-klagomål mail.docx", "A 32653-2023")</f>
        <v/>
      </c>
      <c r="X303">
        <f>HYPERLINK("https://klasma.github.io/Logging_0883/tillsyn/A 32653-2023 tillsynsbegäran.docx", "A 32653-2023")</f>
        <v/>
      </c>
      <c r="Y303">
        <f>HYPERLINK("https://klasma.github.io/Logging_0883/tillsynsmail/A 32653-2023 tillsynsbegäran mail.docx", "A 32653-2023")</f>
        <v/>
      </c>
    </row>
    <row r="304" ht="15" customHeight="1">
      <c r="A304" t="inlineStr">
        <is>
          <t>A 33816-2023</t>
        </is>
      </c>
      <c r="B304" s="1" t="n">
        <v>45133</v>
      </c>
      <c r="C304" s="1" t="n">
        <v>45833</v>
      </c>
      <c r="D304" t="inlineStr">
        <is>
          <t>KALMAR LÄN</t>
        </is>
      </c>
      <c r="E304" t="inlineStr">
        <is>
          <t>VÄSTERVIK</t>
        </is>
      </c>
      <c r="G304" t="n">
        <v>4.9</v>
      </c>
      <c r="H304" t="n">
        <v>0</v>
      </c>
      <c r="I304" t="n">
        <v>0</v>
      </c>
      <c r="J304" t="n">
        <v>1</v>
      </c>
      <c r="K304" t="n">
        <v>0</v>
      </c>
      <c r="L304" t="n">
        <v>0</v>
      </c>
      <c r="M304" t="n">
        <v>0</v>
      </c>
      <c r="N304" t="n">
        <v>0</v>
      </c>
      <c r="O304" t="n">
        <v>1</v>
      </c>
      <c r="P304" t="n">
        <v>0</v>
      </c>
      <c r="Q304" t="n">
        <v>1</v>
      </c>
      <c r="R304" s="2" t="inlineStr">
        <is>
          <t>Tallticka</t>
        </is>
      </c>
      <c r="S304">
        <f>HYPERLINK("https://klasma.github.io/Logging_0883/artfynd/A 33816-2023 artfynd.xlsx", "A 33816-2023")</f>
        <v/>
      </c>
      <c r="T304">
        <f>HYPERLINK("https://klasma.github.io/Logging_0883/kartor/A 33816-2023 karta.png", "A 33816-2023")</f>
        <v/>
      </c>
      <c r="V304">
        <f>HYPERLINK("https://klasma.github.io/Logging_0883/klagomål/A 33816-2023 FSC-klagomål.docx", "A 33816-2023")</f>
        <v/>
      </c>
      <c r="W304">
        <f>HYPERLINK("https://klasma.github.io/Logging_0883/klagomålsmail/A 33816-2023 FSC-klagomål mail.docx", "A 33816-2023")</f>
        <v/>
      </c>
      <c r="X304">
        <f>HYPERLINK("https://klasma.github.io/Logging_0883/tillsyn/A 33816-2023 tillsynsbegäran.docx", "A 33816-2023")</f>
        <v/>
      </c>
      <c r="Y304">
        <f>HYPERLINK("https://klasma.github.io/Logging_0883/tillsynsmail/A 33816-2023 tillsynsbegäran mail.docx", "A 33816-2023")</f>
        <v/>
      </c>
    </row>
    <row r="305" ht="15" customHeight="1">
      <c r="A305" t="inlineStr">
        <is>
          <t>A 33815-2023</t>
        </is>
      </c>
      <c r="B305" s="1" t="n">
        <v>45133</v>
      </c>
      <c r="C305" s="1" t="n">
        <v>45833</v>
      </c>
      <c r="D305" t="inlineStr">
        <is>
          <t>KALMAR LÄN</t>
        </is>
      </c>
      <c r="E305" t="inlineStr">
        <is>
          <t>VÄSTERVIK</t>
        </is>
      </c>
      <c r="G305" t="n">
        <v>3.4</v>
      </c>
      <c r="H305" t="n">
        <v>0</v>
      </c>
      <c r="I305" t="n">
        <v>1</v>
      </c>
      <c r="J305" t="n">
        <v>0</v>
      </c>
      <c r="K305" t="n">
        <v>0</v>
      </c>
      <c r="L305" t="n">
        <v>0</v>
      </c>
      <c r="M305" t="n">
        <v>0</v>
      </c>
      <c r="N305" t="n">
        <v>0</v>
      </c>
      <c r="O305" t="n">
        <v>0</v>
      </c>
      <c r="P305" t="n">
        <v>0</v>
      </c>
      <c r="Q305" t="n">
        <v>1</v>
      </c>
      <c r="R305" s="2" t="inlineStr">
        <is>
          <t>Grönpyrola</t>
        </is>
      </c>
      <c r="S305">
        <f>HYPERLINK("https://klasma.github.io/Logging_0883/artfynd/A 33815-2023 artfynd.xlsx", "A 33815-2023")</f>
        <v/>
      </c>
      <c r="T305">
        <f>HYPERLINK("https://klasma.github.io/Logging_0883/kartor/A 33815-2023 karta.png", "A 33815-2023")</f>
        <v/>
      </c>
      <c r="V305">
        <f>HYPERLINK("https://klasma.github.io/Logging_0883/klagomål/A 33815-2023 FSC-klagomål.docx", "A 33815-2023")</f>
        <v/>
      </c>
      <c r="W305">
        <f>HYPERLINK("https://klasma.github.io/Logging_0883/klagomålsmail/A 33815-2023 FSC-klagomål mail.docx", "A 33815-2023")</f>
        <v/>
      </c>
      <c r="X305">
        <f>HYPERLINK("https://klasma.github.io/Logging_0883/tillsyn/A 33815-2023 tillsynsbegäran.docx", "A 33815-2023")</f>
        <v/>
      </c>
      <c r="Y305">
        <f>HYPERLINK("https://klasma.github.io/Logging_0883/tillsynsmail/A 33815-2023 tillsynsbegäran mail.docx", "A 33815-2023")</f>
        <v/>
      </c>
    </row>
    <row r="306" ht="15" customHeight="1">
      <c r="A306" t="inlineStr">
        <is>
          <t>A 34563-2023</t>
        </is>
      </c>
      <c r="B306" s="1" t="n">
        <v>45140</v>
      </c>
      <c r="C306" s="1" t="n">
        <v>45833</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34563-2023 artfynd.xlsx", "A 34563-2023")</f>
        <v/>
      </c>
      <c r="T306">
        <f>HYPERLINK("https://klasma.github.io/Logging_0883/kartor/A 34563-2023 karta.png", "A 34563-2023")</f>
        <v/>
      </c>
      <c r="U306">
        <f>HYPERLINK("https://klasma.github.io/Logging_0883/knärot/A 34563-2023 karta knärot.png", "A 34563-2023")</f>
        <v/>
      </c>
      <c r="V306">
        <f>HYPERLINK("https://klasma.github.io/Logging_0883/klagomål/A 34563-2023 FSC-klagomål.docx", "A 34563-2023")</f>
        <v/>
      </c>
      <c r="W306">
        <f>HYPERLINK("https://klasma.github.io/Logging_0883/klagomålsmail/A 34563-2023 FSC-klagomål mail.docx", "A 34563-2023")</f>
        <v/>
      </c>
      <c r="X306">
        <f>HYPERLINK("https://klasma.github.io/Logging_0883/tillsyn/A 34563-2023 tillsynsbegäran.docx", "A 34563-2023")</f>
        <v/>
      </c>
      <c r="Y306">
        <f>HYPERLINK("https://klasma.github.io/Logging_0883/tillsynsmail/A 34563-2023 tillsynsbegäran mail.docx", "A 34563-2023")</f>
        <v/>
      </c>
    </row>
    <row r="307" ht="15" customHeight="1">
      <c r="A307" t="inlineStr">
        <is>
          <t>A 36400-2023</t>
        </is>
      </c>
      <c r="B307" s="1" t="n">
        <v>45152</v>
      </c>
      <c r="C307" s="1" t="n">
        <v>45833</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36400-2023 artfynd.xlsx", "A 36400-2023")</f>
        <v/>
      </c>
      <c r="T307">
        <f>HYPERLINK("https://klasma.github.io/Logging_0883/kartor/A 36400-2023 karta.png", "A 36400-2023")</f>
        <v/>
      </c>
      <c r="U307">
        <f>HYPERLINK("https://klasma.github.io/Logging_0883/knärot/A 36400-2023 karta knärot.png", "A 36400-2023")</f>
        <v/>
      </c>
      <c r="V307">
        <f>HYPERLINK("https://klasma.github.io/Logging_0883/klagomål/A 36400-2023 FSC-klagomål.docx", "A 36400-2023")</f>
        <v/>
      </c>
      <c r="W307">
        <f>HYPERLINK("https://klasma.github.io/Logging_0883/klagomålsmail/A 36400-2023 FSC-klagomål mail.docx", "A 36400-2023")</f>
        <v/>
      </c>
      <c r="X307">
        <f>HYPERLINK("https://klasma.github.io/Logging_0883/tillsyn/A 36400-2023 tillsynsbegäran.docx", "A 36400-2023")</f>
        <v/>
      </c>
      <c r="Y307">
        <f>HYPERLINK("https://klasma.github.io/Logging_0883/tillsynsmail/A 36400-2023 tillsynsbegäran mail.docx", "A 36400-2023")</f>
        <v/>
      </c>
    </row>
    <row r="308" ht="15" customHeight="1">
      <c r="A308" t="inlineStr">
        <is>
          <t>A 43788-2023</t>
        </is>
      </c>
      <c r="B308" s="1" t="n">
        <v>45187</v>
      </c>
      <c r="C308" s="1" t="n">
        <v>45833</v>
      </c>
      <c r="D308" t="inlineStr">
        <is>
          <t>KALMAR LÄN</t>
        </is>
      </c>
      <c r="E308" t="inlineStr">
        <is>
          <t>VÄSTERVIK</t>
        </is>
      </c>
      <c r="G308" t="n">
        <v>4.5</v>
      </c>
      <c r="H308" t="n">
        <v>0</v>
      </c>
      <c r="I308" t="n">
        <v>0</v>
      </c>
      <c r="J308" t="n">
        <v>1</v>
      </c>
      <c r="K308" t="n">
        <v>0</v>
      </c>
      <c r="L308" t="n">
        <v>0</v>
      </c>
      <c r="M308" t="n">
        <v>0</v>
      </c>
      <c r="N308" t="n">
        <v>0</v>
      </c>
      <c r="O308" t="n">
        <v>1</v>
      </c>
      <c r="P308" t="n">
        <v>0</v>
      </c>
      <c r="Q308" t="n">
        <v>1</v>
      </c>
      <c r="R308" s="2" t="inlineStr">
        <is>
          <t>Motaggsvamp</t>
        </is>
      </c>
      <c r="S308">
        <f>HYPERLINK("https://klasma.github.io/Logging_0883/artfynd/A 43788-2023 artfynd.xlsx", "A 43788-2023")</f>
        <v/>
      </c>
      <c r="T308">
        <f>HYPERLINK("https://klasma.github.io/Logging_0883/kartor/A 43788-2023 karta.png", "A 43788-2023")</f>
        <v/>
      </c>
      <c r="V308">
        <f>HYPERLINK("https://klasma.github.io/Logging_0883/klagomål/A 43788-2023 FSC-klagomål.docx", "A 43788-2023")</f>
        <v/>
      </c>
      <c r="W308">
        <f>HYPERLINK("https://klasma.github.io/Logging_0883/klagomålsmail/A 43788-2023 FSC-klagomål mail.docx", "A 43788-2023")</f>
        <v/>
      </c>
      <c r="X308">
        <f>HYPERLINK("https://klasma.github.io/Logging_0883/tillsyn/A 43788-2023 tillsynsbegäran.docx", "A 43788-2023")</f>
        <v/>
      </c>
      <c r="Y308">
        <f>HYPERLINK("https://klasma.github.io/Logging_0883/tillsynsmail/A 43788-2023 tillsynsbegäran mail.docx", "A 43788-2023")</f>
        <v/>
      </c>
    </row>
    <row r="309" ht="15" customHeight="1">
      <c r="A309" t="inlineStr">
        <is>
          <t>A 46722-2023</t>
        </is>
      </c>
      <c r="B309" s="1" t="n">
        <v>45194</v>
      </c>
      <c r="C309" s="1" t="n">
        <v>45833</v>
      </c>
      <c r="D309" t="inlineStr">
        <is>
          <t>KALMAR LÄN</t>
        </is>
      </c>
      <c r="E309" t="inlineStr">
        <is>
          <t>VÄSTERVIK</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HYPERLINK("https://klasma.github.io/Logging_0883/artfynd/A 46722-2023 artfynd.xlsx", "A 46722-2023")</f>
        <v/>
      </c>
      <c r="T309">
        <f>HYPERLINK("https://klasma.github.io/Logging_0883/kartor/A 46722-2023 karta.png", "A 46722-2023")</f>
        <v/>
      </c>
      <c r="U309">
        <f>HYPERLINK("https://klasma.github.io/Logging_0883/knärot/A 46722-2023 karta knärot.png", "A 46722-2023")</f>
        <v/>
      </c>
      <c r="V309">
        <f>HYPERLINK("https://klasma.github.io/Logging_0883/klagomål/A 46722-2023 FSC-klagomål.docx", "A 46722-2023")</f>
        <v/>
      </c>
      <c r="W309">
        <f>HYPERLINK("https://klasma.github.io/Logging_0883/klagomålsmail/A 46722-2023 FSC-klagomål mail.docx", "A 46722-2023")</f>
        <v/>
      </c>
      <c r="X309">
        <f>HYPERLINK("https://klasma.github.io/Logging_0883/tillsyn/A 46722-2023 tillsynsbegäran.docx", "A 46722-2023")</f>
        <v/>
      </c>
      <c r="Y309">
        <f>HYPERLINK("https://klasma.github.io/Logging_0883/tillsynsmail/A 46722-2023 tillsynsbegäran mail.docx", "A 46722-2023")</f>
        <v/>
      </c>
    </row>
    <row r="310" ht="15" customHeight="1">
      <c r="A310" t="inlineStr">
        <is>
          <t>A 47112-2023</t>
        </is>
      </c>
      <c r="B310" s="1" t="n">
        <v>45201</v>
      </c>
      <c r="C310" s="1" t="n">
        <v>45833</v>
      </c>
      <c r="D310" t="inlineStr">
        <is>
          <t>KALMAR LÄN</t>
        </is>
      </c>
      <c r="E310" t="inlineStr">
        <is>
          <t>VÄSTERVIK</t>
        </is>
      </c>
      <c r="G310" t="n">
        <v>1</v>
      </c>
      <c r="H310" t="n">
        <v>0</v>
      </c>
      <c r="I310" t="n">
        <v>0</v>
      </c>
      <c r="J310" t="n">
        <v>1</v>
      </c>
      <c r="K310" t="n">
        <v>0</v>
      </c>
      <c r="L310" t="n">
        <v>0</v>
      </c>
      <c r="M310" t="n">
        <v>0</v>
      </c>
      <c r="N310" t="n">
        <v>0</v>
      </c>
      <c r="O310" t="n">
        <v>1</v>
      </c>
      <c r="P310" t="n">
        <v>0</v>
      </c>
      <c r="Q310" t="n">
        <v>1</v>
      </c>
      <c r="R310" s="2" t="inlineStr">
        <is>
          <t>Tallticka</t>
        </is>
      </c>
      <c r="S310">
        <f>HYPERLINK("https://klasma.github.io/Logging_0883/artfynd/A 47112-2023 artfynd.xlsx", "A 47112-2023")</f>
        <v/>
      </c>
      <c r="T310">
        <f>HYPERLINK("https://klasma.github.io/Logging_0883/kartor/A 47112-2023 karta.png", "A 47112-2023")</f>
        <v/>
      </c>
      <c r="V310">
        <f>HYPERLINK("https://klasma.github.io/Logging_0883/klagomål/A 47112-2023 FSC-klagomål.docx", "A 47112-2023")</f>
        <v/>
      </c>
      <c r="W310">
        <f>HYPERLINK("https://klasma.github.io/Logging_0883/klagomålsmail/A 47112-2023 FSC-klagomål mail.docx", "A 47112-2023")</f>
        <v/>
      </c>
      <c r="X310">
        <f>HYPERLINK("https://klasma.github.io/Logging_0883/tillsyn/A 47112-2023 tillsynsbegäran.docx", "A 47112-2023")</f>
        <v/>
      </c>
      <c r="Y310">
        <f>HYPERLINK("https://klasma.github.io/Logging_0883/tillsynsmail/A 47112-2023 tillsynsbegäran mail.docx", "A 47112-2023")</f>
        <v/>
      </c>
    </row>
    <row r="311" ht="15" customHeight="1">
      <c r="A311" t="inlineStr">
        <is>
          <t>A 49680-2023</t>
        </is>
      </c>
      <c r="B311" s="1" t="n">
        <v>45212</v>
      </c>
      <c r="C311" s="1" t="n">
        <v>45833</v>
      </c>
      <c r="D311" t="inlineStr">
        <is>
          <t>KALMAR LÄN</t>
        </is>
      </c>
      <c r="E311" t="inlineStr">
        <is>
          <t>VÄSTERVIK</t>
        </is>
      </c>
      <c r="G311" t="n">
        <v>3.3</v>
      </c>
      <c r="H311" t="n">
        <v>0</v>
      </c>
      <c r="I311" t="n">
        <v>0</v>
      </c>
      <c r="J311" t="n">
        <v>1</v>
      </c>
      <c r="K311" t="n">
        <v>0</v>
      </c>
      <c r="L311" t="n">
        <v>0</v>
      </c>
      <c r="M311" t="n">
        <v>0</v>
      </c>
      <c r="N311" t="n">
        <v>0</v>
      </c>
      <c r="O311" t="n">
        <v>1</v>
      </c>
      <c r="P311" t="n">
        <v>0</v>
      </c>
      <c r="Q311" t="n">
        <v>1</v>
      </c>
      <c r="R311" s="2" t="inlineStr">
        <is>
          <t>Skogsklocka</t>
        </is>
      </c>
      <c r="S311">
        <f>HYPERLINK("https://klasma.github.io/Logging_0883/artfynd/A 49680-2023 artfynd.xlsx", "A 49680-2023")</f>
        <v/>
      </c>
      <c r="T311">
        <f>HYPERLINK("https://klasma.github.io/Logging_0883/kartor/A 49680-2023 karta.png", "A 49680-2023")</f>
        <v/>
      </c>
      <c r="V311">
        <f>HYPERLINK("https://klasma.github.io/Logging_0883/klagomål/A 49680-2023 FSC-klagomål.docx", "A 49680-2023")</f>
        <v/>
      </c>
      <c r="W311">
        <f>HYPERLINK("https://klasma.github.io/Logging_0883/klagomålsmail/A 49680-2023 FSC-klagomål mail.docx", "A 49680-2023")</f>
        <v/>
      </c>
      <c r="X311">
        <f>HYPERLINK("https://klasma.github.io/Logging_0883/tillsyn/A 49680-2023 tillsynsbegäran.docx", "A 49680-2023")</f>
        <v/>
      </c>
      <c r="Y311">
        <f>HYPERLINK("https://klasma.github.io/Logging_0883/tillsynsmail/A 49680-2023 tillsynsbegäran mail.docx", "A 49680-2023")</f>
        <v/>
      </c>
    </row>
    <row r="312" ht="15" customHeight="1">
      <c r="A312" t="inlineStr">
        <is>
          <t>A 54272-2023</t>
        </is>
      </c>
      <c r="B312" s="1" t="n">
        <v>45232</v>
      </c>
      <c r="C312" s="1" t="n">
        <v>45833</v>
      </c>
      <c r="D312" t="inlineStr">
        <is>
          <t>KALMAR LÄN</t>
        </is>
      </c>
      <c r="E312" t="inlineStr">
        <is>
          <t>VÄSTERVIK</t>
        </is>
      </c>
      <c r="G312" t="n">
        <v>1</v>
      </c>
      <c r="H312" t="n">
        <v>0</v>
      </c>
      <c r="I312" t="n">
        <v>1</v>
      </c>
      <c r="J312" t="n">
        <v>0</v>
      </c>
      <c r="K312" t="n">
        <v>0</v>
      </c>
      <c r="L312" t="n">
        <v>0</v>
      </c>
      <c r="M312" t="n">
        <v>0</v>
      </c>
      <c r="N312" t="n">
        <v>0</v>
      </c>
      <c r="O312" t="n">
        <v>0</v>
      </c>
      <c r="P312" t="n">
        <v>0</v>
      </c>
      <c r="Q312" t="n">
        <v>1</v>
      </c>
      <c r="R312" s="2" t="inlineStr">
        <is>
          <t>Aprikosfingersvamp</t>
        </is>
      </c>
      <c r="S312">
        <f>HYPERLINK("https://klasma.github.io/Logging_0883/artfynd/A 54272-2023 artfynd.xlsx", "A 54272-2023")</f>
        <v/>
      </c>
      <c r="T312">
        <f>HYPERLINK("https://klasma.github.io/Logging_0883/kartor/A 54272-2023 karta.png", "A 54272-2023")</f>
        <v/>
      </c>
      <c r="V312">
        <f>HYPERLINK("https://klasma.github.io/Logging_0883/klagomål/A 54272-2023 FSC-klagomål.docx", "A 54272-2023")</f>
        <v/>
      </c>
      <c r="W312">
        <f>HYPERLINK("https://klasma.github.io/Logging_0883/klagomålsmail/A 54272-2023 FSC-klagomål mail.docx", "A 54272-2023")</f>
        <v/>
      </c>
      <c r="X312">
        <f>HYPERLINK("https://klasma.github.io/Logging_0883/tillsyn/A 54272-2023 tillsynsbegäran.docx", "A 54272-2023")</f>
        <v/>
      </c>
      <c r="Y312">
        <f>HYPERLINK("https://klasma.github.io/Logging_0883/tillsynsmail/A 54272-2023 tillsynsbegäran mail.docx", "A 54272-2023")</f>
        <v/>
      </c>
    </row>
    <row r="313" ht="15" customHeight="1">
      <c r="A313" t="inlineStr">
        <is>
          <t>A 55575-2023</t>
        </is>
      </c>
      <c r="B313" s="1" t="n">
        <v>45238</v>
      </c>
      <c r="C313" s="1" t="n">
        <v>45833</v>
      </c>
      <c r="D313" t="inlineStr">
        <is>
          <t>KALMAR LÄN</t>
        </is>
      </c>
      <c r="E313" t="inlineStr">
        <is>
          <t>VÄSTERVIK</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HYPERLINK("https://klasma.github.io/Logging_0883/artfynd/A 55575-2023 artfynd.xlsx", "A 55575-2023")</f>
        <v/>
      </c>
      <c r="T313">
        <f>HYPERLINK("https://klasma.github.io/Logging_0883/kartor/A 55575-2023 karta.png", "A 55575-2023")</f>
        <v/>
      </c>
      <c r="U313">
        <f>HYPERLINK("https://klasma.github.io/Logging_0883/knärot/A 55575-2023 karta knärot.png", "A 55575-2023")</f>
        <v/>
      </c>
      <c r="V313">
        <f>HYPERLINK("https://klasma.github.io/Logging_0883/klagomål/A 55575-2023 FSC-klagomål.docx", "A 55575-2023")</f>
        <v/>
      </c>
      <c r="W313">
        <f>HYPERLINK("https://klasma.github.io/Logging_0883/klagomålsmail/A 55575-2023 FSC-klagomål mail.docx", "A 55575-2023")</f>
        <v/>
      </c>
      <c r="X313">
        <f>HYPERLINK("https://klasma.github.io/Logging_0883/tillsyn/A 55575-2023 tillsynsbegäran.docx", "A 55575-2023")</f>
        <v/>
      </c>
      <c r="Y313">
        <f>HYPERLINK("https://klasma.github.io/Logging_0883/tillsynsmail/A 55575-2023 tillsynsbegäran mail.docx", "A 55575-2023")</f>
        <v/>
      </c>
    </row>
    <row r="314" ht="15" customHeight="1">
      <c r="A314" t="inlineStr">
        <is>
          <t>A 56186-2023</t>
        </is>
      </c>
      <c r="B314" s="1" t="n">
        <v>45240</v>
      </c>
      <c r="C314" s="1" t="n">
        <v>45833</v>
      </c>
      <c r="D314" t="inlineStr">
        <is>
          <t>KALMAR LÄN</t>
        </is>
      </c>
      <c r="E314" t="inlineStr">
        <is>
          <t>VÄSTERVIK</t>
        </is>
      </c>
      <c r="G314" t="n">
        <v>2.7</v>
      </c>
      <c r="H314" t="n">
        <v>0</v>
      </c>
      <c r="I314" t="n">
        <v>0</v>
      </c>
      <c r="J314" t="n">
        <v>1</v>
      </c>
      <c r="K314" t="n">
        <v>0</v>
      </c>
      <c r="L314" t="n">
        <v>0</v>
      </c>
      <c r="M314" t="n">
        <v>0</v>
      </c>
      <c r="N314" t="n">
        <v>0</v>
      </c>
      <c r="O314" t="n">
        <v>1</v>
      </c>
      <c r="P314" t="n">
        <v>0</v>
      </c>
      <c r="Q314" t="n">
        <v>1</v>
      </c>
      <c r="R314" s="2" t="inlineStr">
        <is>
          <t>Tallticka</t>
        </is>
      </c>
      <c r="S314">
        <f>HYPERLINK("https://klasma.github.io/Logging_0883/artfynd/A 56186-2023 artfynd.xlsx", "A 56186-2023")</f>
        <v/>
      </c>
      <c r="T314">
        <f>HYPERLINK("https://klasma.github.io/Logging_0883/kartor/A 56186-2023 karta.png", "A 56186-2023")</f>
        <v/>
      </c>
      <c r="V314">
        <f>HYPERLINK("https://klasma.github.io/Logging_0883/klagomål/A 56186-2023 FSC-klagomål.docx", "A 56186-2023")</f>
        <v/>
      </c>
      <c r="W314">
        <f>HYPERLINK("https://klasma.github.io/Logging_0883/klagomålsmail/A 56186-2023 FSC-klagomål mail.docx", "A 56186-2023")</f>
        <v/>
      </c>
      <c r="X314">
        <f>HYPERLINK("https://klasma.github.io/Logging_0883/tillsyn/A 56186-2023 tillsynsbegäran.docx", "A 56186-2023")</f>
        <v/>
      </c>
      <c r="Y314">
        <f>HYPERLINK("https://klasma.github.io/Logging_0883/tillsynsmail/A 56186-2023 tillsynsbegäran mail.docx", "A 56186-2023")</f>
        <v/>
      </c>
    </row>
    <row r="315" ht="15" customHeight="1">
      <c r="A315" t="inlineStr">
        <is>
          <t>A 59368-2023</t>
        </is>
      </c>
      <c r="B315" s="1" t="n">
        <v>45253</v>
      </c>
      <c r="C315" s="1" t="n">
        <v>45833</v>
      </c>
      <c r="D315" t="inlineStr">
        <is>
          <t>KALMAR LÄN</t>
        </is>
      </c>
      <c r="E315" t="inlineStr">
        <is>
          <t>VÄSTERVIK</t>
        </is>
      </c>
      <c r="G315" t="n">
        <v>2.4</v>
      </c>
      <c r="H315" t="n">
        <v>1</v>
      </c>
      <c r="I315" t="n">
        <v>0</v>
      </c>
      <c r="J315" t="n">
        <v>0</v>
      </c>
      <c r="K315" t="n">
        <v>1</v>
      </c>
      <c r="L315" t="n">
        <v>0</v>
      </c>
      <c r="M315" t="n">
        <v>0</v>
      </c>
      <c r="N315" t="n">
        <v>0</v>
      </c>
      <c r="O315" t="n">
        <v>1</v>
      </c>
      <c r="P315" t="n">
        <v>1</v>
      </c>
      <c r="Q315" t="n">
        <v>1</v>
      </c>
      <c r="R315" s="2" t="inlineStr">
        <is>
          <t>Knärot</t>
        </is>
      </c>
      <c r="S315">
        <f>HYPERLINK("https://klasma.github.io/Logging_0883/artfynd/A 59368-2023 artfynd.xlsx", "A 59368-2023")</f>
        <v/>
      </c>
      <c r="T315">
        <f>HYPERLINK("https://klasma.github.io/Logging_0883/kartor/A 59368-2023 karta.png", "A 59368-2023")</f>
        <v/>
      </c>
      <c r="U315">
        <f>HYPERLINK("https://klasma.github.io/Logging_0883/knärot/A 59368-2023 karta knärot.png", "A 59368-2023")</f>
        <v/>
      </c>
      <c r="V315">
        <f>HYPERLINK("https://klasma.github.io/Logging_0883/klagomål/A 59368-2023 FSC-klagomål.docx", "A 59368-2023")</f>
        <v/>
      </c>
      <c r="W315">
        <f>HYPERLINK("https://klasma.github.io/Logging_0883/klagomålsmail/A 59368-2023 FSC-klagomål mail.docx", "A 59368-2023")</f>
        <v/>
      </c>
      <c r="X315">
        <f>HYPERLINK("https://klasma.github.io/Logging_0883/tillsyn/A 59368-2023 tillsynsbegäran.docx", "A 59368-2023")</f>
        <v/>
      </c>
      <c r="Y315">
        <f>HYPERLINK("https://klasma.github.io/Logging_0883/tillsynsmail/A 59368-2023 tillsynsbegäran mail.docx", "A 59368-2023")</f>
        <v/>
      </c>
    </row>
    <row r="316" ht="15" customHeight="1">
      <c r="A316" t="inlineStr">
        <is>
          <t>A 60633-2023</t>
        </is>
      </c>
      <c r="B316" s="1" t="n">
        <v>45260</v>
      </c>
      <c r="C316" s="1" t="n">
        <v>45833</v>
      </c>
      <c r="D316" t="inlineStr">
        <is>
          <t>KALMAR LÄN</t>
        </is>
      </c>
      <c r="E316" t="inlineStr">
        <is>
          <t>VÄSTERVIK</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HYPERLINK("https://klasma.github.io/Logging_0883/artfynd/A 60633-2023 artfynd.xlsx", "A 60633-2023")</f>
        <v/>
      </c>
      <c r="T316">
        <f>HYPERLINK("https://klasma.github.io/Logging_0883/kartor/A 60633-2023 karta.png", "A 60633-2023")</f>
        <v/>
      </c>
      <c r="V316">
        <f>HYPERLINK("https://klasma.github.io/Logging_0883/klagomål/A 60633-2023 FSC-klagomål.docx", "A 60633-2023")</f>
        <v/>
      </c>
      <c r="W316">
        <f>HYPERLINK("https://klasma.github.io/Logging_0883/klagomålsmail/A 60633-2023 FSC-klagomål mail.docx", "A 60633-2023")</f>
        <v/>
      </c>
      <c r="X316">
        <f>HYPERLINK("https://klasma.github.io/Logging_0883/tillsyn/A 60633-2023 tillsynsbegäran.docx", "A 60633-2023")</f>
        <v/>
      </c>
      <c r="Y316">
        <f>HYPERLINK("https://klasma.github.io/Logging_0883/tillsynsmail/A 60633-2023 tillsynsbegäran mail.docx", "A 60633-2023")</f>
        <v/>
      </c>
      <c r="Z316">
        <f>HYPERLINK("https://klasma.github.io/Logging_0883/fåglar/A 60633-2023 prioriterade fågelarter.docx", "A 60633-2023")</f>
        <v/>
      </c>
    </row>
    <row r="317" ht="15" customHeight="1">
      <c r="A317" t="inlineStr">
        <is>
          <t>A 61806-2023</t>
        </is>
      </c>
      <c r="B317" s="1" t="n">
        <v>45266</v>
      </c>
      <c r="C317" s="1" t="n">
        <v>45833</v>
      </c>
      <c r="D317" t="inlineStr">
        <is>
          <t>KALMAR LÄN</t>
        </is>
      </c>
      <c r="E317" t="inlineStr">
        <is>
          <t>VÄSTERVIK</t>
        </is>
      </c>
      <c r="G317" t="n">
        <v>1.1</v>
      </c>
      <c r="H317" t="n">
        <v>0</v>
      </c>
      <c r="I317" t="n">
        <v>0</v>
      </c>
      <c r="J317" t="n">
        <v>1</v>
      </c>
      <c r="K317" t="n">
        <v>0</v>
      </c>
      <c r="L317" t="n">
        <v>0</v>
      </c>
      <c r="M317" t="n">
        <v>0</v>
      </c>
      <c r="N317" t="n">
        <v>0</v>
      </c>
      <c r="O317" t="n">
        <v>1</v>
      </c>
      <c r="P317" t="n">
        <v>0</v>
      </c>
      <c r="Q317" t="n">
        <v>1</v>
      </c>
      <c r="R317" s="2" t="inlineStr">
        <is>
          <t>Veckticka</t>
        </is>
      </c>
      <c r="S317">
        <f>HYPERLINK("https://klasma.github.io/Logging_0883/artfynd/A 61806-2023 artfynd.xlsx", "A 61806-2023")</f>
        <v/>
      </c>
      <c r="T317">
        <f>HYPERLINK("https://klasma.github.io/Logging_0883/kartor/A 61806-2023 karta.png", "A 61806-2023")</f>
        <v/>
      </c>
      <c r="V317">
        <f>HYPERLINK("https://klasma.github.io/Logging_0883/klagomål/A 61806-2023 FSC-klagomål.docx", "A 61806-2023")</f>
        <v/>
      </c>
      <c r="W317">
        <f>HYPERLINK("https://klasma.github.io/Logging_0883/klagomålsmail/A 61806-2023 FSC-klagomål mail.docx", "A 61806-2023")</f>
        <v/>
      </c>
      <c r="X317">
        <f>HYPERLINK("https://klasma.github.io/Logging_0883/tillsyn/A 61806-2023 tillsynsbegäran.docx", "A 61806-2023")</f>
        <v/>
      </c>
      <c r="Y317">
        <f>HYPERLINK("https://klasma.github.io/Logging_0883/tillsynsmail/A 61806-2023 tillsynsbegäran mail.docx", "A 61806-2023")</f>
        <v/>
      </c>
    </row>
    <row r="318" ht="15" customHeight="1">
      <c r="A318" t="inlineStr">
        <is>
          <t>A 1176-2024</t>
        </is>
      </c>
      <c r="B318" s="1" t="n">
        <v>45302</v>
      </c>
      <c r="C318" s="1" t="n">
        <v>45833</v>
      </c>
      <c r="D318" t="inlineStr">
        <is>
          <t>KALMAR LÄN</t>
        </is>
      </c>
      <c r="E318" t="inlineStr">
        <is>
          <t>VÄSTERVIK</t>
        </is>
      </c>
      <c r="G318" t="n">
        <v>2.5</v>
      </c>
      <c r="H318" t="n">
        <v>0</v>
      </c>
      <c r="I318" t="n">
        <v>0</v>
      </c>
      <c r="J318" t="n">
        <v>1</v>
      </c>
      <c r="K318" t="n">
        <v>0</v>
      </c>
      <c r="L318" t="n">
        <v>0</v>
      </c>
      <c r="M318" t="n">
        <v>0</v>
      </c>
      <c r="N318" t="n">
        <v>0</v>
      </c>
      <c r="O318" t="n">
        <v>1</v>
      </c>
      <c r="P318" t="n">
        <v>0</v>
      </c>
      <c r="Q318" t="n">
        <v>1</v>
      </c>
      <c r="R318" s="2" t="inlineStr">
        <is>
          <t>Tallticka</t>
        </is>
      </c>
      <c r="S318">
        <f>HYPERLINK("https://klasma.github.io/Logging_0883/artfynd/A 1176-2024 artfynd.xlsx", "A 1176-2024")</f>
        <v/>
      </c>
      <c r="T318">
        <f>HYPERLINK("https://klasma.github.io/Logging_0883/kartor/A 1176-2024 karta.png", "A 1176-2024")</f>
        <v/>
      </c>
      <c r="V318">
        <f>HYPERLINK("https://klasma.github.io/Logging_0883/klagomål/A 1176-2024 FSC-klagomål.docx", "A 1176-2024")</f>
        <v/>
      </c>
      <c r="W318">
        <f>HYPERLINK("https://klasma.github.io/Logging_0883/klagomålsmail/A 1176-2024 FSC-klagomål mail.docx", "A 1176-2024")</f>
        <v/>
      </c>
      <c r="X318">
        <f>HYPERLINK("https://klasma.github.io/Logging_0883/tillsyn/A 1176-2024 tillsynsbegäran.docx", "A 1176-2024")</f>
        <v/>
      </c>
      <c r="Y318">
        <f>HYPERLINK("https://klasma.github.io/Logging_0883/tillsynsmail/A 1176-2024 tillsynsbegäran mail.docx", "A 1176-2024")</f>
        <v/>
      </c>
    </row>
    <row r="319" ht="15" customHeight="1">
      <c r="A319" t="inlineStr">
        <is>
          <t>A 2804-2024</t>
        </is>
      </c>
      <c r="B319" s="1" t="n">
        <v>45314</v>
      </c>
      <c r="C319" s="1" t="n">
        <v>45833</v>
      </c>
      <c r="D319" t="inlineStr">
        <is>
          <t>KALMAR LÄN</t>
        </is>
      </c>
      <c r="E319" t="inlineStr">
        <is>
          <t>VÄSTERVIK</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HYPERLINK("https://klasma.github.io/Logging_0883/artfynd/A 2804-2024 artfynd.xlsx", "A 2804-2024")</f>
        <v/>
      </c>
      <c r="T319">
        <f>HYPERLINK("https://klasma.github.io/Logging_0883/kartor/A 2804-2024 karta.png", "A 2804-2024")</f>
        <v/>
      </c>
      <c r="U319">
        <f>HYPERLINK("https://klasma.github.io/Logging_0883/knärot/A 2804-2024 karta knärot.png", "A 2804-2024")</f>
        <v/>
      </c>
      <c r="V319">
        <f>HYPERLINK("https://klasma.github.io/Logging_0883/klagomål/A 2804-2024 FSC-klagomål.docx", "A 2804-2024")</f>
        <v/>
      </c>
      <c r="W319">
        <f>HYPERLINK("https://klasma.github.io/Logging_0883/klagomålsmail/A 2804-2024 FSC-klagomål mail.docx", "A 2804-2024")</f>
        <v/>
      </c>
      <c r="X319">
        <f>HYPERLINK("https://klasma.github.io/Logging_0883/tillsyn/A 2804-2024 tillsynsbegäran.docx", "A 2804-2024")</f>
        <v/>
      </c>
      <c r="Y319">
        <f>HYPERLINK("https://klasma.github.io/Logging_0883/tillsynsmail/A 2804-2024 tillsynsbegäran mail.docx", "A 2804-2024")</f>
        <v/>
      </c>
    </row>
    <row r="320" ht="15" customHeight="1">
      <c r="A320" t="inlineStr">
        <is>
          <t>A 6025-2024</t>
        </is>
      </c>
      <c r="B320" s="1" t="n">
        <v>45336</v>
      </c>
      <c r="C320" s="1" t="n">
        <v>45833</v>
      </c>
      <c r="D320" t="inlineStr">
        <is>
          <t>KALMAR LÄN</t>
        </is>
      </c>
      <c r="E320" t="inlineStr">
        <is>
          <t>VÄSTERVIK</t>
        </is>
      </c>
      <c r="G320" t="n">
        <v>2.8</v>
      </c>
      <c r="H320" t="n">
        <v>0</v>
      </c>
      <c r="I320" t="n">
        <v>0</v>
      </c>
      <c r="J320" t="n">
        <v>1</v>
      </c>
      <c r="K320" t="n">
        <v>0</v>
      </c>
      <c r="L320" t="n">
        <v>0</v>
      </c>
      <c r="M320" t="n">
        <v>0</v>
      </c>
      <c r="N320" t="n">
        <v>0</v>
      </c>
      <c r="O320" t="n">
        <v>1</v>
      </c>
      <c r="P320" t="n">
        <v>0</v>
      </c>
      <c r="Q320" t="n">
        <v>1</v>
      </c>
      <c r="R320" s="2" t="inlineStr">
        <is>
          <t>Tallticka</t>
        </is>
      </c>
      <c r="S320">
        <f>HYPERLINK("https://klasma.github.io/Logging_0883/artfynd/A 6025-2024 artfynd.xlsx", "A 6025-2024")</f>
        <v/>
      </c>
      <c r="T320">
        <f>HYPERLINK("https://klasma.github.io/Logging_0883/kartor/A 6025-2024 karta.png", "A 6025-2024")</f>
        <v/>
      </c>
      <c r="V320">
        <f>HYPERLINK("https://klasma.github.io/Logging_0883/klagomål/A 6025-2024 FSC-klagomål.docx", "A 6025-2024")</f>
        <v/>
      </c>
      <c r="W320">
        <f>HYPERLINK("https://klasma.github.io/Logging_0883/klagomålsmail/A 6025-2024 FSC-klagomål mail.docx", "A 6025-2024")</f>
        <v/>
      </c>
      <c r="X320">
        <f>HYPERLINK("https://klasma.github.io/Logging_0883/tillsyn/A 6025-2024 tillsynsbegäran.docx", "A 6025-2024")</f>
        <v/>
      </c>
      <c r="Y320">
        <f>HYPERLINK("https://klasma.github.io/Logging_0883/tillsynsmail/A 6025-2024 tillsynsbegäran mail.docx", "A 6025-2024")</f>
        <v/>
      </c>
    </row>
    <row r="321" ht="15" customHeight="1">
      <c r="A321" t="inlineStr">
        <is>
          <t>A 11165-2024</t>
        </is>
      </c>
      <c r="B321" s="1" t="n">
        <v>45371</v>
      </c>
      <c r="C321" s="1" t="n">
        <v>45833</v>
      </c>
      <c r="D321" t="inlineStr">
        <is>
          <t>KALMAR LÄN</t>
        </is>
      </c>
      <c r="E321" t="inlineStr">
        <is>
          <t>VÄSTERVIK</t>
        </is>
      </c>
      <c r="G321" t="n">
        <v>3.7</v>
      </c>
      <c r="H321" t="n">
        <v>1</v>
      </c>
      <c r="I321" t="n">
        <v>0</v>
      </c>
      <c r="J321" t="n">
        <v>1</v>
      </c>
      <c r="K321" t="n">
        <v>0</v>
      </c>
      <c r="L321" t="n">
        <v>0</v>
      </c>
      <c r="M321" t="n">
        <v>0</v>
      </c>
      <c r="N321" t="n">
        <v>0</v>
      </c>
      <c r="O321" t="n">
        <v>1</v>
      </c>
      <c r="P321" t="n">
        <v>0</v>
      </c>
      <c r="Q321" t="n">
        <v>1</v>
      </c>
      <c r="R321" s="2" t="inlineStr">
        <is>
          <t>Spillkråka</t>
        </is>
      </c>
      <c r="S321">
        <f>HYPERLINK("https://klasma.github.io/Logging_0883/artfynd/A 11165-2024 artfynd.xlsx", "A 11165-2024")</f>
        <v/>
      </c>
      <c r="T321">
        <f>HYPERLINK("https://klasma.github.io/Logging_0883/kartor/A 11165-2024 karta.png", "A 11165-2024")</f>
        <v/>
      </c>
      <c r="V321">
        <f>HYPERLINK("https://klasma.github.io/Logging_0883/klagomål/A 11165-2024 FSC-klagomål.docx", "A 11165-2024")</f>
        <v/>
      </c>
      <c r="W321">
        <f>HYPERLINK("https://klasma.github.io/Logging_0883/klagomålsmail/A 11165-2024 FSC-klagomål mail.docx", "A 11165-2024")</f>
        <v/>
      </c>
      <c r="X321">
        <f>HYPERLINK("https://klasma.github.io/Logging_0883/tillsyn/A 11165-2024 tillsynsbegäran.docx", "A 11165-2024")</f>
        <v/>
      </c>
      <c r="Y321">
        <f>HYPERLINK("https://klasma.github.io/Logging_0883/tillsynsmail/A 11165-2024 tillsynsbegäran mail.docx", "A 11165-2024")</f>
        <v/>
      </c>
      <c r="Z321">
        <f>HYPERLINK("https://klasma.github.io/Logging_0883/fåglar/A 11165-2024 prioriterade fågelarter.docx", "A 11165-2024")</f>
        <v/>
      </c>
    </row>
    <row r="322" ht="15" customHeight="1">
      <c r="A322" t="inlineStr">
        <is>
          <t>A 11195-2024</t>
        </is>
      </c>
      <c r="B322" s="1" t="n">
        <v>45371</v>
      </c>
      <c r="C322" s="1" t="n">
        <v>45833</v>
      </c>
      <c r="D322" t="inlineStr">
        <is>
          <t>KALMAR LÄN</t>
        </is>
      </c>
      <c r="E322" t="inlineStr">
        <is>
          <t>VÄSTERVIK</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HYPERLINK("https://klasma.github.io/Logging_0883/artfynd/A 11195-2024 artfynd.xlsx", "A 11195-2024")</f>
        <v/>
      </c>
      <c r="T322">
        <f>HYPERLINK("https://klasma.github.io/Logging_0883/kartor/A 11195-2024 karta.png", "A 11195-2024")</f>
        <v/>
      </c>
      <c r="U322">
        <f>HYPERLINK("https://klasma.github.io/Logging_0883/knärot/A 11195-2024 karta knärot.png", "A 11195-2024")</f>
        <v/>
      </c>
      <c r="V322">
        <f>HYPERLINK("https://klasma.github.io/Logging_0883/klagomål/A 11195-2024 FSC-klagomål.docx", "A 11195-2024")</f>
        <v/>
      </c>
      <c r="W322">
        <f>HYPERLINK("https://klasma.github.io/Logging_0883/klagomålsmail/A 11195-2024 FSC-klagomål mail.docx", "A 11195-2024")</f>
        <v/>
      </c>
      <c r="X322">
        <f>HYPERLINK("https://klasma.github.io/Logging_0883/tillsyn/A 11195-2024 tillsynsbegäran.docx", "A 11195-2024")</f>
        <v/>
      </c>
      <c r="Y322">
        <f>HYPERLINK("https://klasma.github.io/Logging_0883/tillsynsmail/A 11195-2024 tillsynsbegäran mail.docx", "A 11195-2024")</f>
        <v/>
      </c>
    </row>
    <row r="323" ht="15" customHeight="1">
      <c r="A323" t="inlineStr">
        <is>
          <t>A 13745-2024</t>
        </is>
      </c>
      <c r="B323" s="1" t="n">
        <v>45390</v>
      </c>
      <c r="C323" s="1" t="n">
        <v>45833</v>
      </c>
      <c r="D323" t="inlineStr">
        <is>
          <t>KALMAR LÄN</t>
        </is>
      </c>
      <c r="E323" t="inlineStr">
        <is>
          <t>VÄSTERVIK</t>
        </is>
      </c>
      <c r="F323" t="inlineStr">
        <is>
          <t>Sveaskog</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HYPERLINK("https://klasma.github.io/Logging_0883/artfynd/A 13745-2024 artfynd.xlsx", "A 13745-2024")</f>
        <v/>
      </c>
      <c r="T323">
        <f>HYPERLINK("https://klasma.github.io/Logging_0883/kartor/A 13745-2024 karta.png", "A 13745-2024")</f>
        <v/>
      </c>
      <c r="U323">
        <f>HYPERLINK("https://klasma.github.io/Logging_0883/knärot/A 13745-2024 karta knärot.png", "A 13745-2024")</f>
        <v/>
      </c>
      <c r="V323">
        <f>HYPERLINK("https://klasma.github.io/Logging_0883/klagomål/A 13745-2024 FSC-klagomål.docx", "A 13745-2024")</f>
        <v/>
      </c>
      <c r="W323">
        <f>HYPERLINK("https://klasma.github.io/Logging_0883/klagomålsmail/A 13745-2024 FSC-klagomål mail.docx", "A 13745-2024")</f>
        <v/>
      </c>
      <c r="X323">
        <f>HYPERLINK("https://klasma.github.io/Logging_0883/tillsyn/A 13745-2024 tillsynsbegäran.docx", "A 13745-2024")</f>
        <v/>
      </c>
      <c r="Y323">
        <f>HYPERLINK("https://klasma.github.io/Logging_0883/tillsynsmail/A 13745-2024 tillsynsbegäran mail.docx", "A 13745-2024")</f>
        <v/>
      </c>
      <c r="Z323">
        <f>HYPERLINK("https://klasma.github.io/Logging_0883/fåglar/A 13745-2024 prioriterade fågelarter.docx", "A 13745-2024")</f>
        <v/>
      </c>
    </row>
    <row r="324" ht="15" customHeight="1">
      <c r="A324" t="inlineStr">
        <is>
          <t>A 14231-2024</t>
        </is>
      </c>
      <c r="B324" s="1" t="n">
        <v>45393</v>
      </c>
      <c r="C324" s="1" t="n">
        <v>45833</v>
      </c>
      <c r="D324" t="inlineStr">
        <is>
          <t>KALMAR LÄN</t>
        </is>
      </c>
      <c r="E324" t="inlineStr">
        <is>
          <t>VÄSTERVIK</t>
        </is>
      </c>
      <c r="G324" t="n">
        <v>2.8</v>
      </c>
      <c r="H324" t="n">
        <v>1</v>
      </c>
      <c r="I324" t="n">
        <v>0</v>
      </c>
      <c r="J324" t="n">
        <v>0</v>
      </c>
      <c r="K324" t="n">
        <v>1</v>
      </c>
      <c r="L324" t="n">
        <v>0</v>
      </c>
      <c r="M324" t="n">
        <v>0</v>
      </c>
      <c r="N324" t="n">
        <v>0</v>
      </c>
      <c r="O324" t="n">
        <v>1</v>
      </c>
      <c r="P324" t="n">
        <v>1</v>
      </c>
      <c r="Q324" t="n">
        <v>1</v>
      </c>
      <c r="R324" s="2" t="inlineStr">
        <is>
          <t>Knärot</t>
        </is>
      </c>
      <c r="S324">
        <f>HYPERLINK("https://klasma.github.io/Logging_0883/artfynd/A 14231-2024 artfynd.xlsx", "A 14231-2024")</f>
        <v/>
      </c>
      <c r="T324">
        <f>HYPERLINK("https://klasma.github.io/Logging_0883/kartor/A 14231-2024 karta.png", "A 14231-2024")</f>
        <v/>
      </c>
      <c r="U324">
        <f>HYPERLINK("https://klasma.github.io/Logging_0883/knärot/A 14231-2024 karta knärot.png", "A 14231-2024")</f>
        <v/>
      </c>
      <c r="V324">
        <f>HYPERLINK("https://klasma.github.io/Logging_0883/klagomål/A 14231-2024 FSC-klagomål.docx", "A 14231-2024")</f>
        <v/>
      </c>
      <c r="W324">
        <f>HYPERLINK("https://klasma.github.io/Logging_0883/klagomålsmail/A 14231-2024 FSC-klagomål mail.docx", "A 14231-2024")</f>
        <v/>
      </c>
      <c r="X324">
        <f>HYPERLINK("https://klasma.github.io/Logging_0883/tillsyn/A 14231-2024 tillsynsbegäran.docx", "A 14231-2024")</f>
        <v/>
      </c>
      <c r="Y324">
        <f>HYPERLINK("https://klasma.github.io/Logging_0883/tillsynsmail/A 14231-2024 tillsynsbegäran mail.docx", "A 14231-2024")</f>
        <v/>
      </c>
    </row>
    <row r="325" ht="15" customHeight="1">
      <c r="A325" t="inlineStr">
        <is>
          <t>A 16406-2024</t>
        </is>
      </c>
      <c r="B325" s="1" t="n">
        <v>45407</v>
      </c>
      <c r="C325" s="1" t="n">
        <v>45833</v>
      </c>
      <c r="D325" t="inlineStr">
        <is>
          <t>KALMAR LÄN</t>
        </is>
      </c>
      <c r="E325" t="inlineStr">
        <is>
          <t>VÄSTERVIK</t>
        </is>
      </c>
      <c r="F325" t="inlineStr">
        <is>
          <t>Holmen skog AB</t>
        </is>
      </c>
      <c r="G325" t="n">
        <v>4.9</v>
      </c>
      <c r="H325" t="n">
        <v>0</v>
      </c>
      <c r="I325" t="n">
        <v>1</v>
      </c>
      <c r="J325" t="n">
        <v>0</v>
      </c>
      <c r="K325" t="n">
        <v>0</v>
      </c>
      <c r="L325" t="n">
        <v>0</v>
      </c>
      <c r="M325" t="n">
        <v>0</v>
      </c>
      <c r="N325" t="n">
        <v>0</v>
      </c>
      <c r="O325" t="n">
        <v>0</v>
      </c>
      <c r="P325" t="n">
        <v>0</v>
      </c>
      <c r="Q325" t="n">
        <v>1</v>
      </c>
      <c r="R325" s="2" t="inlineStr">
        <is>
          <t>Tibast</t>
        </is>
      </c>
      <c r="S325">
        <f>HYPERLINK("https://klasma.github.io/Logging_0883/artfynd/A 16406-2024 artfynd.xlsx", "A 16406-2024")</f>
        <v/>
      </c>
      <c r="T325">
        <f>HYPERLINK("https://klasma.github.io/Logging_0883/kartor/A 16406-2024 karta.png", "A 16406-2024")</f>
        <v/>
      </c>
      <c r="V325">
        <f>HYPERLINK("https://klasma.github.io/Logging_0883/klagomål/A 16406-2024 FSC-klagomål.docx", "A 16406-2024")</f>
        <v/>
      </c>
      <c r="W325">
        <f>HYPERLINK("https://klasma.github.io/Logging_0883/klagomålsmail/A 16406-2024 FSC-klagomål mail.docx", "A 16406-2024")</f>
        <v/>
      </c>
      <c r="X325">
        <f>HYPERLINK("https://klasma.github.io/Logging_0883/tillsyn/A 16406-2024 tillsynsbegäran.docx", "A 16406-2024")</f>
        <v/>
      </c>
      <c r="Y325">
        <f>HYPERLINK("https://klasma.github.io/Logging_0883/tillsynsmail/A 16406-2024 tillsynsbegäran mail.docx", "A 16406-2024")</f>
        <v/>
      </c>
    </row>
    <row r="326" ht="15" customHeight="1">
      <c r="A326" t="inlineStr">
        <is>
          <t>A 17424-2024</t>
        </is>
      </c>
      <c r="B326" s="1" t="n">
        <v>45415</v>
      </c>
      <c r="C326" s="1" t="n">
        <v>45833</v>
      </c>
      <c r="D326" t="inlineStr">
        <is>
          <t>KALMAR LÄN</t>
        </is>
      </c>
      <c r="E326" t="inlineStr">
        <is>
          <t>VÄSTERVIK</t>
        </is>
      </c>
      <c r="F326" t="inlineStr">
        <is>
          <t>Sveaskog</t>
        </is>
      </c>
      <c r="G326" t="n">
        <v>5</v>
      </c>
      <c r="H326" t="n">
        <v>1</v>
      </c>
      <c r="I326" t="n">
        <v>0</v>
      </c>
      <c r="J326" t="n">
        <v>0</v>
      </c>
      <c r="K326" t="n">
        <v>0</v>
      </c>
      <c r="L326" t="n">
        <v>0</v>
      </c>
      <c r="M326" t="n">
        <v>0</v>
      </c>
      <c r="N326" t="n">
        <v>0</v>
      </c>
      <c r="O326" t="n">
        <v>0</v>
      </c>
      <c r="P326" t="n">
        <v>0</v>
      </c>
      <c r="Q326" t="n">
        <v>1</v>
      </c>
      <c r="R326" s="2" t="inlineStr">
        <is>
          <t>Blåsippa</t>
        </is>
      </c>
      <c r="S326">
        <f>HYPERLINK("https://klasma.github.io/Logging_0883/artfynd/A 17424-2024 artfynd.xlsx", "A 17424-2024")</f>
        <v/>
      </c>
      <c r="T326">
        <f>HYPERLINK("https://klasma.github.io/Logging_0883/kartor/A 17424-2024 karta.png", "A 17424-2024")</f>
        <v/>
      </c>
      <c r="V326">
        <f>HYPERLINK("https://klasma.github.io/Logging_0883/klagomål/A 17424-2024 FSC-klagomål.docx", "A 17424-2024")</f>
        <v/>
      </c>
      <c r="W326">
        <f>HYPERLINK("https://klasma.github.io/Logging_0883/klagomålsmail/A 17424-2024 FSC-klagomål mail.docx", "A 17424-2024")</f>
        <v/>
      </c>
      <c r="X326">
        <f>HYPERLINK("https://klasma.github.io/Logging_0883/tillsyn/A 17424-2024 tillsynsbegäran.docx", "A 17424-2024")</f>
        <v/>
      </c>
      <c r="Y326">
        <f>HYPERLINK("https://klasma.github.io/Logging_0883/tillsynsmail/A 17424-2024 tillsynsbegäran mail.docx", "A 17424-2024")</f>
        <v/>
      </c>
    </row>
    <row r="327" ht="15" customHeight="1">
      <c r="A327" t="inlineStr">
        <is>
          <t>A 18396-2024</t>
        </is>
      </c>
      <c r="B327" s="1" t="n">
        <v>45425</v>
      </c>
      <c r="C327" s="1" t="n">
        <v>45833</v>
      </c>
      <c r="D327" t="inlineStr">
        <is>
          <t>KALMAR LÄN</t>
        </is>
      </c>
      <c r="E327" t="inlineStr">
        <is>
          <t>VÄSTERVIK</t>
        </is>
      </c>
      <c r="F327" t="inlineStr">
        <is>
          <t>Holmen skog AB</t>
        </is>
      </c>
      <c r="G327" t="n">
        <v>3.5</v>
      </c>
      <c r="H327" t="n">
        <v>0</v>
      </c>
      <c r="I327" t="n">
        <v>1</v>
      </c>
      <c r="J327" t="n">
        <v>0</v>
      </c>
      <c r="K327" t="n">
        <v>0</v>
      </c>
      <c r="L327" t="n">
        <v>0</v>
      </c>
      <c r="M327" t="n">
        <v>0</v>
      </c>
      <c r="N327" t="n">
        <v>0</v>
      </c>
      <c r="O327" t="n">
        <v>0</v>
      </c>
      <c r="P327" t="n">
        <v>0</v>
      </c>
      <c r="Q327" t="n">
        <v>1</v>
      </c>
      <c r="R327" s="2" t="inlineStr">
        <is>
          <t>Blåmossa</t>
        </is>
      </c>
      <c r="S327">
        <f>HYPERLINK("https://klasma.github.io/Logging_0883/artfynd/A 18396-2024 artfynd.xlsx", "A 18396-2024")</f>
        <v/>
      </c>
      <c r="T327">
        <f>HYPERLINK("https://klasma.github.io/Logging_0883/kartor/A 18396-2024 karta.png", "A 18396-2024")</f>
        <v/>
      </c>
      <c r="V327">
        <f>HYPERLINK("https://klasma.github.io/Logging_0883/klagomål/A 18396-2024 FSC-klagomål.docx", "A 18396-2024")</f>
        <v/>
      </c>
      <c r="W327">
        <f>HYPERLINK("https://klasma.github.io/Logging_0883/klagomålsmail/A 18396-2024 FSC-klagomål mail.docx", "A 18396-2024")</f>
        <v/>
      </c>
      <c r="X327">
        <f>HYPERLINK("https://klasma.github.io/Logging_0883/tillsyn/A 18396-2024 tillsynsbegäran.docx", "A 18396-2024")</f>
        <v/>
      </c>
      <c r="Y327">
        <f>HYPERLINK("https://klasma.github.io/Logging_0883/tillsynsmail/A 18396-2024 tillsynsbegäran mail.docx", "A 18396-2024")</f>
        <v/>
      </c>
    </row>
    <row r="328" ht="15" customHeight="1">
      <c r="A328" t="inlineStr">
        <is>
          <t>A 22885-2024</t>
        </is>
      </c>
      <c r="B328" s="1" t="n">
        <v>45448</v>
      </c>
      <c r="C328" s="1" t="n">
        <v>45833</v>
      </c>
      <c r="D328" t="inlineStr">
        <is>
          <t>KALMAR LÄN</t>
        </is>
      </c>
      <c r="E328" t="inlineStr">
        <is>
          <t>VÄSTERVIK</t>
        </is>
      </c>
      <c r="G328" t="n">
        <v>7.1</v>
      </c>
      <c r="H328" t="n">
        <v>0</v>
      </c>
      <c r="I328" t="n">
        <v>0</v>
      </c>
      <c r="J328" t="n">
        <v>1</v>
      </c>
      <c r="K328" t="n">
        <v>0</v>
      </c>
      <c r="L328" t="n">
        <v>0</v>
      </c>
      <c r="M328" t="n">
        <v>0</v>
      </c>
      <c r="N328" t="n">
        <v>0</v>
      </c>
      <c r="O328" t="n">
        <v>1</v>
      </c>
      <c r="P328" t="n">
        <v>0</v>
      </c>
      <c r="Q328" t="n">
        <v>1</v>
      </c>
      <c r="R328" s="2" t="inlineStr">
        <is>
          <t>Tallticka</t>
        </is>
      </c>
      <c r="S328">
        <f>HYPERLINK("https://klasma.github.io/Logging_0883/artfynd/A 22885-2024 artfynd.xlsx", "A 22885-2024")</f>
        <v/>
      </c>
      <c r="T328">
        <f>HYPERLINK("https://klasma.github.io/Logging_0883/kartor/A 22885-2024 karta.png", "A 22885-2024")</f>
        <v/>
      </c>
      <c r="V328">
        <f>HYPERLINK("https://klasma.github.io/Logging_0883/klagomål/A 22885-2024 FSC-klagomål.docx", "A 22885-2024")</f>
        <v/>
      </c>
      <c r="W328">
        <f>HYPERLINK("https://klasma.github.io/Logging_0883/klagomålsmail/A 22885-2024 FSC-klagomål mail.docx", "A 22885-2024")</f>
        <v/>
      </c>
      <c r="X328">
        <f>HYPERLINK("https://klasma.github.io/Logging_0883/tillsyn/A 22885-2024 tillsynsbegäran.docx", "A 22885-2024")</f>
        <v/>
      </c>
      <c r="Y328">
        <f>HYPERLINK("https://klasma.github.io/Logging_0883/tillsynsmail/A 22885-2024 tillsynsbegäran mail.docx", "A 22885-2024")</f>
        <v/>
      </c>
    </row>
    <row r="329" ht="15" customHeight="1">
      <c r="A329" t="inlineStr">
        <is>
          <t>A 27708-2024</t>
        </is>
      </c>
      <c r="B329" s="1" t="n">
        <v>45475</v>
      </c>
      <c r="C329" s="1" t="n">
        <v>45833</v>
      </c>
      <c r="D329" t="inlineStr">
        <is>
          <t>KALMAR LÄN</t>
        </is>
      </c>
      <c r="E329" t="inlineStr">
        <is>
          <t>VÄSTERVIK</t>
        </is>
      </c>
      <c r="F329" t="inlineStr">
        <is>
          <t>Holmen skog AB</t>
        </is>
      </c>
      <c r="G329" t="n">
        <v>1.7</v>
      </c>
      <c r="H329" t="n">
        <v>1</v>
      </c>
      <c r="I329" t="n">
        <v>0</v>
      </c>
      <c r="J329" t="n">
        <v>1</v>
      </c>
      <c r="K329" t="n">
        <v>0</v>
      </c>
      <c r="L329" t="n">
        <v>0</v>
      </c>
      <c r="M329" t="n">
        <v>0</v>
      </c>
      <c r="N329" t="n">
        <v>0</v>
      </c>
      <c r="O329" t="n">
        <v>1</v>
      </c>
      <c r="P329" t="n">
        <v>0</v>
      </c>
      <c r="Q329" t="n">
        <v>1</v>
      </c>
      <c r="R329" s="2" t="inlineStr">
        <is>
          <t>Spillkråka</t>
        </is>
      </c>
      <c r="S329">
        <f>HYPERLINK("https://klasma.github.io/Logging_0883/artfynd/A 27708-2024 artfynd.xlsx", "A 27708-2024")</f>
        <v/>
      </c>
      <c r="T329">
        <f>HYPERLINK("https://klasma.github.io/Logging_0883/kartor/A 27708-2024 karta.png", "A 27708-2024")</f>
        <v/>
      </c>
      <c r="V329">
        <f>HYPERLINK("https://klasma.github.io/Logging_0883/klagomål/A 27708-2024 FSC-klagomål.docx", "A 27708-2024")</f>
        <v/>
      </c>
      <c r="W329">
        <f>HYPERLINK("https://klasma.github.io/Logging_0883/klagomålsmail/A 27708-2024 FSC-klagomål mail.docx", "A 27708-2024")</f>
        <v/>
      </c>
      <c r="X329">
        <f>HYPERLINK("https://klasma.github.io/Logging_0883/tillsyn/A 27708-2024 tillsynsbegäran.docx", "A 27708-2024")</f>
        <v/>
      </c>
      <c r="Y329">
        <f>HYPERLINK("https://klasma.github.io/Logging_0883/tillsynsmail/A 27708-2024 tillsynsbegäran mail.docx", "A 27708-2024")</f>
        <v/>
      </c>
      <c r="Z329">
        <f>HYPERLINK("https://klasma.github.io/Logging_0883/fåglar/A 27708-2024 prioriterade fågelarter.docx", "A 27708-2024")</f>
        <v/>
      </c>
    </row>
    <row r="330" ht="15" customHeight="1">
      <c r="A330" t="inlineStr">
        <is>
          <t>A 29398-2024</t>
        </is>
      </c>
      <c r="B330" s="1" t="n">
        <v>45483</v>
      </c>
      <c r="C330" s="1" t="n">
        <v>45833</v>
      </c>
      <c r="D330" t="inlineStr">
        <is>
          <t>KALMAR LÄN</t>
        </is>
      </c>
      <c r="E330" t="inlineStr">
        <is>
          <t>VÄSTERVIK</t>
        </is>
      </c>
      <c r="G330" t="n">
        <v>2.7</v>
      </c>
      <c r="H330" t="n">
        <v>0</v>
      </c>
      <c r="I330" t="n">
        <v>0</v>
      </c>
      <c r="J330" t="n">
        <v>1</v>
      </c>
      <c r="K330" t="n">
        <v>0</v>
      </c>
      <c r="L330" t="n">
        <v>0</v>
      </c>
      <c r="M330" t="n">
        <v>0</v>
      </c>
      <c r="N330" t="n">
        <v>0</v>
      </c>
      <c r="O330" t="n">
        <v>1</v>
      </c>
      <c r="P330" t="n">
        <v>0</v>
      </c>
      <c r="Q330" t="n">
        <v>1</v>
      </c>
      <c r="R330" s="2" t="inlineStr">
        <is>
          <t>Skogsklocka</t>
        </is>
      </c>
      <c r="S330">
        <f>HYPERLINK("https://klasma.github.io/Logging_0883/artfynd/A 29398-2024 artfynd.xlsx", "A 29398-2024")</f>
        <v/>
      </c>
      <c r="T330">
        <f>HYPERLINK("https://klasma.github.io/Logging_0883/kartor/A 29398-2024 karta.png", "A 29398-2024")</f>
        <v/>
      </c>
      <c r="V330">
        <f>HYPERLINK("https://klasma.github.io/Logging_0883/klagomål/A 29398-2024 FSC-klagomål.docx", "A 29398-2024")</f>
        <v/>
      </c>
      <c r="W330">
        <f>HYPERLINK("https://klasma.github.io/Logging_0883/klagomålsmail/A 29398-2024 FSC-klagomål mail.docx", "A 29398-2024")</f>
        <v/>
      </c>
      <c r="X330">
        <f>HYPERLINK("https://klasma.github.io/Logging_0883/tillsyn/A 29398-2024 tillsynsbegäran.docx", "A 29398-2024")</f>
        <v/>
      </c>
      <c r="Y330">
        <f>HYPERLINK("https://klasma.github.io/Logging_0883/tillsynsmail/A 29398-2024 tillsynsbegäran mail.docx", "A 29398-2024")</f>
        <v/>
      </c>
    </row>
    <row r="331" ht="15" customHeight="1">
      <c r="A331" t="inlineStr">
        <is>
          <t>A 30386-2024</t>
        </is>
      </c>
      <c r="B331" s="1" t="n">
        <v>45491</v>
      </c>
      <c r="C331" s="1" t="n">
        <v>45833</v>
      </c>
      <c r="D331" t="inlineStr">
        <is>
          <t>KALMAR LÄN</t>
        </is>
      </c>
      <c r="E331" t="inlineStr">
        <is>
          <t>VÄSTERVIK</t>
        </is>
      </c>
      <c r="F331" t="inlineStr">
        <is>
          <t>Holmen skog AB</t>
        </is>
      </c>
      <c r="G331" t="n">
        <v>3.7</v>
      </c>
      <c r="H331" t="n">
        <v>0</v>
      </c>
      <c r="I331" t="n">
        <v>0</v>
      </c>
      <c r="J331" t="n">
        <v>1</v>
      </c>
      <c r="K331" t="n">
        <v>0</v>
      </c>
      <c r="L331" t="n">
        <v>0</v>
      </c>
      <c r="M331" t="n">
        <v>0</v>
      </c>
      <c r="N331" t="n">
        <v>0</v>
      </c>
      <c r="O331" t="n">
        <v>1</v>
      </c>
      <c r="P331" t="n">
        <v>0</v>
      </c>
      <c r="Q331" t="n">
        <v>1</v>
      </c>
      <c r="R331" s="2" t="inlineStr">
        <is>
          <t>Svedjenäva</t>
        </is>
      </c>
      <c r="S331">
        <f>HYPERLINK("https://klasma.github.io/Logging_0883/artfynd/A 30386-2024 artfynd.xlsx", "A 30386-2024")</f>
        <v/>
      </c>
      <c r="T331">
        <f>HYPERLINK("https://klasma.github.io/Logging_0883/kartor/A 30386-2024 karta.png", "A 30386-2024")</f>
        <v/>
      </c>
      <c r="V331">
        <f>HYPERLINK("https://klasma.github.io/Logging_0883/klagomål/A 30386-2024 FSC-klagomål.docx", "A 30386-2024")</f>
        <v/>
      </c>
      <c r="W331">
        <f>HYPERLINK("https://klasma.github.io/Logging_0883/klagomålsmail/A 30386-2024 FSC-klagomål mail.docx", "A 30386-2024")</f>
        <v/>
      </c>
      <c r="X331">
        <f>HYPERLINK("https://klasma.github.io/Logging_0883/tillsyn/A 30386-2024 tillsynsbegäran.docx", "A 30386-2024")</f>
        <v/>
      </c>
      <c r="Y331">
        <f>HYPERLINK("https://klasma.github.io/Logging_0883/tillsynsmail/A 30386-2024 tillsynsbegäran mail.docx", "A 30386-2024")</f>
        <v/>
      </c>
    </row>
    <row r="332" ht="15" customHeight="1">
      <c r="A332" t="inlineStr">
        <is>
          <t>A 34357-2024</t>
        </is>
      </c>
      <c r="B332" s="1" t="n">
        <v>45525</v>
      </c>
      <c r="C332" s="1" t="n">
        <v>45833</v>
      </c>
      <c r="D332" t="inlineStr">
        <is>
          <t>KALMAR LÄN</t>
        </is>
      </c>
      <c r="E332" t="inlineStr">
        <is>
          <t>VÄSTERVIK</t>
        </is>
      </c>
      <c r="F332" t="inlineStr">
        <is>
          <t>Övriga Aktiebolag</t>
        </is>
      </c>
      <c r="G332" t="n">
        <v>14</v>
      </c>
      <c r="H332" t="n">
        <v>1</v>
      </c>
      <c r="I332" t="n">
        <v>0</v>
      </c>
      <c r="J332" t="n">
        <v>1</v>
      </c>
      <c r="K332" t="n">
        <v>0</v>
      </c>
      <c r="L332" t="n">
        <v>0</v>
      </c>
      <c r="M332" t="n">
        <v>0</v>
      </c>
      <c r="N332" t="n">
        <v>0</v>
      </c>
      <c r="O332" t="n">
        <v>1</v>
      </c>
      <c r="P332" t="n">
        <v>0</v>
      </c>
      <c r="Q332" t="n">
        <v>1</v>
      </c>
      <c r="R332" s="2" t="inlineStr">
        <is>
          <t>Havsörn</t>
        </is>
      </c>
      <c r="S332">
        <f>HYPERLINK("https://klasma.github.io/Logging_0883/artfynd/A 34357-2024 artfynd.xlsx", "A 34357-2024")</f>
        <v/>
      </c>
      <c r="T332">
        <f>HYPERLINK("https://klasma.github.io/Logging_0883/kartor/A 34357-2024 karta.png", "A 34357-2024")</f>
        <v/>
      </c>
      <c r="V332">
        <f>HYPERLINK("https://klasma.github.io/Logging_0883/klagomål/A 34357-2024 FSC-klagomål.docx", "A 34357-2024")</f>
        <v/>
      </c>
      <c r="W332">
        <f>HYPERLINK("https://klasma.github.io/Logging_0883/klagomålsmail/A 34357-2024 FSC-klagomål mail.docx", "A 34357-2024")</f>
        <v/>
      </c>
      <c r="X332">
        <f>HYPERLINK("https://klasma.github.io/Logging_0883/tillsyn/A 34357-2024 tillsynsbegäran.docx", "A 34357-2024")</f>
        <v/>
      </c>
      <c r="Y332">
        <f>HYPERLINK("https://klasma.github.io/Logging_0883/tillsynsmail/A 34357-2024 tillsynsbegäran mail.docx", "A 34357-2024")</f>
        <v/>
      </c>
      <c r="Z332">
        <f>HYPERLINK("https://klasma.github.io/Logging_0883/fåglar/A 34357-2024 prioriterade fågelarter.docx", "A 34357-2024")</f>
        <v/>
      </c>
    </row>
    <row r="333" ht="15" customHeight="1">
      <c r="A333" t="inlineStr">
        <is>
          <t>A 35028-2024</t>
        </is>
      </c>
      <c r="B333" s="1" t="n">
        <v>45527</v>
      </c>
      <c r="C333" s="1" t="n">
        <v>45833</v>
      </c>
      <c r="D333" t="inlineStr">
        <is>
          <t>KALMAR LÄN</t>
        </is>
      </c>
      <c r="E333" t="inlineStr">
        <is>
          <t>VÄSTERVIK</t>
        </is>
      </c>
      <c r="G333" t="n">
        <v>1.3</v>
      </c>
      <c r="H333" t="n">
        <v>0</v>
      </c>
      <c r="I333" t="n">
        <v>1</v>
      </c>
      <c r="J333" t="n">
        <v>0</v>
      </c>
      <c r="K333" t="n">
        <v>0</v>
      </c>
      <c r="L333" t="n">
        <v>0</v>
      </c>
      <c r="M333" t="n">
        <v>0</v>
      </c>
      <c r="N333" t="n">
        <v>0</v>
      </c>
      <c r="O333" t="n">
        <v>0</v>
      </c>
      <c r="P333" t="n">
        <v>0</v>
      </c>
      <c r="Q333" t="n">
        <v>1</v>
      </c>
      <c r="R333" s="2" t="inlineStr">
        <is>
          <t>Blomkålssvamp</t>
        </is>
      </c>
      <c r="S333">
        <f>HYPERLINK("https://klasma.github.io/Logging_0883/artfynd/A 35028-2024 artfynd.xlsx", "A 35028-2024")</f>
        <v/>
      </c>
      <c r="T333">
        <f>HYPERLINK("https://klasma.github.io/Logging_0883/kartor/A 35028-2024 karta.png", "A 35028-2024")</f>
        <v/>
      </c>
      <c r="V333">
        <f>HYPERLINK("https://klasma.github.io/Logging_0883/klagomål/A 35028-2024 FSC-klagomål.docx", "A 35028-2024")</f>
        <v/>
      </c>
      <c r="W333">
        <f>HYPERLINK("https://klasma.github.io/Logging_0883/klagomålsmail/A 35028-2024 FSC-klagomål mail.docx", "A 35028-2024")</f>
        <v/>
      </c>
      <c r="X333">
        <f>HYPERLINK("https://klasma.github.io/Logging_0883/tillsyn/A 35028-2024 tillsynsbegäran.docx", "A 35028-2024")</f>
        <v/>
      </c>
      <c r="Y333">
        <f>HYPERLINK("https://klasma.github.io/Logging_0883/tillsynsmail/A 35028-2024 tillsynsbegäran mail.docx", "A 35028-2024")</f>
        <v/>
      </c>
    </row>
    <row r="334" ht="15" customHeight="1">
      <c r="A334" t="inlineStr">
        <is>
          <t>A 35959-2024</t>
        </is>
      </c>
      <c r="B334" s="1" t="n">
        <v>45533</v>
      </c>
      <c r="C334" s="1" t="n">
        <v>45833</v>
      </c>
      <c r="D334" t="inlineStr">
        <is>
          <t>KALMAR LÄN</t>
        </is>
      </c>
      <c r="E334" t="inlineStr">
        <is>
          <t>VÄSTERVIK</t>
        </is>
      </c>
      <c r="F334" t="inlineStr">
        <is>
          <t>Holmen skog AB</t>
        </is>
      </c>
      <c r="G334" t="n">
        <v>3.2</v>
      </c>
      <c r="H334" t="n">
        <v>0</v>
      </c>
      <c r="I334" t="n">
        <v>0</v>
      </c>
      <c r="J334" t="n">
        <v>1</v>
      </c>
      <c r="K334" t="n">
        <v>0</v>
      </c>
      <c r="L334" t="n">
        <v>0</v>
      </c>
      <c r="M334" t="n">
        <v>0</v>
      </c>
      <c r="N334" t="n">
        <v>0</v>
      </c>
      <c r="O334" t="n">
        <v>1</v>
      </c>
      <c r="P334" t="n">
        <v>0</v>
      </c>
      <c r="Q334" t="n">
        <v>1</v>
      </c>
      <c r="R334" s="2" t="inlineStr">
        <is>
          <t>Smalsprötad bastardsvärmare</t>
        </is>
      </c>
      <c r="S334">
        <f>HYPERLINK("https://klasma.github.io/Logging_0883/artfynd/A 35959-2024 artfynd.xlsx", "A 35959-2024")</f>
        <v/>
      </c>
      <c r="T334">
        <f>HYPERLINK("https://klasma.github.io/Logging_0883/kartor/A 35959-2024 karta.png", "A 35959-2024")</f>
        <v/>
      </c>
      <c r="V334">
        <f>HYPERLINK("https://klasma.github.io/Logging_0883/klagomål/A 35959-2024 FSC-klagomål.docx", "A 35959-2024")</f>
        <v/>
      </c>
      <c r="W334">
        <f>HYPERLINK("https://klasma.github.io/Logging_0883/klagomålsmail/A 35959-2024 FSC-klagomål mail.docx", "A 35959-2024")</f>
        <v/>
      </c>
      <c r="X334">
        <f>HYPERLINK("https://klasma.github.io/Logging_0883/tillsyn/A 35959-2024 tillsynsbegäran.docx", "A 35959-2024")</f>
        <v/>
      </c>
      <c r="Y334">
        <f>HYPERLINK("https://klasma.github.io/Logging_0883/tillsynsmail/A 35959-2024 tillsynsbegäran mail.docx", "A 35959-2024")</f>
        <v/>
      </c>
    </row>
    <row r="335" ht="15" customHeight="1">
      <c r="A335" t="inlineStr">
        <is>
          <t>A 42811-2024</t>
        </is>
      </c>
      <c r="B335" s="1" t="n">
        <v>45566</v>
      </c>
      <c r="C335" s="1" t="n">
        <v>45833</v>
      </c>
      <c r="D335" t="inlineStr">
        <is>
          <t>KALMAR LÄN</t>
        </is>
      </c>
      <c r="E335" t="inlineStr">
        <is>
          <t>VÄSTERVIK</t>
        </is>
      </c>
      <c r="G335" t="n">
        <v>4.4</v>
      </c>
      <c r="H335" t="n">
        <v>0</v>
      </c>
      <c r="I335" t="n">
        <v>1</v>
      </c>
      <c r="J335" t="n">
        <v>0</v>
      </c>
      <c r="K335" t="n">
        <v>0</v>
      </c>
      <c r="L335" t="n">
        <v>0</v>
      </c>
      <c r="M335" t="n">
        <v>0</v>
      </c>
      <c r="N335" t="n">
        <v>0</v>
      </c>
      <c r="O335" t="n">
        <v>0</v>
      </c>
      <c r="P335" t="n">
        <v>0</v>
      </c>
      <c r="Q335" t="n">
        <v>1</v>
      </c>
      <c r="R335" s="2" t="inlineStr">
        <is>
          <t>Grönpyrola</t>
        </is>
      </c>
      <c r="S335">
        <f>HYPERLINK("https://klasma.github.io/Logging_0883/artfynd/A 42811-2024 artfynd.xlsx", "A 42811-2024")</f>
        <v/>
      </c>
      <c r="T335">
        <f>HYPERLINK("https://klasma.github.io/Logging_0883/kartor/A 42811-2024 karta.png", "A 42811-2024")</f>
        <v/>
      </c>
      <c r="V335">
        <f>HYPERLINK("https://klasma.github.io/Logging_0883/klagomål/A 42811-2024 FSC-klagomål.docx", "A 42811-2024")</f>
        <v/>
      </c>
      <c r="W335">
        <f>HYPERLINK("https://klasma.github.io/Logging_0883/klagomålsmail/A 42811-2024 FSC-klagomål mail.docx", "A 42811-2024")</f>
        <v/>
      </c>
      <c r="X335">
        <f>HYPERLINK("https://klasma.github.io/Logging_0883/tillsyn/A 42811-2024 tillsynsbegäran.docx", "A 42811-2024")</f>
        <v/>
      </c>
      <c r="Y335">
        <f>HYPERLINK("https://klasma.github.io/Logging_0883/tillsynsmail/A 42811-2024 tillsynsbegäran mail.docx", "A 42811-2024")</f>
        <v/>
      </c>
    </row>
    <row r="336" ht="15" customHeight="1">
      <c r="A336" t="inlineStr">
        <is>
          <t>A 44333-2024</t>
        </is>
      </c>
      <c r="B336" s="1" t="n">
        <v>45573</v>
      </c>
      <c r="C336" s="1" t="n">
        <v>45833</v>
      </c>
      <c r="D336" t="inlineStr">
        <is>
          <t>KALMAR LÄN</t>
        </is>
      </c>
      <c r="E336" t="inlineStr">
        <is>
          <t>VÄSTERVIK</t>
        </is>
      </c>
      <c r="F336" t="inlineStr">
        <is>
          <t>Holmen skog AB</t>
        </is>
      </c>
      <c r="G336" t="n">
        <v>4.5</v>
      </c>
      <c r="H336" t="n">
        <v>1</v>
      </c>
      <c r="I336" t="n">
        <v>0</v>
      </c>
      <c r="J336" t="n">
        <v>1</v>
      </c>
      <c r="K336" t="n">
        <v>0</v>
      </c>
      <c r="L336" t="n">
        <v>0</v>
      </c>
      <c r="M336" t="n">
        <v>0</v>
      </c>
      <c r="N336" t="n">
        <v>0</v>
      </c>
      <c r="O336" t="n">
        <v>1</v>
      </c>
      <c r="P336" t="n">
        <v>0</v>
      </c>
      <c r="Q336" t="n">
        <v>1</v>
      </c>
      <c r="R336" s="2" t="inlineStr">
        <is>
          <t>Havsörn</t>
        </is>
      </c>
      <c r="S336">
        <f>HYPERLINK("https://klasma.github.io/Logging_0883/artfynd/A 44333-2024 artfynd.xlsx", "A 44333-2024")</f>
        <v/>
      </c>
      <c r="T336">
        <f>HYPERLINK("https://klasma.github.io/Logging_0883/kartor/A 44333-2024 karta.png", "A 44333-2024")</f>
        <v/>
      </c>
      <c r="V336">
        <f>HYPERLINK("https://klasma.github.io/Logging_0883/klagomål/A 44333-2024 FSC-klagomål.docx", "A 44333-2024")</f>
        <v/>
      </c>
      <c r="W336">
        <f>HYPERLINK("https://klasma.github.io/Logging_0883/klagomålsmail/A 44333-2024 FSC-klagomål mail.docx", "A 44333-2024")</f>
        <v/>
      </c>
      <c r="X336">
        <f>HYPERLINK("https://klasma.github.io/Logging_0883/tillsyn/A 44333-2024 tillsynsbegäran.docx", "A 44333-2024")</f>
        <v/>
      </c>
      <c r="Y336">
        <f>HYPERLINK("https://klasma.github.io/Logging_0883/tillsynsmail/A 44333-2024 tillsynsbegäran mail.docx", "A 44333-2024")</f>
        <v/>
      </c>
      <c r="Z336">
        <f>HYPERLINK("https://klasma.github.io/Logging_0883/fåglar/A 44333-2024 prioriterade fågelarter.docx", "A 44333-2024")</f>
        <v/>
      </c>
    </row>
    <row r="337" ht="15" customHeight="1">
      <c r="A337" t="inlineStr">
        <is>
          <t>A 45462-2024</t>
        </is>
      </c>
      <c r="B337" s="1" t="n">
        <v>45576</v>
      </c>
      <c r="C337" s="1" t="n">
        <v>45833</v>
      </c>
      <c r="D337" t="inlineStr">
        <is>
          <t>KALMAR LÄN</t>
        </is>
      </c>
      <c r="E337" t="inlineStr">
        <is>
          <t>VÄSTERVIK</t>
        </is>
      </c>
      <c r="G337" t="n">
        <v>3.5</v>
      </c>
      <c r="H337" t="n">
        <v>1</v>
      </c>
      <c r="I337" t="n">
        <v>0</v>
      </c>
      <c r="J337" t="n">
        <v>1</v>
      </c>
      <c r="K337" t="n">
        <v>0</v>
      </c>
      <c r="L337" t="n">
        <v>0</v>
      </c>
      <c r="M337" t="n">
        <v>0</v>
      </c>
      <c r="N337" t="n">
        <v>0</v>
      </c>
      <c r="O337" t="n">
        <v>1</v>
      </c>
      <c r="P337" t="n">
        <v>0</v>
      </c>
      <c r="Q337" t="n">
        <v>1</v>
      </c>
      <c r="R337" s="2" t="inlineStr">
        <is>
          <t>Järpe</t>
        </is>
      </c>
      <c r="S337">
        <f>HYPERLINK("https://klasma.github.io/Logging_0883/artfynd/A 45462-2024 artfynd.xlsx", "A 45462-2024")</f>
        <v/>
      </c>
      <c r="T337">
        <f>HYPERLINK("https://klasma.github.io/Logging_0883/kartor/A 45462-2024 karta.png", "A 45462-2024")</f>
        <v/>
      </c>
      <c r="V337">
        <f>HYPERLINK("https://klasma.github.io/Logging_0883/klagomål/A 45462-2024 FSC-klagomål.docx", "A 45462-2024")</f>
        <v/>
      </c>
      <c r="W337">
        <f>HYPERLINK("https://klasma.github.io/Logging_0883/klagomålsmail/A 45462-2024 FSC-klagomål mail.docx", "A 45462-2024")</f>
        <v/>
      </c>
      <c r="X337">
        <f>HYPERLINK("https://klasma.github.io/Logging_0883/tillsyn/A 45462-2024 tillsynsbegäran.docx", "A 45462-2024")</f>
        <v/>
      </c>
      <c r="Y337">
        <f>HYPERLINK("https://klasma.github.io/Logging_0883/tillsynsmail/A 45462-2024 tillsynsbegäran mail.docx", "A 45462-2024")</f>
        <v/>
      </c>
      <c r="Z337">
        <f>HYPERLINK("https://klasma.github.io/Logging_0883/fåglar/A 45462-2024 prioriterade fågelarter.docx", "A 45462-2024")</f>
        <v/>
      </c>
    </row>
    <row r="338" ht="15" customHeight="1">
      <c r="A338" t="inlineStr">
        <is>
          <t>A 45679-2024</t>
        </is>
      </c>
      <c r="B338" s="1" t="n">
        <v>45579</v>
      </c>
      <c r="C338" s="1" t="n">
        <v>45833</v>
      </c>
      <c r="D338" t="inlineStr">
        <is>
          <t>KALMAR LÄN</t>
        </is>
      </c>
      <c r="E338" t="inlineStr">
        <is>
          <t>VÄSTERVIK</t>
        </is>
      </c>
      <c r="F338" t="inlineStr">
        <is>
          <t>Kyrkan</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HYPERLINK("https://klasma.github.io/Logging_0883/artfynd/A 45679-2024 artfynd.xlsx", "A 45679-2024")</f>
        <v/>
      </c>
      <c r="T338">
        <f>HYPERLINK("https://klasma.github.io/Logging_0883/kartor/A 45679-2024 karta.png", "A 45679-2024")</f>
        <v/>
      </c>
      <c r="U338">
        <f>HYPERLINK("https://klasma.github.io/Logging_0883/knärot/A 45679-2024 karta knärot.png", "A 45679-2024")</f>
        <v/>
      </c>
      <c r="V338">
        <f>HYPERLINK("https://klasma.github.io/Logging_0883/klagomål/A 45679-2024 FSC-klagomål.docx", "A 45679-2024")</f>
        <v/>
      </c>
      <c r="W338">
        <f>HYPERLINK("https://klasma.github.io/Logging_0883/klagomålsmail/A 45679-2024 FSC-klagomål mail.docx", "A 45679-2024")</f>
        <v/>
      </c>
      <c r="X338">
        <f>HYPERLINK("https://klasma.github.io/Logging_0883/tillsyn/A 45679-2024 tillsynsbegäran.docx", "A 45679-2024")</f>
        <v/>
      </c>
      <c r="Y338">
        <f>HYPERLINK("https://klasma.github.io/Logging_0883/tillsynsmail/A 45679-2024 tillsynsbegäran mail.docx", "A 45679-2024")</f>
        <v/>
      </c>
    </row>
    <row r="339" ht="15" customHeight="1">
      <c r="A339" t="inlineStr">
        <is>
          <t>A 51488-2024</t>
        </is>
      </c>
      <c r="B339" s="1" t="n">
        <v>45604</v>
      </c>
      <c r="C339" s="1" t="n">
        <v>45833</v>
      </c>
      <c r="D339" t="inlineStr">
        <is>
          <t>KALMAR LÄN</t>
        </is>
      </c>
      <c r="E339" t="inlineStr">
        <is>
          <t>VÄSTERVIK</t>
        </is>
      </c>
      <c r="F339" t="inlineStr">
        <is>
          <t>Övriga Aktiebolag</t>
        </is>
      </c>
      <c r="G339" t="n">
        <v>2.9</v>
      </c>
      <c r="H339" t="n">
        <v>1</v>
      </c>
      <c r="I339" t="n">
        <v>0</v>
      </c>
      <c r="J339" t="n">
        <v>1</v>
      </c>
      <c r="K339" t="n">
        <v>0</v>
      </c>
      <c r="L339" t="n">
        <v>0</v>
      </c>
      <c r="M339" t="n">
        <v>0</v>
      </c>
      <c r="N339" t="n">
        <v>0</v>
      </c>
      <c r="O339" t="n">
        <v>1</v>
      </c>
      <c r="P339" t="n">
        <v>0</v>
      </c>
      <c r="Q339" t="n">
        <v>1</v>
      </c>
      <c r="R339" s="2" t="inlineStr">
        <is>
          <t>Entita</t>
        </is>
      </c>
      <c r="S339">
        <f>HYPERLINK("https://klasma.github.io/Logging_0883/artfynd/A 51488-2024 artfynd.xlsx", "A 51488-2024")</f>
        <v/>
      </c>
      <c r="T339">
        <f>HYPERLINK("https://klasma.github.io/Logging_0883/kartor/A 51488-2024 karta.png", "A 51488-2024")</f>
        <v/>
      </c>
      <c r="V339">
        <f>HYPERLINK("https://klasma.github.io/Logging_0883/klagomål/A 51488-2024 FSC-klagomål.docx", "A 51488-2024")</f>
        <v/>
      </c>
      <c r="W339">
        <f>HYPERLINK("https://klasma.github.io/Logging_0883/klagomålsmail/A 51488-2024 FSC-klagomål mail.docx", "A 51488-2024")</f>
        <v/>
      </c>
      <c r="X339">
        <f>HYPERLINK("https://klasma.github.io/Logging_0883/tillsyn/A 51488-2024 tillsynsbegäran.docx", "A 51488-2024")</f>
        <v/>
      </c>
      <c r="Y339">
        <f>HYPERLINK("https://klasma.github.io/Logging_0883/tillsynsmail/A 51488-2024 tillsynsbegäran mail.docx", "A 51488-2024")</f>
        <v/>
      </c>
      <c r="Z339">
        <f>HYPERLINK("https://klasma.github.io/Logging_0883/fåglar/A 51488-2024 prioriterade fågelarter.docx", "A 51488-2024")</f>
        <v/>
      </c>
    </row>
    <row r="340" ht="15" customHeight="1">
      <c r="A340" t="inlineStr">
        <is>
          <t>A 51514-2024</t>
        </is>
      </c>
      <c r="B340" s="1" t="n">
        <v>45604</v>
      </c>
      <c r="C340" s="1" t="n">
        <v>45833</v>
      </c>
      <c r="D340" t="inlineStr">
        <is>
          <t>KALMAR LÄN</t>
        </is>
      </c>
      <c r="E340" t="inlineStr">
        <is>
          <t>VÄSTERVIK</t>
        </is>
      </c>
      <c r="F340" t="inlineStr">
        <is>
          <t>Övriga Aktiebolag</t>
        </is>
      </c>
      <c r="G340" t="n">
        <v>2.4</v>
      </c>
      <c r="H340" t="n">
        <v>1</v>
      </c>
      <c r="I340" t="n">
        <v>0</v>
      </c>
      <c r="J340" t="n">
        <v>1</v>
      </c>
      <c r="K340" t="n">
        <v>0</v>
      </c>
      <c r="L340" t="n">
        <v>0</v>
      </c>
      <c r="M340" t="n">
        <v>0</v>
      </c>
      <c r="N340" t="n">
        <v>0</v>
      </c>
      <c r="O340" t="n">
        <v>1</v>
      </c>
      <c r="P340" t="n">
        <v>0</v>
      </c>
      <c r="Q340" t="n">
        <v>1</v>
      </c>
      <c r="R340" s="2" t="inlineStr">
        <is>
          <t>Havsörn</t>
        </is>
      </c>
      <c r="S340">
        <f>HYPERLINK("https://klasma.github.io/Logging_0883/artfynd/A 51514-2024 artfynd.xlsx", "A 51514-2024")</f>
        <v/>
      </c>
      <c r="T340">
        <f>HYPERLINK("https://klasma.github.io/Logging_0883/kartor/A 51514-2024 karta.png", "A 51514-2024")</f>
        <v/>
      </c>
      <c r="V340">
        <f>HYPERLINK("https://klasma.github.io/Logging_0883/klagomål/A 51514-2024 FSC-klagomål.docx", "A 51514-2024")</f>
        <v/>
      </c>
      <c r="W340">
        <f>HYPERLINK("https://klasma.github.io/Logging_0883/klagomålsmail/A 51514-2024 FSC-klagomål mail.docx", "A 51514-2024")</f>
        <v/>
      </c>
      <c r="X340">
        <f>HYPERLINK("https://klasma.github.io/Logging_0883/tillsyn/A 51514-2024 tillsynsbegäran.docx", "A 51514-2024")</f>
        <v/>
      </c>
      <c r="Y340">
        <f>HYPERLINK("https://klasma.github.io/Logging_0883/tillsynsmail/A 51514-2024 tillsynsbegäran mail.docx", "A 51514-2024")</f>
        <v/>
      </c>
      <c r="Z340">
        <f>HYPERLINK("https://klasma.github.io/Logging_0883/fåglar/A 51514-2024 prioriterade fågelarter.docx", "A 51514-2024")</f>
        <v/>
      </c>
    </row>
    <row r="341" ht="15" customHeight="1">
      <c r="A341" t="inlineStr">
        <is>
          <t>A 53075-2024</t>
        </is>
      </c>
      <c r="B341" s="1" t="n">
        <v>45611</v>
      </c>
      <c r="C341" s="1" t="n">
        <v>45833</v>
      </c>
      <c r="D341" t="inlineStr">
        <is>
          <t>KALMAR LÄN</t>
        </is>
      </c>
      <c r="E341" t="inlineStr">
        <is>
          <t>VÄSTERVIK</t>
        </is>
      </c>
      <c r="F341" t="inlineStr">
        <is>
          <t>Holmen skog AB</t>
        </is>
      </c>
      <c r="G341" t="n">
        <v>8.5</v>
      </c>
      <c r="H341" t="n">
        <v>1</v>
      </c>
      <c r="I341" t="n">
        <v>0</v>
      </c>
      <c r="J341" t="n">
        <v>1</v>
      </c>
      <c r="K341" t="n">
        <v>0</v>
      </c>
      <c r="L341" t="n">
        <v>0</v>
      </c>
      <c r="M341" t="n">
        <v>0</v>
      </c>
      <c r="N341" t="n">
        <v>0</v>
      </c>
      <c r="O341" t="n">
        <v>1</v>
      </c>
      <c r="P341" t="n">
        <v>0</v>
      </c>
      <c r="Q341" t="n">
        <v>1</v>
      </c>
      <c r="R341" s="2" t="inlineStr">
        <is>
          <t>Talltita</t>
        </is>
      </c>
      <c r="S341">
        <f>HYPERLINK("https://klasma.github.io/Logging_0883/artfynd/A 53075-2024 artfynd.xlsx", "A 53075-2024")</f>
        <v/>
      </c>
      <c r="T341">
        <f>HYPERLINK("https://klasma.github.io/Logging_0883/kartor/A 53075-2024 karta.png", "A 53075-2024")</f>
        <v/>
      </c>
      <c r="V341">
        <f>HYPERLINK("https://klasma.github.io/Logging_0883/klagomål/A 53075-2024 FSC-klagomål.docx", "A 53075-2024")</f>
        <v/>
      </c>
      <c r="W341">
        <f>HYPERLINK("https://klasma.github.io/Logging_0883/klagomålsmail/A 53075-2024 FSC-klagomål mail.docx", "A 53075-2024")</f>
        <v/>
      </c>
      <c r="X341">
        <f>HYPERLINK("https://klasma.github.io/Logging_0883/tillsyn/A 53075-2024 tillsynsbegäran.docx", "A 53075-2024")</f>
        <v/>
      </c>
      <c r="Y341">
        <f>HYPERLINK("https://klasma.github.io/Logging_0883/tillsynsmail/A 53075-2024 tillsynsbegäran mail.docx", "A 53075-2024")</f>
        <v/>
      </c>
      <c r="Z341">
        <f>HYPERLINK("https://klasma.github.io/Logging_0883/fåglar/A 53075-2024 prioriterade fågelarter.docx", "A 53075-2024")</f>
        <v/>
      </c>
    </row>
    <row r="342" ht="15" customHeight="1">
      <c r="A342" t="inlineStr">
        <is>
          <t>A 55360-2024</t>
        </is>
      </c>
      <c r="B342" s="1" t="n">
        <v>45621</v>
      </c>
      <c r="C342" s="1" t="n">
        <v>45833</v>
      </c>
      <c r="D342" t="inlineStr">
        <is>
          <t>KALMAR LÄN</t>
        </is>
      </c>
      <c r="E342" t="inlineStr">
        <is>
          <t>VÄSTERVIK</t>
        </is>
      </c>
      <c r="F342" t="inlineStr">
        <is>
          <t>Sveaskog</t>
        </is>
      </c>
      <c r="G342" t="n">
        <v>11.1</v>
      </c>
      <c r="H342" t="n">
        <v>0</v>
      </c>
      <c r="I342" t="n">
        <v>0</v>
      </c>
      <c r="J342" t="n">
        <v>1</v>
      </c>
      <c r="K342" t="n">
        <v>0</v>
      </c>
      <c r="L342" t="n">
        <v>0</v>
      </c>
      <c r="M342" t="n">
        <v>0</v>
      </c>
      <c r="N342" t="n">
        <v>0</v>
      </c>
      <c r="O342" t="n">
        <v>1</v>
      </c>
      <c r="P342" t="n">
        <v>0</v>
      </c>
      <c r="Q342" t="n">
        <v>1</v>
      </c>
      <c r="R342" s="2" t="inlineStr">
        <is>
          <t>Vårstarr</t>
        </is>
      </c>
      <c r="S342">
        <f>HYPERLINK("https://klasma.github.io/Logging_0883/artfynd/A 55360-2024 artfynd.xlsx", "A 55360-2024")</f>
        <v/>
      </c>
      <c r="T342">
        <f>HYPERLINK("https://klasma.github.io/Logging_0883/kartor/A 55360-2024 karta.png", "A 55360-2024")</f>
        <v/>
      </c>
      <c r="V342">
        <f>HYPERLINK("https://klasma.github.io/Logging_0883/klagomål/A 55360-2024 FSC-klagomål.docx", "A 55360-2024")</f>
        <v/>
      </c>
      <c r="W342">
        <f>HYPERLINK("https://klasma.github.io/Logging_0883/klagomålsmail/A 55360-2024 FSC-klagomål mail.docx", "A 55360-2024")</f>
        <v/>
      </c>
      <c r="X342">
        <f>HYPERLINK("https://klasma.github.io/Logging_0883/tillsyn/A 55360-2024 tillsynsbegäran.docx", "A 55360-2024")</f>
        <v/>
      </c>
      <c r="Y342">
        <f>HYPERLINK("https://klasma.github.io/Logging_0883/tillsynsmail/A 55360-2024 tillsynsbegäran mail.docx", "A 55360-2024")</f>
        <v/>
      </c>
    </row>
    <row r="343" ht="15" customHeight="1">
      <c r="A343" t="inlineStr">
        <is>
          <t>A 55616-2024</t>
        </is>
      </c>
      <c r="B343" s="1" t="n">
        <v>45622</v>
      </c>
      <c r="C343" s="1" t="n">
        <v>45833</v>
      </c>
      <c r="D343" t="inlineStr">
        <is>
          <t>KALMAR LÄN</t>
        </is>
      </c>
      <c r="E343" t="inlineStr">
        <is>
          <t>VÄSTERVIK</t>
        </is>
      </c>
      <c r="G343" t="n">
        <v>0.5</v>
      </c>
      <c r="H343" t="n">
        <v>1</v>
      </c>
      <c r="I343" t="n">
        <v>0</v>
      </c>
      <c r="J343" t="n">
        <v>1</v>
      </c>
      <c r="K343" t="n">
        <v>0</v>
      </c>
      <c r="L343" t="n">
        <v>0</v>
      </c>
      <c r="M343" t="n">
        <v>0</v>
      </c>
      <c r="N343" t="n">
        <v>0</v>
      </c>
      <c r="O343" t="n">
        <v>1</v>
      </c>
      <c r="P343" t="n">
        <v>0</v>
      </c>
      <c r="Q343" t="n">
        <v>1</v>
      </c>
      <c r="R343" s="2" t="inlineStr">
        <is>
          <t>Entita</t>
        </is>
      </c>
      <c r="S343">
        <f>HYPERLINK("https://klasma.github.io/Logging_0883/artfynd/A 55616-2024 artfynd.xlsx", "A 55616-2024")</f>
        <v/>
      </c>
      <c r="T343">
        <f>HYPERLINK("https://klasma.github.io/Logging_0883/kartor/A 55616-2024 karta.png", "A 55616-2024")</f>
        <v/>
      </c>
      <c r="V343">
        <f>HYPERLINK("https://klasma.github.io/Logging_0883/klagomål/A 55616-2024 FSC-klagomål.docx", "A 55616-2024")</f>
        <v/>
      </c>
      <c r="W343">
        <f>HYPERLINK("https://klasma.github.io/Logging_0883/klagomålsmail/A 55616-2024 FSC-klagomål mail.docx", "A 55616-2024")</f>
        <v/>
      </c>
      <c r="X343">
        <f>HYPERLINK("https://klasma.github.io/Logging_0883/tillsyn/A 55616-2024 tillsynsbegäran.docx", "A 55616-2024")</f>
        <v/>
      </c>
      <c r="Y343">
        <f>HYPERLINK("https://klasma.github.io/Logging_0883/tillsynsmail/A 55616-2024 tillsynsbegäran mail.docx", "A 55616-2024")</f>
        <v/>
      </c>
      <c r="Z343">
        <f>HYPERLINK("https://klasma.github.io/Logging_0883/fåglar/A 55616-2024 prioriterade fågelarter.docx", "A 55616-2024")</f>
        <v/>
      </c>
    </row>
    <row r="344" ht="15" customHeight="1">
      <c r="A344" t="inlineStr">
        <is>
          <t>A 56439-2024</t>
        </is>
      </c>
      <c r="B344" s="1" t="n">
        <v>45625</v>
      </c>
      <c r="C344" s="1" t="n">
        <v>45833</v>
      </c>
      <c r="D344" t="inlineStr">
        <is>
          <t>KALMAR LÄN</t>
        </is>
      </c>
      <c r="E344" t="inlineStr">
        <is>
          <t>VÄSTERVIK</t>
        </is>
      </c>
      <c r="F344" t="inlineStr">
        <is>
          <t>Övriga Aktiebolag</t>
        </is>
      </c>
      <c r="G344" t="n">
        <v>3.3</v>
      </c>
      <c r="H344" t="n">
        <v>0</v>
      </c>
      <c r="I344" t="n">
        <v>1</v>
      </c>
      <c r="J344" t="n">
        <v>0</v>
      </c>
      <c r="K344" t="n">
        <v>0</v>
      </c>
      <c r="L344" t="n">
        <v>0</v>
      </c>
      <c r="M344" t="n">
        <v>0</v>
      </c>
      <c r="N344" t="n">
        <v>0</v>
      </c>
      <c r="O344" t="n">
        <v>0</v>
      </c>
      <c r="P344" t="n">
        <v>0</v>
      </c>
      <c r="Q344" t="n">
        <v>1</v>
      </c>
      <c r="R344" s="2" t="inlineStr">
        <is>
          <t>Hasselticka</t>
        </is>
      </c>
      <c r="S344">
        <f>HYPERLINK("https://klasma.github.io/Logging_0883/artfynd/A 56439-2024 artfynd.xlsx", "A 56439-2024")</f>
        <v/>
      </c>
      <c r="T344">
        <f>HYPERLINK("https://klasma.github.io/Logging_0883/kartor/A 56439-2024 karta.png", "A 56439-2024")</f>
        <v/>
      </c>
      <c r="V344">
        <f>HYPERLINK("https://klasma.github.io/Logging_0883/klagomål/A 56439-2024 FSC-klagomål.docx", "A 56439-2024")</f>
        <v/>
      </c>
      <c r="W344">
        <f>HYPERLINK("https://klasma.github.io/Logging_0883/klagomålsmail/A 56439-2024 FSC-klagomål mail.docx", "A 56439-2024")</f>
        <v/>
      </c>
      <c r="X344">
        <f>HYPERLINK("https://klasma.github.io/Logging_0883/tillsyn/A 56439-2024 tillsynsbegäran.docx", "A 56439-2024")</f>
        <v/>
      </c>
      <c r="Y344">
        <f>HYPERLINK("https://klasma.github.io/Logging_0883/tillsynsmail/A 56439-2024 tillsynsbegäran mail.docx", "A 56439-2024")</f>
        <v/>
      </c>
    </row>
    <row r="345" ht="15" customHeight="1">
      <c r="A345" t="inlineStr">
        <is>
          <t>A 59616-2024</t>
        </is>
      </c>
      <c r="B345" s="1" t="n">
        <v>45638</v>
      </c>
      <c r="C345" s="1" t="n">
        <v>45833</v>
      </c>
      <c r="D345" t="inlineStr">
        <is>
          <t>KALMAR LÄN</t>
        </is>
      </c>
      <c r="E345" t="inlineStr">
        <is>
          <t>VÄSTERVIK</t>
        </is>
      </c>
      <c r="G345" t="n">
        <v>2.3</v>
      </c>
      <c r="H345" t="n">
        <v>1</v>
      </c>
      <c r="I345" t="n">
        <v>0</v>
      </c>
      <c r="J345" t="n">
        <v>0</v>
      </c>
      <c r="K345" t="n">
        <v>1</v>
      </c>
      <c r="L345" t="n">
        <v>0</v>
      </c>
      <c r="M345" t="n">
        <v>0</v>
      </c>
      <c r="N345" t="n">
        <v>0</v>
      </c>
      <c r="O345" t="n">
        <v>1</v>
      </c>
      <c r="P345" t="n">
        <v>1</v>
      </c>
      <c r="Q345" t="n">
        <v>1</v>
      </c>
      <c r="R345" s="2" t="inlineStr">
        <is>
          <t>Knärot</t>
        </is>
      </c>
      <c r="S345">
        <f>HYPERLINK("https://klasma.github.io/Logging_0883/artfynd/A 59616-2024 artfynd.xlsx", "A 59616-2024")</f>
        <v/>
      </c>
      <c r="T345">
        <f>HYPERLINK("https://klasma.github.io/Logging_0883/kartor/A 59616-2024 karta.png", "A 59616-2024")</f>
        <v/>
      </c>
      <c r="U345">
        <f>HYPERLINK("https://klasma.github.io/Logging_0883/knärot/A 59616-2024 karta knärot.png", "A 59616-2024")</f>
        <v/>
      </c>
      <c r="V345">
        <f>HYPERLINK("https://klasma.github.io/Logging_0883/klagomål/A 59616-2024 FSC-klagomål.docx", "A 59616-2024")</f>
        <v/>
      </c>
      <c r="W345">
        <f>HYPERLINK("https://klasma.github.io/Logging_0883/klagomålsmail/A 59616-2024 FSC-klagomål mail.docx", "A 59616-2024")</f>
        <v/>
      </c>
      <c r="X345">
        <f>HYPERLINK("https://klasma.github.io/Logging_0883/tillsyn/A 59616-2024 tillsynsbegäran.docx", "A 59616-2024")</f>
        <v/>
      </c>
      <c r="Y345">
        <f>HYPERLINK("https://klasma.github.io/Logging_0883/tillsynsmail/A 59616-2024 tillsynsbegäran mail.docx", "A 59616-2024")</f>
        <v/>
      </c>
    </row>
    <row r="346" ht="15" customHeight="1">
      <c r="A346" t="inlineStr">
        <is>
          <t>A 59351-2024</t>
        </is>
      </c>
      <c r="B346" s="1" t="n">
        <v>45638</v>
      </c>
      <c r="C346" s="1" t="n">
        <v>45833</v>
      </c>
      <c r="D346" t="inlineStr">
        <is>
          <t>KALMAR LÄN</t>
        </is>
      </c>
      <c r="E346" t="inlineStr">
        <is>
          <t>VÄSTERVIK</t>
        </is>
      </c>
      <c r="G346" t="n">
        <v>4</v>
      </c>
      <c r="H346" t="n">
        <v>0</v>
      </c>
      <c r="I346" t="n">
        <v>0</v>
      </c>
      <c r="J346" t="n">
        <v>1</v>
      </c>
      <c r="K346" t="n">
        <v>0</v>
      </c>
      <c r="L346" t="n">
        <v>0</v>
      </c>
      <c r="M346" t="n">
        <v>0</v>
      </c>
      <c r="N346" t="n">
        <v>0</v>
      </c>
      <c r="O346" t="n">
        <v>1</v>
      </c>
      <c r="P346" t="n">
        <v>0</v>
      </c>
      <c r="Q346" t="n">
        <v>1</v>
      </c>
      <c r="R346" s="2" t="inlineStr">
        <is>
          <t>Nubbfibbla</t>
        </is>
      </c>
      <c r="S346">
        <f>HYPERLINK("https://klasma.github.io/Logging_0883/artfynd/A 59351-2024 artfynd.xlsx", "A 59351-2024")</f>
        <v/>
      </c>
      <c r="T346">
        <f>HYPERLINK("https://klasma.github.io/Logging_0883/kartor/A 59351-2024 karta.png", "A 59351-2024")</f>
        <v/>
      </c>
      <c r="V346">
        <f>HYPERLINK("https://klasma.github.io/Logging_0883/klagomål/A 59351-2024 FSC-klagomål.docx", "A 59351-2024")</f>
        <v/>
      </c>
      <c r="W346">
        <f>HYPERLINK("https://klasma.github.io/Logging_0883/klagomålsmail/A 59351-2024 FSC-klagomål mail.docx", "A 59351-2024")</f>
        <v/>
      </c>
      <c r="X346">
        <f>HYPERLINK("https://klasma.github.io/Logging_0883/tillsyn/A 59351-2024 tillsynsbegäran.docx", "A 59351-2024")</f>
        <v/>
      </c>
      <c r="Y346">
        <f>HYPERLINK("https://klasma.github.io/Logging_0883/tillsynsmail/A 59351-2024 tillsynsbegäran mail.docx", "A 59351-2024")</f>
        <v/>
      </c>
    </row>
    <row r="347" ht="15" customHeight="1">
      <c r="A347" t="inlineStr">
        <is>
          <t>A 961-2025</t>
        </is>
      </c>
      <c r="B347" s="1" t="n">
        <v>45666</v>
      </c>
      <c r="C347" s="1" t="n">
        <v>45833</v>
      </c>
      <c r="D347" t="inlineStr">
        <is>
          <t>KALMAR LÄN</t>
        </is>
      </c>
      <c r="E347" t="inlineStr">
        <is>
          <t>VÄSTERVIK</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HYPERLINK("https://klasma.github.io/Logging_0883/artfynd/A 961-2025 artfynd.xlsx", "A 961-2025")</f>
        <v/>
      </c>
      <c r="T347">
        <f>HYPERLINK("https://klasma.github.io/Logging_0883/kartor/A 961-2025 karta.png", "A 961-2025")</f>
        <v/>
      </c>
      <c r="U347">
        <f>HYPERLINK("https://klasma.github.io/Logging_0883/knärot/A 961-2025 karta knärot.png", "A 961-2025")</f>
        <v/>
      </c>
      <c r="V347">
        <f>HYPERLINK("https://klasma.github.io/Logging_0883/klagomål/A 961-2025 FSC-klagomål.docx", "A 961-2025")</f>
        <v/>
      </c>
      <c r="W347">
        <f>HYPERLINK("https://klasma.github.io/Logging_0883/klagomålsmail/A 961-2025 FSC-klagomål mail.docx", "A 961-2025")</f>
        <v/>
      </c>
      <c r="X347">
        <f>HYPERLINK("https://klasma.github.io/Logging_0883/tillsyn/A 961-2025 tillsynsbegäran.docx", "A 961-2025")</f>
        <v/>
      </c>
      <c r="Y347">
        <f>HYPERLINK("https://klasma.github.io/Logging_0883/tillsynsmail/A 961-2025 tillsynsbegäran mail.docx", "A 961-2025")</f>
        <v/>
      </c>
    </row>
    <row r="348" ht="15" customHeight="1">
      <c r="A348" t="inlineStr">
        <is>
          <t>A 1775-2025</t>
        </is>
      </c>
      <c r="B348" s="1" t="n">
        <v>45671</v>
      </c>
      <c r="C348" s="1" t="n">
        <v>45833</v>
      </c>
      <c r="D348" t="inlineStr">
        <is>
          <t>KALMAR LÄN</t>
        </is>
      </c>
      <c r="E348" t="inlineStr">
        <is>
          <t>VÄSTERVIK</t>
        </is>
      </c>
      <c r="G348" t="n">
        <v>0.9</v>
      </c>
      <c r="H348" t="n">
        <v>1</v>
      </c>
      <c r="I348" t="n">
        <v>0</v>
      </c>
      <c r="J348" t="n">
        <v>0</v>
      </c>
      <c r="K348" t="n">
        <v>0</v>
      </c>
      <c r="L348" t="n">
        <v>0</v>
      </c>
      <c r="M348" t="n">
        <v>0</v>
      </c>
      <c r="N348" t="n">
        <v>0</v>
      </c>
      <c r="O348" t="n">
        <v>0</v>
      </c>
      <c r="P348" t="n">
        <v>0</v>
      </c>
      <c r="Q348" t="n">
        <v>1</v>
      </c>
      <c r="R348" s="2" t="inlineStr">
        <is>
          <t>Kungsfågel</t>
        </is>
      </c>
      <c r="S348">
        <f>HYPERLINK("https://klasma.github.io/Logging_0883/artfynd/A 1775-2025 artfynd.xlsx", "A 1775-2025")</f>
        <v/>
      </c>
      <c r="T348">
        <f>HYPERLINK("https://klasma.github.io/Logging_0883/kartor/A 1775-2025 karta.png", "A 1775-2025")</f>
        <v/>
      </c>
      <c r="V348">
        <f>HYPERLINK("https://klasma.github.io/Logging_0883/klagomål/A 1775-2025 FSC-klagomål.docx", "A 1775-2025")</f>
        <v/>
      </c>
      <c r="W348">
        <f>HYPERLINK("https://klasma.github.io/Logging_0883/klagomålsmail/A 1775-2025 FSC-klagomål mail.docx", "A 1775-2025")</f>
        <v/>
      </c>
      <c r="X348">
        <f>HYPERLINK("https://klasma.github.io/Logging_0883/tillsyn/A 1775-2025 tillsynsbegäran.docx", "A 1775-2025")</f>
        <v/>
      </c>
      <c r="Y348">
        <f>HYPERLINK("https://klasma.github.io/Logging_0883/tillsynsmail/A 1775-2025 tillsynsbegäran mail.docx", "A 1775-2025")</f>
        <v/>
      </c>
      <c r="Z348">
        <f>HYPERLINK("https://klasma.github.io/Logging_0883/fåglar/A 1775-2025 prioriterade fågelarter.docx", "A 1775-2025")</f>
        <v/>
      </c>
    </row>
    <row r="349" ht="15" customHeight="1">
      <c r="A349" t="inlineStr">
        <is>
          <t>A 2328-2025</t>
        </is>
      </c>
      <c r="B349" s="1" t="n">
        <v>45673</v>
      </c>
      <c r="C349" s="1" t="n">
        <v>45833</v>
      </c>
      <c r="D349" t="inlineStr">
        <is>
          <t>KALMAR LÄN</t>
        </is>
      </c>
      <c r="E349" t="inlineStr">
        <is>
          <t>VÄSTERVIK</t>
        </is>
      </c>
      <c r="F349" t="inlineStr">
        <is>
          <t>Sveaskog</t>
        </is>
      </c>
      <c r="G349" t="n">
        <v>1.4</v>
      </c>
      <c r="H349" t="n">
        <v>1</v>
      </c>
      <c r="I349" t="n">
        <v>0</v>
      </c>
      <c r="J349" t="n">
        <v>0</v>
      </c>
      <c r="K349" t="n">
        <v>0</v>
      </c>
      <c r="L349" t="n">
        <v>0</v>
      </c>
      <c r="M349" t="n">
        <v>0</v>
      </c>
      <c r="N349" t="n">
        <v>0</v>
      </c>
      <c r="O349" t="n">
        <v>0</v>
      </c>
      <c r="P349" t="n">
        <v>0</v>
      </c>
      <c r="Q349" t="n">
        <v>1</v>
      </c>
      <c r="R349" s="2" t="inlineStr">
        <is>
          <t>Mattlummer</t>
        </is>
      </c>
      <c r="S349">
        <f>HYPERLINK("https://klasma.github.io/Logging_0883/artfynd/A 2328-2025 artfynd.xlsx", "A 2328-2025")</f>
        <v/>
      </c>
      <c r="T349">
        <f>HYPERLINK("https://klasma.github.io/Logging_0883/kartor/A 2328-2025 karta.png", "A 2328-2025")</f>
        <v/>
      </c>
      <c r="V349">
        <f>HYPERLINK("https://klasma.github.io/Logging_0883/klagomål/A 2328-2025 FSC-klagomål.docx", "A 2328-2025")</f>
        <v/>
      </c>
      <c r="W349">
        <f>HYPERLINK("https://klasma.github.io/Logging_0883/klagomålsmail/A 2328-2025 FSC-klagomål mail.docx", "A 2328-2025")</f>
        <v/>
      </c>
      <c r="X349">
        <f>HYPERLINK("https://klasma.github.io/Logging_0883/tillsyn/A 2328-2025 tillsynsbegäran.docx", "A 2328-2025")</f>
        <v/>
      </c>
      <c r="Y349">
        <f>HYPERLINK("https://klasma.github.io/Logging_0883/tillsynsmail/A 2328-2025 tillsynsbegäran mail.docx", "A 2328-2025")</f>
        <v/>
      </c>
    </row>
    <row r="350" ht="15" customHeight="1">
      <c r="A350" t="inlineStr">
        <is>
          <t>A 3112-2025</t>
        </is>
      </c>
      <c r="B350" s="1" t="n">
        <v>45678</v>
      </c>
      <c r="C350" s="1" t="n">
        <v>45833</v>
      </c>
      <c r="D350" t="inlineStr">
        <is>
          <t>KALMAR LÄN</t>
        </is>
      </c>
      <c r="E350" t="inlineStr">
        <is>
          <t>VÄSTERVIK</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HYPERLINK("https://klasma.github.io/Logging_0883/artfynd/A 3112-2025 artfynd.xlsx", "A 3112-2025")</f>
        <v/>
      </c>
      <c r="T350">
        <f>HYPERLINK("https://klasma.github.io/Logging_0883/kartor/A 3112-2025 karta.png", "A 3112-2025")</f>
        <v/>
      </c>
      <c r="V350">
        <f>HYPERLINK("https://klasma.github.io/Logging_0883/klagomål/A 3112-2025 FSC-klagomål.docx", "A 3112-2025")</f>
        <v/>
      </c>
      <c r="W350">
        <f>HYPERLINK("https://klasma.github.io/Logging_0883/klagomålsmail/A 3112-2025 FSC-klagomål mail.docx", "A 3112-2025")</f>
        <v/>
      </c>
      <c r="X350">
        <f>HYPERLINK("https://klasma.github.io/Logging_0883/tillsyn/A 3112-2025 tillsynsbegäran.docx", "A 3112-2025")</f>
        <v/>
      </c>
      <c r="Y350">
        <f>HYPERLINK("https://klasma.github.io/Logging_0883/tillsynsmail/A 3112-2025 tillsynsbegäran mail.docx", "A 3112-2025")</f>
        <v/>
      </c>
    </row>
    <row r="351" ht="15" customHeight="1">
      <c r="A351" t="inlineStr">
        <is>
          <t>A 3057-2025</t>
        </is>
      </c>
      <c r="B351" s="1" t="n">
        <v>45678</v>
      </c>
      <c r="C351" s="1" t="n">
        <v>45833</v>
      </c>
      <c r="D351" t="inlineStr">
        <is>
          <t>KALMAR LÄN</t>
        </is>
      </c>
      <c r="E351" t="inlineStr">
        <is>
          <t>VÄSTERVIK</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HYPERLINK("https://klasma.github.io/Logging_0883/artfynd/A 3057-2025 artfynd.xlsx", "A 3057-2025")</f>
        <v/>
      </c>
      <c r="T351">
        <f>HYPERLINK("https://klasma.github.io/Logging_0883/kartor/A 3057-2025 karta.png", "A 3057-2025")</f>
        <v/>
      </c>
      <c r="U351">
        <f>HYPERLINK("https://klasma.github.io/Logging_0883/knärot/A 3057-2025 karta knärot.png", "A 3057-2025")</f>
        <v/>
      </c>
      <c r="V351">
        <f>HYPERLINK("https://klasma.github.io/Logging_0883/klagomål/A 3057-2025 FSC-klagomål.docx", "A 3057-2025")</f>
        <v/>
      </c>
      <c r="W351">
        <f>HYPERLINK("https://klasma.github.io/Logging_0883/klagomålsmail/A 3057-2025 FSC-klagomål mail.docx", "A 3057-2025")</f>
        <v/>
      </c>
      <c r="X351">
        <f>HYPERLINK("https://klasma.github.io/Logging_0883/tillsyn/A 3057-2025 tillsynsbegäran.docx", "A 3057-2025")</f>
        <v/>
      </c>
      <c r="Y351">
        <f>HYPERLINK("https://klasma.github.io/Logging_0883/tillsynsmail/A 3057-2025 tillsynsbegäran mail.docx", "A 3057-2025")</f>
        <v/>
      </c>
    </row>
    <row r="352" ht="15" customHeight="1">
      <c r="A352" t="inlineStr">
        <is>
          <t>A 3673-2025</t>
        </is>
      </c>
      <c r="B352" s="1" t="n">
        <v>45681</v>
      </c>
      <c r="C352" s="1" t="n">
        <v>45833</v>
      </c>
      <c r="D352" t="inlineStr">
        <is>
          <t>KALMAR LÄN</t>
        </is>
      </c>
      <c r="E352" t="inlineStr">
        <is>
          <t>VÄSTERVIK</t>
        </is>
      </c>
      <c r="G352" t="n">
        <v>1.1</v>
      </c>
      <c r="H352" t="n">
        <v>0</v>
      </c>
      <c r="I352" t="n">
        <v>1</v>
      </c>
      <c r="J352" t="n">
        <v>0</v>
      </c>
      <c r="K352" t="n">
        <v>0</v>
      </c>
      <c r="L352" t="n">
        <v>0</v>
      </c>
      <c r="M352" t="n">
        <v>0</v>
      </c>
      <c r="N352" t="n">
        <v>0</v>
      </c>
      <c r="O352" t="n">
        <v>0</v>
      </c>
      <c r="P352" t="n">
        <v>0</v>
      </c>
      <c r="Q352" t="n">
        <v>1</v>
      </c>
      <c r="R352" s="2" t="inlineStr">
        <is>
          <t>Blodticka</t>
        </is>
      </c>
      <c r="S352">
        <f>HYPERLINK("https://klasma.github.io/Logging_0883/artfynd/A 3673-2025 artfynd.xlsx", "A 3673-2025")</f>
        <v/>
      </c>
      <c r="T352">
        <f>HYPERLINK("https://klasma.github.io/Logging_0883/kartor/A 3673-2025 karta.png", "A 3673-2025")</f>
        <v/>
      </c>
      <c r="V352">
        <f>HYPERLINK("https://klasma.github.io/Logging_0883/klagomål/A 3673-2025 FSC-klagomål.docx", "A 3673-2025")</f>
        <v/>
      </c>
      <c r="W352">
        <f>HYPERLINK("https://klasma.github.io/Logging_0883/klagomålsmail/A 3673-2025 FSC-klagomål mail.docx", "A 3673-2025")</f>
        <v/>
      </c>
      <c r="X352">
        <f>HYPERLINK("https://klasma.github.io/Logging_0883/tillsyn/A 3673-2025 tillsynsbegäran.docx", "A 3673-2025")</f>
        <v/>
      </c>
      <c r="Y352">
        <f>HYPERLINK("https://klasma.github.io/Logging_0883/tillsynsmail/A 3673-2025 tillsynsbegäran mail.docx", "A 3673-2025")</f>
        <v/>
      </c>
    </row>
    <row r="353" ht="15" customHeight="1">
      <c r="A353" t="inlineStr">
        <is>
          <t>A 3600-2025</t>
        </is>
      </c>
      <c r="B353" s="1" t="n">
        <v>45681</v>
      </c>
      <c r="C353" s="1" t="n">
        <v>45833</v>
      </c>
      <c r="D353" t="inlineStr">
        <is>
          <t>KALMAR LÄN</t>
        </is>
      </c>
      <c r="E353" t="inlineStr">
        <is>
          <t>VÄSTERVIK</t>
        </is>
      </c>
      <c r="G353" t="n">
        <v>1</v>
      </c>
      <c r="H353" t="n">
        <v>1</v>
      </c>
      <c r="I353" t="n">
        <v>0</v>
      </c>
      <c r="J353" t="n">
        <v>1</v>
      </c>
      <c r="K353" t="n">
        <v>0</v>
      </c>
      <c r="L353" t="n">
        <v>0</v>
      </c>
      <c r="M353" t="n">
        <v>0</v>
      </c>
      <c r="N353" t="n">
        <v>0</v>
      </c>
      <c r="O353" t="n">
        <v>1</v>
      </c>
      <c r="P353" t="n">
        <v>0</v>
      </c>
      <c r="Q353" t="n">
        <v>1</v>
      </c>
      <c r="R353" s="2" t="inlineStr">
        <is>
          <t>Spillkråka</t>
        </is>
      </c>
      <c r="S353">
        <f>HYPERLINK("https://klasma.github.io/Logging_0883/artfynd/A 3600-2025 artfynd.xlsx", "A 3600-2025")</f>
        <v/>
      </c>
      <c r="T353">
        <f>HYPERLINK("https://klasma.github.io/Logging_0883/kartor/A 3600-2025 karta.png", "A 3600-2025")</f>
        <v/>
      </c>
      <c r="V353">
        <f>HYPERLINK("https://klasma.github.io/Logging_0883/klagomål/A 3600-2025 FSC-klagomål.docx", "A 3600-2025")</f>
        <v/>
      </c>
      <c r="W353">
        <f>HYPERLINK("https://klasma.github.io/Logging_0883/klagomålsmail/A 3600-2025 FSC-klagomål mail.docx", "A 3600-2025")</f>
        <v/>
      </c>
      <c r="X353">
        <f>HYPERLINK("https://klasma.github.io/Logging_0883/tillsyn/A 3600-2025 tillsynsbegäran.docx", "A 3600-2025")</f>
        <v/>
      </c>
      <c r="Y353">
        <f>HYPERLINK("https://klasma.github.io/Logging_0883/tillsynsmail/A 3600-2025 tillsynsbegäran mail.docx", "A 3600-2025")</f>
        <v/>
      </c>
      <c r="Z353">
        <f>HYPERLINK("https://klasma.github.io/Logging_0883/fåglar/A 3600-2025 prioriterade fågelarter.docx", "A 3600-2025")</f>
        <v/>
      </c>
    </row>
    <row r="354" ht="15" customHeight="1">
      <c r="A354" t="inlineStr">
        <is>
          <t>A 4750-2025</t>
        </is>
      </c>
      <c r="B354" s="1" t="n">
        <v>45688</v>
      </c>
      <c r="C354" s="1" t="n">
        <v>45833</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45833</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45833</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45833</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45833</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45833</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45833</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45833</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45833</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45833</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45833</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45833</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45833</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45833</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45833</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45833</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45833</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45833</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45833</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45833</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45833</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45833</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45833</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45833</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45833</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45833</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45833</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45833</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45833</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45833</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45833</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45833</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45833</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45833</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45833</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45833</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45833</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45833</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45833</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45833</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45833</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45833</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45833</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45833</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45833</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45833</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45833</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45833</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45833</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45833</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45833</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45833</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45833</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45833</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45833</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45833</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45833</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45833</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45833</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45833</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45833</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45833</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45833</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45833</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45833</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45833</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45833</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45833</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45833</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45833</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45833</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45833</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45833</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45833</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45833</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45833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45833</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45833</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45833</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45833</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45833</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45833</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45833</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45833</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45833</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45833</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45833</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45833</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45833</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45833</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45833</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45833</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45833</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45833</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45833</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45833</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45833</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45833</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45833</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45833</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45833</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45833</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45833</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45833</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45833</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45833</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45833</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45833</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45833</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45833</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45833</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45833</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45833</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45833</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45833</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45833</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45833</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45833</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45833</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45833</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45833</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45833</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45833</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45833</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45833</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45833</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45833</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45833</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45833</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45833</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45833</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45833</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45833</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45833</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45833</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45833</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45833</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45833</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45833</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45833</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45833</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45833</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45833</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45833</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45833</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45833</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45833</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45833</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45833</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45833</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45833</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45833</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45833</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45833</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45833</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45833</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45833</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45833</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45833</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45833</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45833</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45833</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45833</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45833</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45833</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45833</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45833</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45833</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45833</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45833</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45833</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45833</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45833</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45833</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45833</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45833</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45833</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45833</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45833</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45833</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45833</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45833</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45833</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45833</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45833</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45833</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45833</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45833</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45833</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45833</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45833</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45833</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45833</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45833</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45833</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45833</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45833</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45833</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45833</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45833</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45833</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45833</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45833</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45833</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45833</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45833</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45833</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45833</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45833</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45833</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45833</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45833</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45833</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45833</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45833</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45833</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45833</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45833</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45833</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45833</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45833</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45833</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45833</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45833</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45833</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45833</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45833</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45833</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45833</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45833</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45833</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45833</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45833</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45833</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45833</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45833</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45833</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45833</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45833</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45833</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45833</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45833</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45833</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45833</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45833</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45833</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45833</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45833</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45833</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45833</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45833</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45833</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45833</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45833</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45833</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45833</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45833</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45833</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45833</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45833</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45833</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45833</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45833</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45833</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45833</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45833</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45833</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45833</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45833</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45833</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45833</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45833</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45833</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45833</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45833</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45833</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45833</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45833</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45833</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45833</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45833</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45833</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45833</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45833</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45833</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45833</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45833</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45833</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45833</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45833</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45833</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45833</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45833</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45833</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45833</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45833</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45833</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45833</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45833</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45833</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45833</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45833</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45833</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45833</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45833</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45833</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45833</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45833</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45833</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45833</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45833</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45833</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45833</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45833</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45833</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45833</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45833</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45833</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45833</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45833</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45833</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45833</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45833</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45833</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45833</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45833</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45833</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45833</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45833</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45833</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45833</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45833</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45833</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45833</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45833</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45833</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45833</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45833</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45833</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45833</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45833</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45833</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45833</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45833</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45833</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45833</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45833</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45833</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45833</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45833</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45833</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45833</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45833</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45833</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45833</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45833</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45833</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45833</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45833</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45833</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45833</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45833</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45833</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45833</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45833</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45833</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45833</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45833</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45833</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45833</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45833</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45833</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45833</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45833</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45833</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45833</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45833</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45833</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45833</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45833</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45833</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45833</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45833</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45833</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45833</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45833</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45833</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45833</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45833</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45833</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45833</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45833</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45833</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45833</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45833</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45833</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45833</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45833</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45833</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45833</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45833</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45833</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45833</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45833</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45833</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45833</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45833</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45833</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45833</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45833</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45833</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45833</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45833</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45833</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45833</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45833</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45833</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45833</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45833</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45833</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45833</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45833</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45833</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45833</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45833</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45833</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45833</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45833</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45833</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45833</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45833</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45833</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45833</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45833</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45833</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45833</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45833</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45833</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45833</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45833</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45833</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45833</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45833</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45833</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45833</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45833</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45833</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45833</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45833</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45833</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45833</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45833</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45833</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45833</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45833</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45833</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45833</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45833</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45833</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45833</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45833</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45833</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45833</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45833</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45833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45833</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45833</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45833</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45833</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45833</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45833</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45833</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45833</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45833</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45833</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45833</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45833</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45833</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45833</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45833</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45833</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45833</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45833</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45833</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45833</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45833</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45833</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45833</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45833</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45833</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45833</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45833</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45833</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45833</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45833</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45833</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45833</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45833</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45833</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45833</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45833</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45833</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45833</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45833</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45833</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45833</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45833</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45833</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45833</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45833</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45833</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45833</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45833</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45833</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45833</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45833</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45833</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45833</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45833</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45833</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45833</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45833</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45833</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45833</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45833</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45833</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45833</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45833</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45833</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45833</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45833</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45833</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45833</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45833</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45833</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45833</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45833</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45833</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45833</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45833</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45833</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45833</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45833</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45833</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45833</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45833</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45833</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45833</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45833</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45833</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45833</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45833</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45833</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45833</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45833</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45833</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45833</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45833</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45833</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45833</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45833</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45833</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45833</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45833</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45833</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45833</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45833</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45833</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45833</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45833</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45833</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45833</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45833</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45833</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45833</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45833</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45833</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45833</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45833</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45833</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45833</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45833</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45833</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45833</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45833</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45833</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45833</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45833</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45833</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45833</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45833</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45833</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45833</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45833</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45833</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45833</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45833</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45833</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45833</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45833</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45833</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45833</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45833</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45833</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45833</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45833</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45833</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45833</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45833</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45833</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45833</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45833</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45833</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45833</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45833</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45833</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45833</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45833</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45833</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45833</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45833</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45833</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45833</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45833</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45833</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45833</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45833</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45833</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45833</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45833</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45833</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45833</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45833</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45833</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45833</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45833</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45833</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45833</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45833</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45833</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45833</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45833</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45833</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45833</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45833</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45833</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45833</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45833</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45833</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45833</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45833</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45833</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45833</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45833</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45833</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45833</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45833</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45833</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45833</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45833</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45833</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45833</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45833</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45833</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45833</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45833</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45833</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45833</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45833</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45833</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45833</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45833</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45833</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45833</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45833</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45833</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45833</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45833</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45833</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45833</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45833</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45833</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45833</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45833</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45833</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45833</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45833</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45833</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45833</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45833</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45833</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45833</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45833</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45833</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45833</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45833</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45833</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45833</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45833</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45833</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45833</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45833</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45833</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45833</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45833</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45833</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45833</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45833</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45833</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45833</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45833</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45833</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45833</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45833</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45833</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45833</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45833</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45833</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45833</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45833</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45833</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45833</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45833</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45833</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45833</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45833</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45833</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45833</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45833</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45833</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45833</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45833</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45833</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45833</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45833</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45833</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45833</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45833</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45833</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45833</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45833</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45833</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45833</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45833</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45833</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45833</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45833</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45833</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45833</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45833</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45833</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45833</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45833</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45833</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45833</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45833</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45833</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45833</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45833</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45833</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45833</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45833</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45833</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45833</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45833</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45833</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45833</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45833</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45833</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45833</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45833</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45833</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45833</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45833</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45833</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45833</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45833</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45833</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45833</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45833</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45833</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45833</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45833</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45833</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45833</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45833</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45833</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45833</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45833</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45833</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45833</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45833</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45833</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45833</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45833</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45833</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45833</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45833</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45833</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45833</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45833</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45833</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45833</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45833</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45833</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45833</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45833</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45833</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45833</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45833</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45833</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45833</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45833</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45833</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45833</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45833</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45833</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45833</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45833</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45833</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45833</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45833</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45833</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45833</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45833</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45833</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45833</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45833</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45833</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45833</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45833</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45833</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45833</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45833</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45833</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45833</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45833</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45833</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45833</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45833</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45833</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45833</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45833</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45833</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45833</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45833</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45833</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45833</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45833</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45833</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45833</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45833</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45833</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45833</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45833</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45833</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45833</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45833</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45833</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45833</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45833</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45833</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45833</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45833</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45833</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45833</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45833</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45833</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45833</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45833</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45833</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45833</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45833</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45833</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45833</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45833</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45833</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45833</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45833</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45833</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45833</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45833</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45833</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45833</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45833</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45833</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45833</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45833</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45833</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45833</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45833</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45833</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45833</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45833</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45833</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45833</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45833</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45833</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45833</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45833</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45833</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45833</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45833</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45833</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45833</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45833</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45833</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45833</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45833</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45833</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45833</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45833</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45833</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45833</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45833</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45833</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45833</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45833</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45833</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45833</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45833</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45833</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45833</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45833</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45833</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45833</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45833</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45833</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45833</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45833</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45833</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45833</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45833</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45833</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45833</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45833</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45833</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45833</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45833</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45833</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45833</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45833</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45833</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45833</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45833</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45833</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45833</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45833</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45833</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45833</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45833</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45833</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45833</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45833</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45833</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45833</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45833</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45833</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45833</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45833</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45833</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45833</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45833</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45833</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45833</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45833</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45833</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45833</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45833</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45833</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45833</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45833</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45833</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45833</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45833</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45833</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45833</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45833</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45833</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45833</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45833</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45833</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45833</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45833</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45833</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45833</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45833</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45833</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45833</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45833</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45833</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45833</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45833</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45833</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45833</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45833</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45833</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45833</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45833</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45833</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45833</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45833</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45833</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45833</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45833</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45833</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45833</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45833</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45833</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45833</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45833</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45833</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45833</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45833</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45833</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45833</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45833</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45833</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45833</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45833</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45833</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45833</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45833</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45833</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45833</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45833</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45833</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45833</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45833</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45833</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45833</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45833</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45833</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45833</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45833</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45833</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45833</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45833</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45833</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45833</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45833</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45833</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45833</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45833</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45833</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45833</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45833</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45833</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45833</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45833</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45833</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45833</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45833</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45833</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45833</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45833</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45833</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45833</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45833</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45833</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45833</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45833</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45833</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45833</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45833</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45833</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45833</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45833</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45833</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45833</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45833</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45833</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45833</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45833</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45833</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45833</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45833</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45833</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45833</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45833</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45833</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45833</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45833</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45833</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45833</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45833</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45833</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45833</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45833</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45833</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45833</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45833</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45833</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45833</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45833</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45833</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45833</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45833</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45833</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45833</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45833</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45833</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45833</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45833</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45833</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45833</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45833</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45833</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45833</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45833</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45833</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45833</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45833</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45833</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45833</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45833</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45833</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45833</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45833</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45833</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45833</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45833</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45833</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45833</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45833</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45833</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45833</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45833</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45833</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45833</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45833</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45833</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45833</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45833</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45833</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45833</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45833</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45833</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45833</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45833</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45833</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45833</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45833</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45833</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45833</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45833</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45833</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45833</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45833</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45833</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45833</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45833</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45833</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45833</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45833</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45833</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45833</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45833</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45833</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45833</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45833</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45833</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45833</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45833</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45833</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45833</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45833</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45833</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45833</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45833</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45833</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45833</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45833</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45833</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45833</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45833</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45833</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45833</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45833</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45833</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45833</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45833</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45833</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45833</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45833</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45833</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45833</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45833</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45833</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45833</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45833</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45833</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45833</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45833</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45833</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45833</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45833</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45833</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45833</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45833</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45833</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45833</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45833</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45833</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45833</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45833</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45833</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45833</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45833</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45833</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45833</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45833</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45833</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45833</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45833</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45833</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45833</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45833</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45833</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45833</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45833</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45833</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45833</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45833</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45833</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45833</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45833</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45833</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45833</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45833</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45833</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45833</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45833</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45833</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45833</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45833</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45833</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45833</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45833</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45833</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45833</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45833</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45833</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45833</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45833</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45833</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45833</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45833</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45833</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45833</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45833</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45833</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45833</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45833</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45833</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45833</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45833</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45833</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45833</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45833</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45833</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45833</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45833</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45833</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45833</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45833</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45833</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45833</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45833</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45833</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45833</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45833</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45833</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45833</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45833</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45833</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45833</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45833</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45833</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45833</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45833</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45833</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45833</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45833</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45833</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45833</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45833</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45833</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45833</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45833</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45833</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45833</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45833</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45833</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45833</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45833</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45833</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45833</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45833</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45833</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45833</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45833</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45833</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45833</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45833</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45833</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45833</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45833</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45833</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45833</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45833</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45833</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45833</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45833</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45833</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45833</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45833</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45833</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45833</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45833</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45833</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45833</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45833</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45833</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45833</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45833</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45833</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45833</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45833</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45833</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45833</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45833</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45833</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45833</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45833</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45833</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45833</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45833</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45833</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45833</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45833</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45833</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45833</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45833</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45833</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45833</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45833</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45833</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45833</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45833</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45833</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45833</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45833</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45833</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45833</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45833</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45833</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45833</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45833</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45833</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45833</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45833</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45833</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45833</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45833</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45833</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45833</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45833</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45833</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45833</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45833</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45833</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45833</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45833</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45833</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45833</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45833</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45833</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45833</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45833</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45833</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45833</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45833</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45833</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45833</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45833</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45833</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45833</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45833</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45833</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45833</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45833</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45833</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45833</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45833</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45833</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45833</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45833</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45833</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45833</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45833</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45833</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45833</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45833</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45833</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45833</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45833</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45833</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45833</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45833</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45833</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45833</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45833</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45833</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45833</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45833</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45833</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45833</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45833</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45833</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45833</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45833</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45833</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45833</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45833</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45833</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45833</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45833</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45833</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45833</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45833</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45833</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45833</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45833</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45833</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45833</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45833</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45833</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45833</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45833</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45833</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45833</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45833</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45833</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45833</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45833</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45833</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45833</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45833</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45833</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45833</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45833</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45833</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45833</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45833</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45833</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45833</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45833</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45833</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45833</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45833</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45833</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45833</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45833</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45833</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45833</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45833</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45833</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45833</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45833</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45833</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45833</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45833</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45833</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45833</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45833</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45833</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45833</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45833</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45833</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45833</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45833</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45833</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45833</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45833</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45833</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45833</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45833</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45833</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45833</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45833</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45833</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45833</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45833</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45833</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45833</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45833</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45833</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45833</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45833</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45833</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45833</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45833</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45833</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45833</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45833</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45833</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45833</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45833</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45833</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45833</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45833</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45833</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45833</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45833</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45833</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45833</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45833</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45833</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45833</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45833</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45833</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45833</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45833</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45833</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45833</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45833</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45833</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45833</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45833</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45833</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45833</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45833</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45833</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45833</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45833</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45833</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45833</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45833</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45833</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45833</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45833</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45833</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45833</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45833</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45833</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45833</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45833</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45833</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45833</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45833</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45833</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45833</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45833</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45833</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45833</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45833</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45833</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45833</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45833</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45833</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45833</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45833</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45833</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45833</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45833</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45833</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45833</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45833</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45833</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45833</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45833</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45833</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45833</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45833</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45833</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45833</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45833</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45833</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45833</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45833</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45833</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45833</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45833</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45833</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45833</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45833</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45833</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45833</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45833</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45833</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45833</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45833</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45833</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45833</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45833</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45833</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45833</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45833</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45833</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45833</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45833</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45833</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45833</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45833</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45833</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45833</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45833</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45833</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45833</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45833</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45833</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45833</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45833</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45833</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45833</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26568-2025</t>
        </is>
      </c>
      <c r="B1970" s="1" t="n">
        <v>45807</v>
      </c>
      <c r="C1970" s="1" t="n">
        <v>45833</v>
      </c>
      <c r="D1970" t="inlineStr">
        <is>
          <t>KALMAR LÄN</t>
        </is>
      </c>
      <c r="E1970" t="inlineStr">
        <is>
          <t>VÄSTERVIK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26566-2025</t>
        </is>
      </c>
      <c r="B1971" s="1" t="n">
        <v>45807</v>
      </c>
      <c r="C1971" s="1" t="n">
        <v>45833</v>
      </c>
      <c r="D1971" t="inlineStr">
        <is>
          <t>KALMAR LÄN</t>
        </is>
      </c>
      <c r="E1971" t="inlineStr">
        <is>
          <t>VÄSTERVIK</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45833</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45833</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45833</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27978-2025</t>
        </is>
      </c>
      <c r="B1975" s="1" t="n">
        <v>45817</v>
      </c>
      <c r="C1975" s="1" t="n">
        <v>45833</v>
      </c>
      <c r="D1975" t="inlineStr">
        <is>
          <t>KALMAR LÄN</t>
        </is>
      </c>
      <c r="E1975" t="inlineStr">
        <is>
          <t>VÄSTERVIK</t>
        </is>
      </c>
      <c r="F1975" t="inlineStr">
        <is>
          <t>Sveaskog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27980-2025</t>
        </is>
      </c>
      <c r="B1976" s="1" t="n">
        <v>45817</v>
      </c>
      <c r="C1976" s="1" t="n">
        <v>45833</v>
      </c>
      <c r="D1976" t="inlineStr">
        <is>
          <t>KALMAR LÄN</t>
        </is>
      </c>
      <c r="E1976" t="inlineStr">
        <is>
          <t>VÄSTERVIK</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27974-2025</t>
        </is>
      </c>
      <c r="B1977" s="1" t="n">
        <v>45817</v>
      </c>
      <c r="C1977" s="1" t="n">
        <v>45833</v>
      </c>
      <c r="D1977" t="inlineStr">
        <is>
          <t>KALMAR LÄN</t>
        </is>
      </c>
      <c r="E1977" t="inlineStr">
        <is>
          <t>VÄSTERVIK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45833</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45833</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45833</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45833</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45833</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45833</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29678-2025</t>
        </is>
      </c>
      <c r="B1984" s="1" t="n">
        <v>45825</v>
      </c>
      <c r="C1984" s="1" t="n">
        <v>45833</v>
      </c>
      <c r="D1984" t="inlineStr">
        <is>
          <t>KALMAR LÄN</t>
        </is>
      </c>
      <c r="E1984" t="inlineStr">
        <is>
          <t>VÄSTERVIK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45833</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45833</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30648-2025</t>
        </is>
      </c>
      <c r="B1987" s="1" t="n">
        <v>45831</v>
      </c>
      <c r="C1987" s="1" t="n">
        <v>45833</v>
      </c>
      <c r="D1987" t="inlineStr">
        <is>
          <t>KALMAR LÄN</t>
        </is>
      </c>
      <c r="E1987" t="inlineStr">
        <is>
          <t>VÄSTERVIK</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45833</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30794-2025</t>
        </is>
      </c>
      <c r="B1989" s="1" t="n">
        <v>45831</v>
      </c>
      <c r="C1989" s="1" t="n">
        <v>45833</v>
      </c>
      <c r="D1989" t="inlineStr">
        <is>
          <t>KALMAR LÄN</t>
        </is>
      </c>
      <c r="E1989" t="inlineStr">
        <is>
          <t>VÄSTERVIK</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30800-2025</t>
        </is>
      </c>
      <c r="B1990" s="1" t="n">
        <v>45831</v>
      </c>
      <c r="C1990" s="1" t="n">
        <v>45833</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30690-2025</t>
        </is>
      </c>
      <c r="B1991" s="1" t="n">
        <v>45831</v>
      </c>
      <c r="C1991" s="1" t="n">
        <v>45833</v>
      </c>
      <c r="D1991" t="inlineStr">
        <is>
          <t>KALMAR LÄN</t>
        </is>
      </c>
      <c r="E1991" t="inlineStr">
        <is>
          <t>VÄSTERVIK</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30789-2025</t>
        </is>
      </c>
      <c r="B1992" s="1" t="n">
        <v>45831</v>
      </c>
      <c r="C1992" s="1" t="n">
        <v>45833</v>
      </c>
      <c r="D1992" t="inlineStr">
        <is>
          <t>KALMAR LÄN</t>
        </is>
      </c>
      <c r="E1992" t="inlineStr">
        <is>
          <t>VÄSTERVIK</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30811-2025</t>
        </is>
      </c>
      <c r="B1993" s="1" t="n">
        <v>45831</v>
      </c>
      <c r="C1993" s="1" t="n">
        <v>45833</v>
      </c>
      <c r="D1993" t="inlineStr">
        <is>
          <t>KALMAR LÄN</t>
        </is>
      </c>
      <c r="E1993" t="inlineStr">
        <is>
          <t>VÄSTERVIK</t>
        </is>
      </c>
      <c r="G1993" t="n">
        <v>1.5</v>
      </c>
      <c r="H1993" t="n">
        <v>0</v>
      </c>
      <c r="I1993" t="n">
        <v>0</v>
      </c>
      <c r="J1993" t="n">
        <v>0</v>
      </c>
      <c r="K1993" t="n">
        <v>0</v>
      </c>
      <c r="L1993" t="n">
        <v>0</v>
      </c>
      <c r="M1993" t="n">
        <v>0</v>
      </c>
      <c r="N1993" t="n">
        <v>0</v>
      </c>
      <c r="O1993" t="n">
        <v>0</v>
      </c>
      <c r="P1993" t="n">
        <v>0</v>
      </c>
      <c r="Q1993" t="n">
        <v>0</v>
      </c>
      <c r="R1993" s="2" t="inlineStr"/>
    </row>
    <row r="1994">
      <c r="A1994" t="inlineStr">
        <is>
          <t>A 31248-2025</t>
        </is>
      </c>
      <c r="B1994" s="1" t="n">
        <v>45832</v>
      </c>
      <c r="C1994" s="1" t="n">
        <v>45833</v>
      </c>
      <c r="D1994" t="inlineStr">
        <is>
          <t>KALMAR LÄN</t>
        </is>
      </c>
      <c r="E1994" t="inlineStr">
        <is>
          <t>VÄSTERVIK</t>
        </is>
      </c>
      <c r="G1994" t="n">
        <v>1.4</v>
      </c>
      <c r="H1994" t="n">
        <v>0</v>
      </c>
      <c r="I1994" t="n">
        <v>0</v>
      </c>
      <c r="J1994" t="n">
        <v>0</v>
      </c>
      <c r="K1994" t="n">
        <v>0</v>
      </c>
      <c r="L1994" t="n">
        <v>0</v>
      </c>
      <c r="M1994" t="n">
        <v>0</v>
      </c>
      <c r="N1994" t="n">
        <v>0</v>
      </c>
      <c r="O1994" t="n">
        <v>0</v>
      </c>
      <c r="P1994" t="n">
        <v>0</v>
      </c>
      <c r="Q1994" t="n">
        <v>0</v>
      </c>
      <c r="R1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2025-06-25T19:45:52Z</dcterms:created>
  <dcterms:modified xmlns:dcterms="http://purl.org/dc/terms/" xmlns:xsi="http://www.w3.org/2001/XMLSchema-instance" xsi:type="dcterms:W3CDTF">2025-06-25T19:45:54Z</dcterms:modified>
</cp:coreProperties>
</file>