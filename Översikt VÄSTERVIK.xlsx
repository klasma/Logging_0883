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46076</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46076</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46076</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46076</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46076</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46076</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46076</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46076</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46076</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46076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46076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46076</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46076</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46076</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46076</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46076</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26281-2024</t>
        </is>
      </c>
      <c r="B19" s="1" t="n">
        <v>45468</v>
      </c>
      <c r="C19" s="1" t="n">
        <v>46076</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46076</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46076</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14121-2025</t>
        </is>
      </c>
      <c r="B22" s="1" t="n">
        <v>45740.46803240741</v>
      </c>
      <c r="C22" s="1" t="n">
        <v>46076</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56001-2025</t>
        </is>
      </c>
      <c r="B23" s="1" t="n">
        <v>45973</v>
      </c>
      <c r="C23" s="1" t="n">
        <v>46076</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46076</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46076</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51234-2025</t>
        </is>
      </c>
      <c r="B26" s="1" t="n">
        <v>45947</v>
      </c>
      <c r="C26" s="1" t="n">
        <v>46076</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46076</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46076</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46076</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46076</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34638-2025</t>
        </is>
      </c>
      <c r="B31" s="1" t="n">
        <v>45848.30584490741</v>
      </c>
      <c r="C31" s="1" t="n">
        <v>46076</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16996-2025</t>
        </is>
      </c>
      <c r="B32" s="1" t="n">
        <v>45755</v>
      </c>
      <c r="C32" s="1" t="n">
        <v>46076</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59457-2024</t>
        </is>
      </c>
      <c r="B33" s="1" t="n">
        <v>45638</v>
      </c>
      <c r="C33" s="1" t="n">
        <v>46076</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46076</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56968-2025</t>
        </is>
      </c>
      <c r="B35" s="1" t="n">
        <v>45978</v>
      </c>
      <c r="C35" s="1" t="n">
        <v>46076</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46076</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46076</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46076</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46076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46076</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46076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46076</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46076</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46076</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46076</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974-2023</t>
        </is>
      </c>
      <c r="B48" s="1" t="n">
        <v>44935</v>
      </c>
      <c r="C48" s="1" t="n">
        <v>46076</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46076</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46076</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46076</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46076</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46076</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58927-2022</t>
        </is>
      </c>
      <c r="B54" s="1" t="n">
        <v>44896</v>
      </c>
      <c r="C54" s="1" t="n">
        <v>46076</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46076</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31060-2024</t>
        </is>
      </c>
      <c r="B56" s="1" t="n">
        <v>45502</v>
      </c>
      <c r="C56" s="1" t="n">
        <v>46076</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55518-2025</t>
        </is>
      </c>
      <c r="B57" s="1" t="n">
        <v>45971.60497685185</v>
      </c>
      <c r="C57" s="1" t="n">
        <v>46076</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58378-2025</t>
        </is>
      </c>
      <c r="B58" s="1" t="n">
        <v>45985.53541666667</v>
      </c>
      <c r="C58" s="1" t="n">
        <v>46076</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60491-2025</t>
        </is>
      </c>
      <c r="B59" s="1" t="n">
        <v>45995.6065625</v>
      </c>
      <c r="C59" s="1" t="n">
        <v>46076</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48724-2024</t>
        </is>
      </c>
      <c r="B60" s="1" t="n">
        <v>45593.55731481482</v>
      </c>
      <c r="C60" s="1" t="n">
        <v>46076</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54334-2024</t>
        </is>
      </c>
      <c r="B61" s="1" t="n">
        <v>45617.38247685185</v>
      </c>
      <c r="C61" s="1" t="n">
        <v>46076</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27737-2024</t>
        </is>
      </c>
      <c r="B62" s="1" t="n">
        <v>45475</v>
      </c>
      <c r="C62" s="1" t="n">
        <v>46076</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46076</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46076</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51923-2022</t>
        </is>
      </c>
      <c r="B65" s="1" t="n">
        <v>44868</v>
      </c>
      <c r="C65" s="1" t="n">
        <v>46076</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27727-2024</t>
        </is>
      </c>
      <c r="B66" s="1" t="n">
        <v>45475</v>
      </c>
      <c r="C66" s="1" t="n">
        <v>46076</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60670-2025</t>
        </is>
      </c>
      <c r="B67" s="1" t="n">
        <v>45996.52921296296</v>
      </c>
      <c r="C67" s="1" t="n">
        <v>46076</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781-2023</t>
        </is>
      </c>
      <c r="B68" s="1" t="n">
        <v>44931</v>
      </c>
      <c r="C68" s="1" t="n">
        <v>46076</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46076</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46076</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46076</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46076</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31914-2025</t>
        </is>
      </c>
      <c r="B73" s="1" t="n">
        <v>45834</v>
      </c>
      <c r="C73" s="1" t="n">
        <v>46076</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46076</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46076</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46076</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46076</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58955-2022</t>
        </is>
      </c>
      <c r="B78" s="1" t="n">
        <v>44896</v>
      </c>
      <c r="C78" s="1" t="n">
        <v>46076</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26985-2025</t>
        </is>
      </c>
      <c r="B79" s="1" t="n">
        <v>45811</v>
      </c>
      <c r="C79" s="1" t="n">
        <v>46076</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46076</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46076</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46076</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46076</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46076</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46076</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46076</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46076</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46076</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20366-2024</t>
        </is>
      </c>
      <c r="B89" s="1" t="n">
        <v>45435</v>
      </c>
      <c r="C89" s="1" t="n">
        <v>46076</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44635-2021</t>
        </is>
      </c>
      <c r="B90" s="1" t="n">
        <v>44437</v>
      </c>
      <c r="C90" s="1" t="n">
        <v>46076</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56908-2025</t>
        </is>
      </c>
      <c r="B91" s="1" t="n">
        <v>45978</v>
      </c>
      <c r="C91" s="1" t="n">
        <v>46076</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25534-2024</t>
        </is>
      </c>
      <c r="B92" s="1" t="n">
        <v>45463</v>
      </c>
      <c r="C92" s="1" t="n">
        <v>46076</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46076</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1107-2026</t>
        </is>
      </c>
      <c r="B94" s="1" t="n">
        <v>46030.67351851852</v>
      </c>
      <c r="C94" s="1" t="n">
        <v>46076</v>
      </c>
      <c r="D94" t="inlineStr">
        <is>
          <t>KALMAR LÄN</t>
        </is>
      </c>
      <c r="E94" t="inlineStr">
        <is>
          <t>VÄSTERVIK</t>
        </is>
      </c>
      <c r="G94" t="n">
        <v>3.1</v>
      </c>
      <c r="H94" t="n">
        <v>2</v>
      </c>
      <c r="I94" t="n">
        <v>1</v>
      </c>
      <c r="J94" t="n">
        <v>2</v>
      </c>
      <c r="K94" t="n">
        <v>1</v>
      </c>
      <c r="L94" t="n">
        <v>0</v>
      </c>
      <c r="M94" t="n">
        <v>0</v>
      </c>
      <c r="N94" t="n">
        <v>0</v>
      </c>
      <c r="O94" t="n">
        <v>3</v>
      </c>
      <c r="P94" t="n">
        <v>1</v>
      </c>
      <c r="Q94" t="n">
        <v>4</v>
      </c>
      <c r="R94" s="2" t="inlineStr">
        <is>
          <t>Knärot
Motaggsvamp
Talltita
Blåmossa</t>
        </is>
      </c>
      <c r="S94">
        <f>HYPERLINK("https://klasma.github.io/Logging_0883/artfynd/A 1107-2026 artfynd.xlsx", "A 1107-2026")</f>
        <v/>
      </c>
      <c r="T94">
        <f>HYPERLINK("https://klasma.github.io/Logging_0883/kartor/A 1107-2026 karta.png", "A 1107-2026")</f>
        <v/>
      </c>
      <c r="U94">
        <f>HYPERLINK("https://klasma.github.io/Logging_0883/knärot/A 1107-2026 karta knärot.png", "A 1107-2026")</f>
        <v/>
      </c>
      <c r="V94">
        <f>HYPERLINK("https://klasma.github.io/Logging_0883/klagomål/A 1107-2026 FSC-klagomål.docx", "A 1107-2026")</f>
        <v/>
      </c>
      <c r="W94">
        <f>HYPERLINK("https://klasma.github.io/Logging_0883/klagomålsmail/A 1107-2026 FSC-klagomål mail.docx", "A 1107-2026")</f>
        <v/>
      </c>
      <c r="X94">
        <f>HYPERLINK("https://klasma.github.io/Logging_0883/tillsyn/A 1107-2026 tillsynsbegäran.docx", "A 1107-2026")</f>
        <v/>
      </c>
      <c r="Y94">
        <f>HYPERLINK("https://klasma.github.io/Logging_0883/tillsynsmail/A 1107-2026 tillsynsbegäran mail.docx", "A 1107-2026")</f>
        <v/>
      </c>
      <c r="Z94">
        <f>HYPERLINK("https://klasma.github.io/Logging_0883/fåglar/A 1107-2026 prioriterade fågelarter.docx", "A 1107-2026")</f>
        <v/>
      </c>
    </row>
    <row r="95" ht="15" customHeight="1">
      <c r="A95" t="inlineStr">
        <is>
          <t>A 37524-2025</t>
        </is>
      </c>
      <c r="B95" s="1" t="n">
        <v>45877</v>
      </c>
      <c r="C95" s="1" t="n">
        <v>46076</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54233-2023</t>
        </is>
      </c>
      <c r="B96" s="1" t="n">
        <v>45232</v>
      </c>
      <c r="C96" s="1" t="n">
        <v>46076</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46076</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46076</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46076</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46076</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804-2023</t>
        </is>
      </c>
      <c r="B101" s="1" t="n">
        <v>44931</v>
      </c>
      <c r="C101" s="1" t="n">
        <v>46076</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46076</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46076</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2340-2025</t>
        </is>
      </c>
      <c r="B104" s="1" t="n">
        <v>45673</v>
      </c>
      <c r="C104" s="1" t="n">
        <v>46076</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16948-2024</t>
        </is>
      </c>
      <c r="B105" s="1" t="n">
        <v>45411</v>
      </c>
      <c r="C105" s="1" t="n">
        <v>46076</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12708-2023</t>
        </is>
      </c>
      <c r="B106" s="1" t="n">
        <v>45000</v>
      </c>
      <c r="C106" s="1" t="n">
        <v>46076</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27700-2024</t>
        </is>
      </c>
      <c r="B107" s="1" t="n">
        <v>45475.35597222222</v>
      </c>
      <c r="C107" s="1" t="n">
        <v>46076</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21658-2025</t>
        </is>
      </c>
      <c r="B108" s="1" t="n">
        <v>45783.45474537037</v>
      </c>
      <c r="C108" s="1" t="n">
        <v>46076</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35705-2025</t>
        </is>
      </c>
      <c r="B109" s="1" t="n">
        <v>45860.36769675926</v>
      </c>
      <c r="C109" s="1" t="n">
        <v>46076</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46076</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49607-2025</t>
        </is>
      </c>
      <c r="B111" s="1" t="n">
        <v>45939.5674074074</v>
      </c>
      <c r="C111" s="1" t="n">
        <v>46076</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2657-2024</t>
        </is>
      </c>
      <c r="B112" s="1" t="n">
        <v>45314</v>
      </c>
      <c r="C112" s="1" t="n">
        <v>46076</v>
      </c>
      <c r="D112" t="inlineStr">
        <is>
          <t>KALMAR LÄN</t>
        </is>
      </c>
      <c r="E112" t="inlineStr">
        <is>
          <t>VÄSTERVIK</t>
        </is>
      </c>
      <c r="G112" t="n">
        <v>5.9</v>
      </c>
      <c r="H112" t="n">
        <v>2</v>
      </c>
      <c r="I112" t="n">
        <v>1</v>
      </c>
      <c r="J112" t="n">
        <v>1</v>
      </c>
      <c r="K112" t="n">
        <v>1</v>
      </c>
      <c r="L112" t="n">
        <v>0</v>
      </c>
      <c r="M112" t="n">
        <v>0</v>
      </c>
      <c r="N112" t="n">
        <v>0</v>
      </c>
      <c r="O112" t="n">
        <v>2</v>
      </c>
      <c r="P112" t="n">
        <v>1</v>
      </c>
      <c r="Q112" t="n">
        <v>3</v>
      </c>
      <c r="R112" s="2" t="inlineStr">
        <is>
          <t>Knärot
Spillkråka
Grönpyrola</t>
        </is>
      </c>
      <c r="S112">
        <f>HYPERLINK("https://klasma.github.io/Logging_0883/artfynd/A 2657-2024 artfynd.xlsx", "A 2657-2024")</f>
        <v/>
      </c>
      <c r="T112">
        <f>HYPERLINK("https://klasma.github.io/Logging_0883/kartor/A 2657-2024 karta.png", "A 2657-2024")</f>
        <v/>
      </c>
      <c r="U112">
        <f>HYPERLINK("https://klasma.github.io/Logging_0883/knärot/A 2657-2024 karta knärot.png", "A 2657-2024")</f>
        <v/>
      </c>
      <c r="V112">
        <f>HYPERLINK("https://klasma.github.io/Logging_0883/klagomål/A 2657-2024 FSC-klagomål.docx", "A 2657-2024")</f>
        <v/>
      </c>
      <c r="W112">
        <f>HYPERLINK("https://klasma.github.io/Logging_0883/klagomålsmail/A 2657-2024 FSC-klagomål mail.docx", "A 2657-2024")</f>
        <v/>
      </c>
      <c r="X112">
        <f>HYPERLINK("https://klasma.github.io/Logging_0883/tillsyn/A 2657-2024 tillsynsbegäran.docx", "A 2657-2024")</f>
        <v/>
      </c>
      <c r="Y112">
        <f>HYPERLINK("https://klasma.github.io/Logging_0883/tillsynsmail/A 2657-2024 tillsynsbegäran mail.docx", "A 2657-2024")</f>
        <v/>
      </c>
      <c r="Z112">
        <f>HYPERLINK("https://klasma.github.io/Logging_0883/fåglar/A 2657-2024 prioriterade fågelarter.docx", "A 2657-2024")</f>
        <v/>
      </c>
    </row>
    <row r="113" ht="15" customHeight="1">
      <c r="A113" t="inlineStr">
        <is>
          <t>A 61552-2025</t>
        </is>
      </c>
      <c r="B113" s="1" t="n">
        <v>46001.7772337963</v>
      </c>
      <c r="C113" s="1" t="n">
        <v>46076</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46076</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46076</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46076</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52992-2024</t>
        </is>
      </c>
      <c r="B117" s="1" t="n">
        <v>45611</v>
      </c>
      <c r="C117" s="1" t="n">
        <v>46076</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49560-2025</t>
        </is>
      </c>
      <c r="B118" s="1" t="n">
        <v>45939</v>
      </c>
      <c r="C118" s="1" t="n">
        <v>46076</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433-2026</t>
        </is>
      </c>
      <c r="B119" s="1" t="n">
        <v>46029.32555555556</v>
      </c>
      <c r="C119" s="1" t="n">
        <v>46076</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56336-2025</t>
        </is>
      </c>
      <c r="B120" s="1" t="n">
        <v>45974</v>
      </c>
      <c r="C120" s="1" t="n">
        <v>46076</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60671-2025</t>
        </is>
      </c>
      <c r="B121" s="1" t="n">
        <v>45996.53078703704</v>
      </c>
      <c r="C121" s="1" t="n">
        <v>46076</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31854-2025</t>
        </is>
      </c>
      <c r="B122" s="1" t="n">
        <v>45834</v>
      </c>
      <c r="C122" s="1" t="n">
        <v>46076</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56080-2025</t>
        </is>
      </c>
      <c r="B123" s="1" t="n">
        <v>45973</v>
      </c>
      <c r="C123" s="1" t="n">
        <v>46076</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39190-2024</t>
        </is>
      </c>
      <c r="B124" s="1" t="n">
        <v>45548</v>
      </c>
      <c r="C124" s="1" t="n">
        <v>46076</v>
      </c>
      <c r="D124" t="inlineStr">
        <is>
          <t>KALMAR LÄN</t>
        </is>
      </c>
      <c r="E124" t="inlineStr">
        <is>
          <t>VÄSTERVIK</t>
        </is>
      </c>
      <c r="G124" t="n">
        <v>1.7</v>
      </c>
      <c r="H124" t="n">
        <v>2</v>
      </c>
      <c r="I124" t="n">
        <v>0</v>
      </c>
      <c r="J124" t="n">
        <v>2</v>
      </c>
      <c r="K124" t="n">
        <v>1</v>
      </c>
      <c r="L124" t="n">
        <v>0</v>
      </c>
      <c r="M124" t="n">
        <v>0</v>
      </c>
      <c r="N124" t="n">
        <v>0</v>
      </c>
      <c r="O124" t="n">
        <v>3</v>
      </c>
      <c r="P124" t="n">
        <v>1</v>
      </c>
      <c r="Q124" t="n">
        <v>3</v>
      </c>
      <c r="R124" s="2" t="inlineStr">
        <is>
          <t>Knärot
Svart taggsvamp
Talltita</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42353-2023</t>
        </is>
      </c>
      <c r="B125" s="1" t="n">
        <v>45180</v>
      </c>
      <c r="C125" s="1" t="n">
        <v>46076</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46076</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46076</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46076</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46076</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46076</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25439-2021</t>
        </is>
      </c>
      <c r="B131" s="1" t="n">
        <v>44342</v>
      </c>
      <c r="C131" s="1" t="n">
        <v>46076</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33687-2025</t>
        </is>
      </c>
      <c r="B132" s="1" t="n">
        <v>45841.69072916666</v>
      </c>
      <c r="C132" s="1" t="n">
        <v>46076</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46552-2022</t>
        </is>
      </c>
      <c r="B133" s="1" t="n">
        <v>44848</v>
      </c>
      <c r="C133" s="1" t="n">
        <v>46076</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52723-2024</t>
        </is>
      </c>
      <c r="B134" s="1" t="n">
        <v>45610.44008101852</v>
      </c>
      <c r="C134" s="1" t="n">
        <v>46076</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46076</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958-2025</t>
        </is>
      </c>
      <c r="B136" s="1" t="n">
        <v>45666</v>
      </c>
      <c r="C136" s="1" t="n">
        <v>46076</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46076</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53769-2021</t>
        </is>
      </c>
      <c r="B138" s="1" t="n">
        <v>44467</v>
      </c>
      <c r="C138" s="1" t="n">
        <v>46076</v>
      </c>
      <c r="D138" t="inlineStr">
        <is>
          <t>KALMAR LÄN</t>
        </is>
      </c>
      <c r="E138" t="inlineStr">
        <is>
          <t>VÄSTERVIK</t>
        </is>
      </c>
      <c r="G138" t="n">
        <v>2.2</v>
      </c>
      <c r="H138" t="n">
        <v>1</v>
      </c>
      <c r="I138" t="n">
        <v>2</v>
      </c>
      <c r="J138" t="n">
        <v>0</v>
      </c>
      <c r="K138" t="n">
        <v>0</v>
      </c>
      <c r="L138" t="n">
        <v>0</v>
      </c>
      <c r="M138" t="n">
        <v>0</v>
      </c>
      <c r="N138" t="n">
        <v>0</v>
      </c>
      <c r="O138" t="n">
        <v>0</v>
      </c>
      <c r="P138" t="n">
        <v>0</v>
      </c>
      <c r="Q138" t="n">
        <v>2</v>
      </c>
      <c r="R138" s="2" t="inlineStr">
        <is>
          <t>Grön sköldmossa
Stubbspretmossa</t>
        </is>
      </c>
      <c r="S138">
        <f>HYPERLINK("https://klasma.github.io/Logging_0883/artfynd/A 53769-2021 artfynd.xlsx", "A 53769-2021")</f>
        <v/>
      </c>
      <c r="T138">
        <f>HYPERLINK("https://klasma.github.io/Logging_0883/kartor/A 53769-2021 karta.png", "A 53769-2021")</f>
        <v/>
      </c>
      <c r="V138">
        <f>HYPERLINK("https://klasma.github.io/Logging_0883/klagomål/A 53769-2021 FSC-klagomål.docx", "A 53769-2021")</f>
        <v/>
      </c>
      <c r="W138">
        <f>HYPERLINK("https://klasma.github.io/Logging_0883/klagomålsmail/A 53769-2021 FSC-klagomål mail.docx", "A 53769-2021")</f>
        <v/>
      </c>
      <c r="X138">
        <f>HYPERLINK("https://klasma.github.io/Logging_0883/tillsyn/A 53769-2021 tillsynsbegäran.docx", "A 53769-2021")</f>
        <v/>
      </c>
      <c r="Y138">
        <f>HYPERLINK("https://klasma.github.io/Logging_0883/tillsynsmail/A 53769-2021 tillsynsbegäran mail.docx", "A 53769-2021")</f>
        <v/>
      </c>
    </row>
    <row r="139" ht="15" customHeight="1">
      <c r="A139" t="inlineStr">
        <is>
          <t>A 17438-2024</t>
        </is>
      </c>
      <c r="B139" s="1" t="n">
        <v>45415</v>
      </c>
      <c r="C139" s="1" t="n">
        <v>46076</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10784-2025</t>
        </is>
      </c>
      <c r="B140" s="1" t="n">
        <v>45722</v>
      </c>
      <c r="C140" s="1" t="n">
        <v>46076</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72945-2021</t>
        </is>
      </c>
      <c r="B141" s="1" t="n">
        <v>44547.90868055556</v>
      </c>
      <c r="C141" s="1" t="n">
        <v>46076</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2515-2023</t>
        </is>
      </c>
      <c r="B142" s="1" t="n">
        <v>44943</v>
      </c>
      <c r="C142" s="1" t="n">
        <v>46076</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32649-2023</t>
        </is>
      </c>
      <c r="B143" s="1" t="n">
        <v>45121</v>
      </c>
      <c r="C143" s="1" t="n">
        <v>46076</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32649-2023 artfynd.xlsx", "A 32649-2023")</f>
        <v/>
      </c>
      <c r="T143">
        <f>HYPERLINK("https://klasma.github.io/Logging_0883/kartor/A 32649-2023 karta.png", "A 32649-2023")</f>
        <v/>
      </c>
      <c r="U143">
        <f>HYPERLINK("https://klasma.github.io/Logging_0883/knärot/A 32649-2023 karta knärot.png", "A 32649-2023")</f>
        <v/>
      </c>
      <c r="V143">
        <f>HYPERLINK("https://klasma.github.io/Logging_0883/klagomål/A 32649-2023 FSC-klagomål.docx", "A 32649-2023")</f>
        <v/>
      </c>
      <c r="W143">
        <f>HYPERLINK("https://klasma.github.io/Logging_0883/klagomålsmail/A 32649-2023 FSC-klagomål mail.docx", "A 32649-2023")</f>
        <v/>
      </c>
      <c r="X143">
        <f>HYPERLINK("https://klasma.github.io/Logging_0883/tillsyn/A 32649-2023 tillsynsbegäran.docx", "A 32649-2023")</f>
        <v/>
      </c>
      <c r="Y143">
        <f>HYPERLINK("https://klasma.github.io/Logging_0883/tillsynsmail/A 32649-2023 tillsynsbegäran mail.docx", "A 32649-2023")</f>
        <v/>
      </c>
    </row>
    <row r="144" ht="15" customHeight="1">
      <c r="A144" t="inlineStr">
        <is>
          <t>A 1373-2024</t>
        </is>
      </c>
      <c r="B144" s="1" t="n">
        <v>45303</v>
      </c>
      <c r="C144" s="1" t="n">
        <v>46076</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46787-2022</t>
        </is>
      </c>
      <c r="B145" s="1" t="n">
        <v>44851</v>
      </c>
      <c r="C145" s="1" t="n">
        <v>46076</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34119-2023</t>
        </is>
      </c>
      <c r="B146" s="1" t="n">
        <v>45135</v>
      </c>
      <c r="C146" s="1" t="n">
        <v>46076</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Blomkålssvamp</t>
        </is>
      </c>
      <c r="S146">
        <f>HYPERLINK("https://klasma.github.io/Logging_0883/artfynd/A 34119-2023 artfynd.xlsx", "A 34119-2023")</f>
        <v/>
      </c>
      <c r="T146">
        <f>HYPERLINK("https://klasma.github.io/Logging_0883/kartor/A 34119-2023 karta.png", "A 34119-2023")</f>
        <v/>
      </c>
      <c r="U146">
        <f>HYPERLINK("https://klasma.github.io/Logging_0883/knärot/A 34119-2023 karta knärot.png", "A 34119-2023")</f>
        <v/>
      </c>
      <c r="V146">
        <f>HYPERLINK("https://klasma.github.io/Logging_0883/klagomål/A 34119-2023 FSC-klagomål.docx", "A 34119-2023")</f>
        <v/>
      </c>
      <c r="W146">
        <f>HYPERLINK("https://klasma.github.io/Logging_0883/klagomålsmail/A 34119-2023 FSC-klagomål mail.docx", "A 34119-2023")</f>
        <v/>
      </c>
      <c r="X146">
        <f>HYPERLINK("https://klasma.github.io/Logging_0883/tillsyn/A 34119-2023 tillsynsbegäran.docx", "A 34119-2023")</f>
        <v/>
      </c>
      <c r="Y146">
        <f>HYPERLINK("https://klasma.github.io/Logging_0883/tillsynsmail/A 34119-2023 tillsynsbegäran mail.docx", "A 34119-2023")</f>
        <v/>
      </c>
    </row>
    <row r="147" ht="15" customHeight="1">
      <c r="A147" t="inlineStr">
        <is>
          <t>A 49414-2025</t>
        </is>
      </c>
      <c r="B147" s="1" t="n">
        <v>45938.68725694445</v>
      </c>
      <c r="C147" s="1" t="n">
        <v>46076</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46076</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46076</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46076</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3173-2023</t>
        </is>
      </c>
      <c r="B151" s="1" t="n">
        <v>44946</v>
      </c>
      <c r="C151" s="1" t="n">
        <v>46076</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50647-2025</t>
        </is>
      </c>
      <c r="B152" s="1" t="n">
        <v>45945.65792824074</v>
      </c>
      <c r="C152" s="1" t="n">
        <v>46076</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46076</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3658-2024</t>
        </is>
      </c>
      <c r="B154" s="1" t="n">
        <v>45321</v>
      </c>
      <c r="C154" s="1" t="n">
        <v>46076</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53129-2025</t>
        </is>
      </c>
      <c r="B155" s="1" t="n">
        <v>45958.46118055555</v>
      </c>
      <c r="C155" s="1" t="n">
        <v>46076</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55086-2025</t>
        </is>
      </c>
      <c r="B156" s="1" t="n">
        <v>45968.33027777778</v>
      </c>
      <c r="C156" s="1" t="n">
        <v>46076</v>
      </c>
      <c r="D156" t="inlineStr">
        <is>
          <t>KALMAR LÄN</t>
        </is>
      </c>
      <c r="E156" t="inlineStr">
        <is>
          <t>VÄSTERVIK</t>
        </is>
      </c>
      <c r="G156" t="n">
        <v>0.7</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55086-2025 artfynd.xlsx", "A 55086-2025")</f>
        <v/>
      </c>
      <c r="T156">
        <f>HYPERLINK("https://klasma.github.io/Logging_0883/kartor/A 55086-2025 karta.png", "A 55086-2025")</f>
        <v/>
      </c>
      <c r="V156">
        <f>HYPERLINK("https://klasma.github.io/Logging_0883/klagomål/A 55086-2025 FSC-klagomål.docx", "A 55086-2025")</f>
        <v/>
      </c>
      <c r="W156">
        <f>HYPERLINK("https://klasma.github.io/Logging_0883/klagomålsmail/A 55086-2025 FSC-klagomål mail.docx", "A 55086-2025")</f>
        <v/>
      </c>
      <c r="X156">
        <f>HYPERLINK("https://klasma.github.io/Logging_0883/tillsyn/A 55086-2025 tillsynsbegäran.docx", "A 55086-2025")</f>
        <v/>
      </c>
      <c r="Y156">
        <f>HYPERLINK("https://klasma.github.io/Logging_0883/tillsynsmail/A 55086-2025 tillsynsbegäran mail.docx", "A 55086-2025")</f>
        <v/>
      </c>
      <c r="Z156">
        <f>HYPERLINK("https://klasma.github.io/Logging_0883/fåglar/A 55086-2025 prioriterade fågelarter.docx", "A 55086-2025")</f>
        <v/>
      </c>
    </row>
    <row r="157" ht="15" customHeight="1">
      <c r="A157" t="inlineStr">
        <is>
          <t>A 55142-2025</t>
        </is>
      </c>
      <c r="B157" s="1" t="n">
        <v>45968</v>
      </c>
      <c r="C157" s="1" t="n">
        <v>46076</v>
      </c>
      <c r="D157" t="inlineStr">
        <is>
          <t>KALMAR LÄN</t>
        </is>
      </c>
      <c r="E157" t="inlineStr">
        <is>
          <t>VÄSTERVIK</t>
        </is>
      </c>
      <c r="G157" t="n">
        <v>1.3</v>
      </c>
      <c r="H157" t="n">
        <v>1</v>
      </c>
      <c r="I157" t="n">
        <v>1</v>
      </c>
      <c r="J157" t="n">
        <v>1</v>
      </c>
      <c r="K157" t="n">
        <v>0</v>
      </c>
      <c r="L157" t="n">
        <v>0</v>
      </c>
      <c r="M157" t="n">
        <v>0</v>
      </c>
      <c r="N157" t="n">
        <v>0</v>
      </c>
      <c r="O157" t="n">
        <v>1</v>
      </c>
      <c r="P157" t="n">
        <v>0</v>
      </c>
      <c r="Q157" t="n">
        <v>2</v>
      </c>
      <c r="R157" s="2" t="inlineStr">
        <is>
          <t>Entita
Hasselticka</t>
        </is>
      </c>
      <c r="S157">
        <f>HYPERLINK("https://klasma.github.io/Logging_0883/artfynd/A 55142-2025 artfynd.xlsx", "A 55142-2025")</f>
        <v/>
      </c>
      <c r="T157">
        <f>HYPERLINK("https://klasma.github.io/Logging_0883/kartor/A 55142-2025 karta.png", "A 55142-2025")</f>
        <v/>
      </c>
      <c r="V157">
        <f>HYPERLINK("https://klasma.github.io/Logging_0883/klagomål/A 55142-2025 FSC-klagomål.docx", "A 55142-2025")</f>
        <v/>
      </c>
      <c r="W157">
        <f>HYPERLINK("https://klasma.github.io/Logging_0883/klagomålsmail/A 55142-2025 FSC-klagomål mail.docx", "A 55142-2025")</f>
        <v/>
      </c>
      <c r="X157">
        <f>HYPERLINK("https://klasma.github.io/Logging_0883/tillsyn/A 55142-2025 tillsynsbegäran.docx", "A 55142-2025")</f>
        <v/>
      </c>
      <c r="Y157">
        <f>HYPERLINK("https://klasma.github.io/Logging_0883/tillsynsmail/A 55142-2025 tillsynsbegäran mail.docx", "A 55142-2025")</f>
        <v/>
      </c>
      <c r="Z157">
        <f>HYPERLINK("https://klasma.github.io/Logging_0883/fåglar/A 55142-2025 prioriterade fågelarter.docx", "A 55142-2025")</f>
        <v/>
      </c>
    </row>
    <row r="158" ht="15" customHeight="1">
      <c r="A158" t="inlineStr">
        <is>
          <t>A 14086-2025</t>
        </is>
      </c>
      <c r="B158" s="1" t="n">
        <v>45740.44130787037</v>
      </c>
      <c r="C158" s="1" t="n">
        <v>46076</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46076</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14301-2023</t>
        </is>
      </c>
      <c r="B160" s="1" t="n">
        <v>45011</v>
      </c>
      <c r="C160" s="1" t="n">
        <v>46076</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57977-2025</t>
        </is>
      </c>
      <c r="B161" s="1" t="n">
        <v>45982.39497685185</v>
      </c>
      <c r="C161" s="1" t="n">
        <v>46076</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46076</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Leptoporus erubescens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46157-2025</t>
        </is>
      </c>
      <c r="B163" s="1" t="n">
        <v>45924.63246527778</v>
      </c>
      <c r="C163" s="1" t="n">
        <v>46076</v>
      </c>
      <c r="D163" t="inlineStr">
        <is>
          <t>KALMAR LÄN</t>
        </is>
      </c>
      <c r="E163" t="inlineStr">
        <is>
          <t>VÄSTERVIK</t>
        </is>
      </c>
      <c r="G163" t="n">
        <v>3.1</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46157-2025 artfynd.xlsx", "A 46157-2025")</f>
        <v/>
      </c>
      <c r="T163">
        <f>HYPERLINK("https://klasma.github.io/Logging_0883/kartor/A 46157-2025 karta.png", "A 46157-2025")</f>
        <v/>
      </c>
      <c r="V163">
        <f>HYPERLINK("https://klasma.github.io/Logging_0883/klagomål/A 46157-2025 FSC-klagomål.docx", "A 46157-2025")</f>
        <v/>
      </c>
      <c r="W163">
        <f>HYPERLINK("https://klasma.github.io/Logging_0883/klagomålsmail/A 46157-2025 FSC-klagomål mail.docx", "A 46157-2025")</f>
        <v/>
      </c>
      <c r="X163">
        <f>HYPERLINK("https://klasma.github.io/Logging_0883/tillsyn/A 46157-2025 tillsynsbegäran.docx", "A 46157-2025")</f>
        <v/>
      </c>
      <c r="Y163">
        <f>HYPERLINK("https://klasma.github.io/Logging_0883/tillsynsmail/A 46157-2025 tillsynsbegäran mail.docx", "A 46157-2025")</f>
        <v/>
      </c>
      <c r="Z163">
        <f>HYPERLINK("https://klasma.github.io/Logging_0883/fåglar/A 46157-2025 prioriterade fågelarter.docx", "A 46157-2025")</f>
        <v/>
      </c>
    </row>
    <row r="164" ht="15" customHeight="1">
      <c r="A164" t="inlineStr">
        <is>
          <t>A 932-2024</t>
        </is>
      </c>
      <c r="B164" s="1" t="n">
        <v>45301</v>
      </c>
      <c r="C164" s="1" t="n">
        <v>46076</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59852-2025</t>
        </is>
      </c>
      <c r="B165" s="1" t="n">
        <v>45992.71744212963</v>
      </c>
      <c r="C165" s="1" t="n">
        <v>46076</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59654-2025</t>
        </is>
      </c>
      <c r="B166" s="1" t="n">
        <v>45992.43790509259</v>
      </c>
      <c r="C166" s="1" t="n">
        <v>46076</v>
      </c>
      <c r="D166" t="inlineStr">
        <is>
          <t>KALMAR LÄN</t>
        </is>
      </c>
      <c r="E166" t="inlineStr">
        <is>
          <t>VÄSTERVIK</t>
        </is>
      </c>
      <c r="G166" t="n">
        <v>3.3</v>
      </c>
      <c r="H166" t="n">
        <v>1</v>
      </c>
      <c r="I166" t="n">
        <v>0</v>
      </c>
      <c r="J166" t="n">
        <v>2</v>
      </c>
      <c r="K166" t="n">
        <v>0</v>
      </c>
      <c r="L166" t="n">
        <v>0</v>
      </c>
      <c r="M166" t="n">
        <v>0</v>
      </c>
      <c r="N166" t="n">
        <v>0</v>
      </c>
      <c r="O166" t="n">
        <v>2</v>
      </c>
      <c r="P166" t="n">
        <v>0</v>
      </c>
      <c r="Q166" t="n">
        <v>2</v>
      </c>
      <c r="R166" s="2" t="inlineStr">
        <is>
          <t>Rutskinn
Spillkråka</t>
        </is>
      </c>
      <c r="S166">
        <f>HYPERLINK("https://klasma.github.io/Logging_0883/artfynd/A 59654-2025 artfynd.xlsx", "A 59654-2025")</f>
        <v/>
      </c>
      <c r="T166">
        <f>HYPERLINK("https://klasma.github.io/Logging_0883/kartor/A 59654-2025 karta.png", "A 59654-2025")</f>
        <v/>
      </c>
      <c r="V166">
        <f>HYPERLINK("https://klasma.github.io/Logging_0883/klagomål/A 59654-2025 FSC-klagomål.docx", "A 59654-2025")</f>
        <v/>
      </c>
      <c r="W166">
        <f>HYPERLINK("https://klasma.github.io/Logging_0883/klagomålsmail/A 59654-2025 FSC-klagomål mail.docx", "A 59654-2025")</f>
        <v/>
      </c>
      <c r="X166">
        <f>HYPERLINK("https://klasma.github.io/Logging_0883/tillsyn/A 59654-2025 tillsynsbegäran.docx", "A 59654-2025")</f>
        <v/>
      </c>
      <c r="Y166">
        <f>HYPERLINK("https://klasma.github.io/Logging_0883/tillsynsmail/A 59654-2025 tillsynsbegäran mail.docx", "A 59654-2025")</f>
        <v/>
      </c>
      <c r="Z166">
        <f>HYPERLINK("https://klasma.github.io/Logging_0883/fåglar/A 59654-2025 prioriterade fågelarter.docx", "A 59654-2025")</f>
        <v/>
      </c>
    </row>
    <row r="167" ht="15" customHeight="1">
      <c r="A167" t="inlineStr">
        <is>
          <t>A 61229-2025</t>
        </is>
      </c>
      <c r="B167" s="1" t="n">
        <v>46000.63108796296</v>
      </c>
      <c r="C167" s="1" t="n">
        <v>46076</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4306-2026</t>
        </is>
      </c>
      <c r="B168" s="1" t="n">
        <v>46045.43553240741</v>
      </c>
      <c r="C168" s="1" t="n">
        <v>46076</v>
      </c>
      <c r="D168" t="inlineStr">
        <is>
          <t>KALMAR LÄN</t>
        </is>
      </c>
      <c r="E168" t="inlineStr">
        <is>
          <t>VÄSTERVIK</t>
        </is>
      </c>
      <c r="F168" t="inlineStr">
        <is>
          <t>Övriga Aktiebolag</t>
        </is>
      </c>
      <c r="G168" t="n">
        <v>2.9</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4306-2026 artfynd.xlsx", "A 4306-2026")</f>
        <v/>
      </c>
      <c r="T168">
        <f>HYPERLINK("https://klasma.github.io/Logging_0883/kartor/A 4306-2026 karta.png", "A 4306-2026")</f>
        <v/>
      </c>
      <c r="V168">
        <f>HYPERLINK("https://klasma.github.io/Logging_0883/klagomål/A 4306-2026 FSC-klagomål.docx", "A 4306-2026")</f>
        <v/>
      </c>
      <c r="W168">
        <f>HYPERLINK("https://klasma.github.io/Logging_0883/klagomålsmail/A 4306-2026 FSC-klagomål mail.docx", "A 4306-2026")</f>
        <v/>
      </c>
      <c r="X168">
        <f>HYPERLINK("https://klasma.github.io/Logging_0883/tillsyn/A 4306-2026 tillsynsbegäran.docx", "A 4306-2026")</f>
        <v/>
      </c>
      <c r="Y168">
        <f>HYPERLINK("https://klasma.github.io/Logging_0883/tillsynsmail/A 4306-2026 tillsynsbegäran mail.docx", "A 4306-2026")</f>
        <v/>
      </c>
      <c r="Z168">
        <f>HYPERLINK("https://klasma.github.io/Logging_0883/fåglar/A 4306-2026 prioriterade fågelarter.docx", "A 4306-2026")</f>
        <v/>
      </c>
    </row>
    <row r="169" ht="15" customHeight="1">
      <c r="A169" t="inlineStr">
        <is>
          <t>A 9040-2023</t>
        </is>
      </c>
      <c r="B169" s="1" t="n">
        <v>44979</v>
      </c>
      <c r="C169" s="1" t="n">
        <v>46076</v>
      </c>
      <c r="D169" t="inlineStr">
        <is>
          <t>KALMAR LÄN</t>
        </is>
      </c>
      <c r="E169" t="inlineStr">
        <is>
          <t>VÄSTERVIK</t>
        </is>
      </c>
      <c r="G169" t="n">
        <v>5.1</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9040-2023 artfynd.xlsx", "A 9040-2023")</f>
        <v/>
      </c>
      <c r="T169">
        <f>HYPERLINK("https://klasma.github.io/Logging_0883/kartor/A 9040-2023 karta.png", "A 9040-2023")</f>
        <v/>
      </c>
      <c r="U169">
        <f>HYPERLINK("https://klasma.github.io/Logging_0883/knärot/A 9040-2023 karta knärot.png", "A 9040-2023")</f>
        <v/>
      </c>
      <c r="V169">
        <f>HYPERLINK("https://klasma.github.io/Logging_0883/klagomål/A 9040-2023 FSC-klagomål.docx", "A 9040-2023")</f>
        <v/>
      </c>
      <c r="W169">
        <f>HYPERLINK("https://klasma.github.io/Logging_0883/klagomålsmail/A 9040-2023 FSC-klagomål mail.docx", "A 9040-2023")</f>
        <v/>
      </c>
      <c r="X169">
        <f>HYPERLINK("https://klasma.github.io/Logging_0883/tillsyn/A 9040-2023 tillsynsbegäran.docx", "A 9040-2023")</f>
        <v/>
      </c>
      <c r="Y169">
        <f>HYPERLINK("https://klasma.github.io/Logging_0883/tillsynsmail/A 9040-2023 tillsynsbegäran mail.docx", "A 9040-2023")</f>
        <v/>
      </c>
    </row>
    <row r="170" ht="15" customHeight="1">
      <c r="A170" t="inlineStr">
        <is>
          <t>A 14090-2025</t>
        </is>
      </c>
      <c r="B170" s="1" t="n">
        <v>45740.44487268518</v>
      </c>
      <c r="C170" s="1" t="n">
        <v>46076</v>
      </c>
      <c r="D170" t="inlineStr">
        <is>
          <t>KALMAR LÄN</t>
        </is>
      </c>
      <c r="E170" t="inlineStr">
        <is>
          <t>VÄSTERVIK</t>
        </is>
      </c>
      <c r="F170" t="inlineStr">
        <is>
          <t>Sveaskog</t>
        </is>
      </c>
      <c r="G170" t="n">
        <v>1</v>
      </c>
      <c r="H170" t="n">
        <v>2</v>
      </c>
      <c r="I170" t="n">
        <v>0</v>
      </c>
      <c r="J170" t="n">
        <v>1</v>
      </c>
      <c r="K170" t="n">
        <v>0</v>
      </c>
      <c r="L170" t="n">
        <v>0</v>
      </c>
      <c r="M170" t="n">
        <v>0</v>
      </c>
      <c r="N170" t="n">
        <v>0</v>
      </c>
      <c r="O170" t="n">
        <v>1</v>
      </c>
      <c r="P170" t="n">
        <v>0</v>
      </c>
      <c r="Q170" t="n">
        <v>2</v>
      </c>
      <c r="R170" s="2" t="inlineStr">
        <is>
          <t>Grönsångare
Åkergroda</t>
        </is>
      </c>
      <c r="S170">
        <f>HYPERLINK("https://klasma.github.io/Logging_0883/artfynd/A 14090-2025 artfynd.xlsx", "A 14090-2025")</f>
        <v/>
      </c>
      <c r="T170">
        <f>HYPERLINK("https://klasma.github.io/Logging_0883/kartor/A 14090-2025 karta.png", "A 14090-2025")</f>
        <v/>
      </c>
      <c r="V170">
        <f>HYPERLINK("https://klasma.github.io/Logging_0883/klagomål/A 14090-2025 FSC-klagomål.docx", "A 14090-2025")</f>
        <v/>
      </c>
      <c r="W170">
        <f>HYPERLINK("https://klasma.github.io/Logging_0883/klagomålsmail/A 14090-2025 FSC-klagomål mail.docx", "A 14090-2025")</f>
        <v/>
      </c>
      <c r="X170">
        <f>HYPERLINK("https://klasma.github.io/Logging_0883/tillsyn/A 14090-2025 tillsynsbegäran.docx", "A 14090-2025")</f>
        <v/>
      </c>
      <c r="Y170">
        <f>HYPERLINK("https://klasma.github.io/Logging_0883/tillsynsmail/A 14090-2025 tillsynsbegäran mail.docx", "A 14090-2025")</f>
        <v/>
      </c>
      <c r="Z170">
        <f>HYPERLINK("https://klasma.github.io/Logging_0883/fåglar/A 14090-2025 prioriterade fågelarter.docx", "A 14090-2025")</f>
        <v/>
      </c>
    </row>
    <row r="171" ht="15" customHeight="1">
      <c r="A171" t="inlineStr">
        <is>
          <t>A 11849-2024</t>
        </is>
      </c>
      <c r="B171" s="1" t="n">
        <v>45376.41797453703</v>
      </c>
      <c r="C171" s="1" t="n">
        <v>46076</v>
      </c>
      <c r="D171" t="inlineStr">
        <is>
          <t>KALMAR LÄN</t>
        </is>
      </c>
      <c r="E171" t="inlineStr">
        <is>
          <t>VÄSTERVIK</t>
        </is>
      </c>
      <c r="F171" t="inlineStr">
        <is>
          <t>Sveaskog</t>
        </is>
      </c>
      <c r="G171" t="n">
        <v>5.3</v>
      </c>
      <c r="H171" t="n">
        <v>2</v>
      </c>
      <c r="I171" t="n">
        <v>0</v>
      </c>
      <c r="J171" t="n">
        <v>0</v>
      </c>
      <c r="K171" t="n">
        <v>0</v>
      </c>
      <c r="L171" t="n">
        <v>0</v>
      </c>
      <c r="M171" t="n">
        <v>0</v>
      </c>
      <c r="N171" t="n">
        <v>0</v>
      </c>
      <c r="O171" t="n">
        <v>0</v>
      </c>
      <c r="P171" t="n">
        <v>0</v>
      </c>
      <c r="Q171" t="n">
        <v>2</v>
      </c>
      <c r="R171" s="2" t="inlineStr">
        <is>
          <t>Mattlummer
Revlummer</t>
        </is>
      </c>
      <c r="S171">
        <f>HYPERLINK("https://klasma.github.io/Logging_0883/artfynd/A 11849-2024 artfynd.xlsx", "A 11849-2024")</f>
        <v/>
      </c>
      <c r="T171">
        <f>HYPERLINK("https://klasma.github.io/Logging_0883/kartor/A 11849-2024 karta.png", "A 11849-2024")</f>
        <v/>
      </c>
      <c r="V171">
        <f>HYPERLINK("https://klasma.github.io/Logging_0883/klagomål/A 11849-2024 FSC-klagomål.docx", "A 11849-2024")</f>
        <v/>
      </c>
      <c r="W171">
        <f>HYPERLINK("https://klasma.github.io/Logging_0883/klagomålsmail/A 11849-2024 FSC-klagomål mail.docx", "A 11849-2024")</f>
        <v/>
      </c>
      <c r="X171">
        <f>HYPERLINK("https://klasma.github.io/Logging_0883/tillsyn/A 11849-2024 tillsynsbegäran.docx", "A 11849-2024")</f>
        <v/>
      </c>
      <c r="Y171">
        <f>HYPERLINK("https://klasma.github.io/Logging_0883/tillsynsmail/A 11849-2024 tillsynsbegäran mail.docx", "A 11849-2024")</f>
        <v/>
      </c>
    </row>
    <row r="172" ht="15" customHeight="1">
      <c r="A172" t="inlineStr">
        <is>
          <t>A 63387-2025</t>
        </is>
      </c>
      <c r="B172" s="1" t="n">
        <v>46011.668125</v>
      </c>
      <c r="C172" s="1" t="n">
        <v>46076</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46076</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26992-2024</t>
        </is>
      </c>
      <c r="B174" s="1" t="n">
        <v>45471</v>
      </c>
      <c r="C174" s="1" t="n">
        <v>46076</v>
      </c>
      <c r="D174" t="inlineStr">
        <is>
          <t>KALMAR LÄN</t>
        </is>
      </c>
      <c r="E174" t="inlineStr">
        <is>
          <t>VÄSTERVIK</t>
        </is>
      </c>
      <c r="F174" t="inlineStr">
        <is>
          <t>Holmen skog AB</t>
        </is>
      </c>
      <c r="G174" t="n">
        <v>4.6</v>
      </c>
      <c r="H174" t="n">
        <v>2</v>
      </c>
      <c r="I174" t="n">
        <v>0</v>
      </c>
      <c r="J174" t="n">
        <v>2</v>
      </c>
      <c r="K174" t="n">
        <v>0</v>
      </c>
      <c r="L174" t="n">
        <v>0</v>
      </c>
      <c r="M174" t="n">
        <v>0</v>
      </c>
      <c r="N174" t="n">
        <v>0</v>
      </c>
      <c r="O174" t="n">
        <v>2</v>
      </c>
      <c r="P174" t="n">
        <v>0</v>
      </c>
      <c r="Q174" t="n">
        <v>2</v>
      </c>
      <c r="R174" s="2" t="inlineStr">
        <is>
          <t>Mindre hackspett
Talltita</t>
        </is>
      </c>
      <c r="S174">
        <f>HYPERLINK("https://klasma.github.io/Logging_0883/artfynd/A 26992-2024 artfynd.xlsx", "A 26992-2024")</f>
        <v/>
      </c>
      <c r="T174">
        <f>HYPERLINK("https://klasma.github.io/Logging_0883/kartor/A 26992-2024 karta.png", "A 26992-2024")</f>
        <v/>
      </c>
      <c r="V174">
        <f>HYPERLINK("https://klasma.github.io/Logging_0883/klagomål/A 26992-2024 FSC-klagomål.docx", "A 26992-2024")</f>
        <v/>
      </c>
      <c r="W174">
        <f>HYPERLINK("https://klasma.github.io/Logging_0883/klagomålsmail/A 26992-2024 FSC-klagomål mail.docx", "A 26992-2024")</f>
        <v/>
      </c>
      <c r="X174">
        <f>HYPERLINK("https://klasma.github.io/Logging_0883/tillsyn/A 26992-2024 tillsynsbegäran.docx", "A 26992-2024")</f>
        <v/>
      </c>
      <c r="Y174">
        <f>HYPERLINK("https://klasma.github.io/Logging_0883/tillsynsmail/A 26992-2024 tillsynsbegäran mail.docx", "A 26992-2024")</f>
        <v/>
      </c>
      <c r="Z174">
        <f>HYPERLINK("https://klasma.github.io/Logging_0883/fåglar/A 26992-2024 prioriterade fågelarter.docx", "A 26992-2024")</f>
        <v/>
      </c>
    </row>
    <row r="175" ht="15" customHeight="1">
      <c r="A175" t="inlineStr">
        <is>
          <t>A 28401-2024</t>
        </is>
      </c>
      <c r="B175" s="1" t="n">
        <v>45477</v>
      </c>
      <c r="C175" s="1" t="n">
        <v>46076</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51833-2021</t>
        </is>
      </c>
      <c r="B176" s="1" t="n">
        <v>44462</v>
      </c>
      <c r="C176" s="1" t="n">
        <v>46076</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40331-2024</t>
        </is>
      </c>
      <c r="B177" s="1" t="n">
        <v>45555.31039351852</v>
      </c>
      <c r="C177" s="1" t="n">
        <v>46076</v>
      </c>
      <c r="D177" t="inlineStr">
        <is>
          <t>KALMAR LÄN</t>
        </is>
      </c>
      <c r="E177" t="inlineStr">
        <is>
          <t>VÄSTERVIK</t>
        </is>
      </c>
      <c r="G177" t="n">
        <v>1.5</v>
      </c>
      <c r="H177" t="n">
        <v>1</v>
      </c>
      <c r="I177" t="n">
        <v>1</v>
      </c>
      <c r="J177" t="n">
        <v>0</v>
      </c>
      <c r="K177" t="n">
        <v>0</v>
      </c>
      <c r="L177" t="n">
        <v>0</v>
      </c>
      <c r="M177" t="n">
        <v>0</v>
      </c>
      <c r="N177" t="n">
        <v>0</v>
      </c>
      <c r="O177" t="n">
        <v>0</v>
      </c>
      <c r="P177" t="n">
        <v>0</v>
      </c>
      <c r="Q177" t="n">
        <v>2</v>
      </c>
      <c r="R177" s="2" t="inlineStr">
        <is>
          <t>Murgröna
Blåsippa</t>
        </is>
      </c>
      <c r="S177">
        <f>HYPERLINK("https://klasma.github.io/Logging_0883/artfynd/A 40331-2024 artfynd.xlsx", "A 40331-2024")</f>
        <v/>
      </c>
      <c r="T177">
        <f>HYPERLINK("https://klasma.github.io/Logging_0883/kartor/A 40331-2024 karta.png", "A 40331-2024")</f>
        <v/>
      </c>
      <c r="V177">
        <f>HYPERLINK("https://klasma.github.io/Logging_0883/klagomål/A 40331-2024 FSC-klagomål.docx", "A 40331-2024")</f>
        <v/>
      </c>
      <c r="W177">
        <f>HYPERLINK("https://klasma.github.io/Logging_0883/klagomålsmail/A 40331-2024 FSC-klagomål mail.docx", "A 40331-2024")</f>
        <v/>
      </c>
      <c r="X177">
        <f>HYPERLINK("https://klasma.github.io/Logging_0883/tillsyn/A 40331-2024 tillsynsbegäran.docx", "A 40331-2024")</f>
        <v/>
      </c>
      <c r="Y177">
        <f>HYPERLINK("https://klasma.github.io/Logging_0883/tillsynsmail/A 40331-2024 tillsynsbegäran mail.docx", "A 40331-2024")</f>
        <v/>
      </c>
    </row>
    <row r="178" ht="15" customHeight="1">
      <c r="A178" t="inlineStr">
        <is>
          <t>A 21081-2025</t>
        </is>
      </c>
      <c r="B178" s="1" t="n">
        <v>45777</v>
      </c>
      <c r="C178" s="1" t="n">
        <v>46076</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1879-2026</t>
        </is>
      </c>
      <c r="B179" s="1" t="n">
        <v>46035.47266203703</v>
      </c>
      <c r="C179" s="1" t="n">
        <v>46076</v>
      </c>
      <c r="D179" t="inlineStr">
        <is>
          <t>KALMAR LÄN</t>
        </is>
      </c>
      <c r="E179" t="inlineStr">
        <is>
          <t>VÄSTERVIK</t>
        </is>
      </c>
      <c r="G179" t="n">
        <v>1.6</v>
      </c>
      <c r="H179" t="n">
        <v>1</v>
      </c>
      <c r="I179" t="n">
        <v>0</v>
      </c>
      <c r="J179" t="n">
        <v>1</v>
      </c>
      <c r="K179" t="n">
        <v>1</v>
      </c>
      <c r="L179" t="n">
        <v>0</v>
      </c>
      <c r="M179" t="n">
        <v>0</v>
      </c>
      <c r="N179" t="n">
        <v>0</v>
      </c>
      <c r="O179" t="n">
        <v>2</v>
      </c>
      <c r="P179" t="n">
        <v>1</v>
      </c>
      <c r="Q179" t="n">
        <v>2</v>
      </c>
      <c r="R179" s="2" t="inlineStr">
        <is>
          <t>Knärot
Motaggsvamp</t>
        </is>
      </c>
      <c r="S179">
        <f>HYPERLINK("https://klasma.github.io/Logging_0883/artfynd/A 1879-2026 artfynd.xlsx", "A 1879-2026")</f>
        <v/>
      </c>
      <c r="T179">
        <f>HYPERLINK("https://klasma.github.io/Logging_0883/kartor/A 1879-2026 karta.png", "A 1879-2026")</f>
        <v/>
      </c>
      <c r="U179">
        <f>HYPERLINK("https://klasma.github.io/Logging_0883/knärot/A 1879-2026 karta knärot.png", "A 1879-2026")</f>
        <v/>
      </c>
      <c r="V179">
        <f>HYPERLINK("https://klasma.github.io/Logging_0883/klagomål/A 1879-2026 FSC-klagomål.docx", "A 1879-2026")</f>
        <v/>
      </c>
      <c r="W179">
        <f>HYPERLINK("https://klasma.github.io/Logging_0883/klagomålsmail/A 1879-2026 FSC-klagomål mail.docx", "A 1879-2026")</f>
        <v/>
      </c>
      <c r="X179">
        <f>HYPERLINK("https://klasma.github.io/Logging_0883/tillsyn/A 1879-2026 tillsynsbegäran.docx", "A 1879-2026")</f>
        <v/>
      </c>
      <c r="Y179">
        <f>HYPERLINK("https://klasma.github.io/Logging_0883/tillsynsmail/A 1879-2026 tillsynsbegäran mail.docx", "A 1879-2026")</f>
        <v/>
      </c>
    </row>
    <row r="180" ht="15" customHeight="1">
      <c r="A180" t="inlineStr">
        <is>
          <t>A 61804-2023</t>
        </is>
      </c>
      <c r="B180" s="1" t="n">
        <v>45266</v>
      </c>
      <c r="C180" s="1" t="n">
        <v>46076</v>
      </c>
      <c r="D180" t="inlineStr">
        <is>
          <t>KALMAR LÄN</t>
        </is>
      </c>
      <c r="E180" t="inlineStr">
        <is>
          <t>VÄSTERVIK</t>
        </is>
      </c>
      <c r="G180" t="n">
        <v>2.3</v>
      </c>
      <c r="H180" t="n">
        <v>0</v>
      </c>
      <c r="I180" t="n">
        <v>0</v>
      </c>
      <c r="J180" t="n">
        <v>2</v>
      </c>
      <c r="K180" t="n">
        <v>0</v>
      </c>
      <c r="L180" t="n">
        <v>0</v>
      </c>
      <c r="M180" t="n">
        <v>0</v>
      </c>
      <c r="N180" t="n">
        <v>0</v>
      </c>
      <c r="O180" t="n">
        <v>2</v>
      </c>
      <c r="P180" t="n">
        <v>0</v>
      </c>
      <c r="Q180" t="n">
        <v>2</v>
      </c>
      <c r="R180" s="2" t="inlineStr">
        <is>
          <t>Bredbrämad bastardsvärmare
Smalsprötad bastardsvärmare</t>
        </is>
      </c>
      <c r="S180">
        <f>HYPERLINK("https://klasma.github.io/Logging_0883/artfynd/A 61804-2023 artfynd.xlsx", "A 61804-2023")</f>
        <v/>
      </c>
      <c r="T180">
        <f>HYPERLINK("https://klasma.github.io/Logging_0883/kartor/A 61804-2023 karta.png", "A 61804-2023")</f>
        <v/>
      </c>
      <c r="V180">
        <f>HYPERLINK("https://klasma.github.io/Logging_0883/klagomål/A 61804-2023 FSC-klagomål.docx", "A 61804-2023")</f>
        <v/>
      </c>
      <c r="W180">
        <f>HYPERLINK("https://klasma.github.io/Logging_0883/klagomålsmail/A 61804-2023 FSC-klagomål mail.docx", "A 61804-2023")</f>
        <v/>
      </c>
      <c r="X180">
        <f>HYPERLINK("https://klasma.github.io/Logging_0883/tillsyn/A 61804-2023 tillsynsbegäran.docx", "A 61804-2023")</f>
        <v/>
      </c>
      <c r="Y180">
        <f>HYPERLINK("https://klasma.github.io/Logging_0883/tillsynsmail/A 61804-2023 tillsynsbegäran mail.docx", "A 61804-2023")</f>
        <v/>
      </c>
    </row>
    <row r="181" ht="15" customHeight="1">
      <c r="A181" t="inlineStr">
        <is>
          <t>A 8618-2024</t>
        </is>
      </c>
      <c r="B181" s="1" t="n">
        <v>45355.73453703704</v>
      </c>
      <c r="C181" s="1" t="n">
        <v>46076</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948-2024</t>
        </is>
      </c>
      <c r="B182" s="1" t="n">
        <v>45301</v>
      </c>
      <c r="C182" s="1" t="n">
        <v>46076</v>
      </c>
      <c r="D182" t="inlineStr">
        <is>
          <t>KALMAR LÄN</t>
        </is>
      </c>
      <c r="E182" t="inlineStr">
        <is>
          <t>VÄSTERVIK</t>
        </is>
      </c>
      <c r="G182" t="n">
        <v>4.5</v>
      </c>
      <c r="H182" t="n">
        <v>1</v>
      </c>
      <c r="I182" t="n">
        <v>1</v>
      </c>
      <c r="J182" t="n">
        <v>0</v>
      </c>
      <c r="K182" t="n">
        <v>0</v>
      </c>
      <c r="L182" t="n">
        <v>0</v>
      </c>
      <c r="M182" t="n">
        <v>0</v>
      </c>
      <c r="N182" t="n">
        <v>0</v>
      </c>
      <c r="O182" t="n">
        <v>0</v>
      </c>
      <c r="P182" t="n">
        <v>0</v>
      </c>
      <c r="Q182" t="n">
        <v>2</v>
      </c>
      <c r="R182" s="2" t="inlineStr">
        <is>
          <t>Dropptaggsvamp
Tjäder</t>
        </is>
      </c>
      <c r="S182">
        <f>HYPERLINK("https://klasma.github.io/Logging_0883/artfynd/A 948-2024 artfynd.xlsx", "A 948-2024")</f>
        <v/>
      </c>
      <c r="T182">
        <f>HYPERLINK("https://klasma.github.io/Logging_0883/kartor/A 948-2024 karta.png", "A 948-2024")</f>
        <v/>
      </c>
      <c r="V182">
        <f>HYPERLINK("https://klasma.github.io/Logging_0883/klagomål/A 948-2024 FSC-klagomål.docx", "A 948-2024")</f>
        <v/>
      </c>
      <c r="W182">
        <f>HYPERLINK("https://klasma.github.io/Logging_0883/klagomålsmail/A 948-2024 FSC-klagomål mail.docx", "A 948-2024")</f>
        <v/>
      </c>
      <c r="X182">
        <f>HYPERLINK("https://klasma.github.io/Logging_0883/tillsyn/A 948-2024 tillsynsbegäran.docx", "A 948-2024")</f>
        <v/>
      </c>
      <c r="Y182">
        <f>HYPERLINK("https://klasma.github.io/Logging_0883/tillsynsmail/A 948-2024 tillsynsbegäran mail.docx", "A 948-2024")</f>
        <v/>
      </c>
      <c r="Z182">
        <f>HYPERLINK("https://klasma.github.io/Logging_0883/fåglar/A 948-2024 prioriterade fågelarter.docx", "A 948-2024")</f>
        <v/>
      </c>
    </row>
    <row r="183" ht="15" customHeight="1">
      <c r="A183" t="inlineStr">
        <is>
          <t>A 16419-2024</t>
        </is>
      </c>
      <c r="B183" s="1" t="n">
        <v>45407</v>
      </c>
      <c r="C183" s="1" t="n">
        <v>46076</v>
      </c>
      <c r="D183" t="inlineStr">
        <is>
          <t>KALMAR LÄN</t>
        </is>
      </c>
      <c r="E183" t="inlineStr">
        <is>
          <t>VÄSTERVIK</t>
        </is>
      </c>
      <c r="F183" t="inlineStr">
        <is>
          <t>Holmen skog AB</t>
        </is>
      </c>
      <c r="G183" t="n">
        <v>1.8</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16419-2024 artfynd.xlsx", "A 16419-2024")</f>
        <v/>
      </c>
      <c r="T183">
        <f>HYPERLINK("https://klasma.github.io/Logging_0883/kartor/A 16419-2024 karta.png", "A 16419-2024")</f>
        <v/>
      </c>
      <c r="U183">
        <f>HYPERLINK("https://klasma.github.io/Logging_0883/knärot/A 16419-2024 karta knärot.png", "A 16419-2024")</f>
        <v/>
      </c>
      <c r="V183">
        <f>HYPERLINK("https://klasma.github.io/Logging_0883/klagomål/A 16419-2024 FSC-klagomål.docx", "A 16419-2024")</f>
        <v/>
      </c>
      <c r="W183">
        <f>HYPERLINK("https://klasma.github.io/Logging_0883/klagomålsmail/A 16419-2024 FSC-klagomål mail.docx", "A 16419-2024")</f>
        <v/>
      </c>
      <c r="X183">
        <f>HYPERLINK("https://klasma.github.io/Logging_0883/tillsyn/A 16419-2024 tillsynsbegäran.docx", "A 16419-2024")</f>
        <v/>
      </c>
      <c r="Y183">
        <f>HYPERLINK("https://klasma.github.io/Logging_0883/tillsynsmail/A 16419-2024 tillsynsbegäran mail.docx", "A 16419-2024")</f>
        <v/>
      </c>
      <c r="Z183">
        <f>HYPERLINK("https://klasma.github.io/Logging_0883/fåglar/A 16419-2024 prioriterade fågelarter.docx", "A 16419-2024")</f>
        <v/>
      </c>
    </row>
    <row r="184" ht="15" customHeight="1">
      <c r="A184" t="inlineStr">
        <is>
          <t>A 47935-2023</t>
        </is>
      </c>
      <c r="B184" s="1" t="n">
        <v>45204</v>
      </c>
      <c r="C184" s="1" t="n">
        <v>46076</v>
      </c>
      <c r="D184" t="inlineStr">
        <is>
          <t>KALMAR LÄN</t>
        </is>
      </c>
      <c r="E184" t="inlineStr">
        <is>
          <t>VÄSTERVIK</t>
        </is>
      </c>
      <c r="G184" t="n">
        <v>4.3</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47935-2023 artfynd.xlsx", "A 47935-2023")</f>
        <v/>
      </c>
      <c r="T184">
        <f>HYPERLINK("https://klasma.github.io/Logging_0883/kartor/A 47935-2023 karta.png", "A 47935-2023")</f>
        <v/>
      </c>
      <c r="V184">
        <f>HYPERLINK("https://klasma.github.io/Logging_0883/klagomål/A 47935-2023 FSC-klagomål.docx", "A 47935-2023")</f>
        <v/>
      </c>
      <c r="W184">
        <f>HYPERLINK("https://klasma.github.io/Logging_0883/klagomålsmail/A 47935-2023 FSC-klagomål mail.docx", "A 47935-2023")</f>
        <v/>
      </c>
      <c r="X184">
        <f>HYPERLINK("https://klasma.github.io/Logging_0883/tillsyn/A 47935-2023 tillsynsbegäran.docx", "A 47935-2023")</f>
        <v/>
      </c>
      <c r="Y184">
        <f>HYPERLINK("https://klasma.github.io/Logging_0883/tillsynsmail/A 47935-2023 tillsynsbegäran mail.docx", "A 47935-2023")</f>
        <v/>
      </c>
    </row>
    <row r="185" ht="15" customHeight="1">
      <c r="A185" t="inlineStr">
        <is>
          <t>A 12598-2024</t>
        </is>
      </c>
      <c r="B185" s="1" t="n">
        <v>45380</v>
      </c>
      <c r="C185" s="1" t="n">
        <v>46076</v>
      </c>
      <c r="D185" t="inlineStr">
        <is>
          <t>KALMAR LÄN</t>
        </is>
      </c>
      <c r="E185" t="inlineStr">
        <is>
          <t>VÄSTERVIK</t>
        </is>
      </c>
      <c r="F185" t="inlineStr">
        <is>
          <t>Holmen skog AB</t>
        </is>
      </c>
      <c r="G185" t="n">
        <v>5</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12598-2024 artfynd.xlsx", "A 12598-2024")</f>
        <v/>
      </c>
      <c r="T185">
        <f>HYPERLINK("https://klasma.github.io/Logging_0883/kartor/A 12598-2024 karta.png", "A 12598-2024")</f>
        <v/>
      </c>
      <c r="U185">
        <f>HYPERLINK("https://klasma.github.io/Logging_0883/knärot/A 12598-2024 karta knärot.png", "A 12598-2024")</f>
        <v/>
      </c>
      <c r="V185">
        <f>HYPERLINK("https://klasma.github.io/Logging_0883/klagomål/A 12598-2024 FSC-klagomål.docx", "A 12598-2024")</f>
        <v/>
      </c>
      <c r="W185">
        <f>HYPERLINK("https://klasma.github.io/Logging_0883/klagomålsmail/A 12598-2024 FSC-klagomål mail.docx", "A 12598-2024")</f>
        <v/>
      </c>
      <c r="X185">
        <f>HYPERLINK("https://klasma.github.io/Logging_0883/tillsyn/A 12598-2024 tillsynsbegäran.docx", "A 12598-2024")</f>
        <v/>
      </c>
      <c r="Y185">
        <f>HYPERLINK("https://klasma.github.io/Logging_0883/tillsynsmail/A 12598-2024 tillsynsbegäran mail.docx", "A 12598-2024")</f>
        <v/>
      </c>
    </row>
    <row r="186" ht="15" customHeight="1">
      <c r="A186" t="inlineStr">
        <is>
          <t>A 9770-2024</t>
        </is>
      </c>
      <c r="B186" s="1" t="n">
        <v>45362.63960648148</v>
      </c>
      <c r="C186" s="1" t="n">
        <v>46076</v>
      </c>
      <c r="D186" t="inlineStr">
        <is>
          <t>KALMAR LÄN</t>
        </is>
      </c>
      <c r="E186" t="inlineStr">
        <is>
          <t>VÄSTERVIK</t>
        </is>
      </c>
      <c r="G186" t="n">
        <v>2.6</v>
      </c>
      <c r="H186" t="n">
        <v>2</v>
      </c>
      <c r="I186" t="n">
        <v>0</v>
      </c>
      <c r="J186" t="n">
        <v>1</v>
      </c>
      <c r="K186" t="n">
        <v>0</v>
      </c>
      <c r="L186" t="n">
        <v>0</v>
      </c>
      <c r="M186" t="n">
        <v>0</v>
      </c>
      <c r="N186" t="n">
        <v>0</v>
      </c>
      <c r="O186" t="n">
        <v>1</v>
      </c>
      <c r="P186" t="n">
        <v>0</v>
      </c>
      <c r="Q186" t="n">
        <v>2</v>
      </c>
      <c r="R186" s="2" t="inlineStr">
        <is>
          <t>Talltita
Tjäder</t>
        </is>
      </c>
      <c r="S186">
        <f>HYPERLINK("https://klasma.github.io/Logging_0883/artfynd/A 9770-2024 artfynd.xlsx", "A 9770-2024")</f>
        <v/>
      </c>
      <c r="T186">
        <f>HYPERLINK("https://klasma.github.io/Logging_0883/kartor/A 9770-2024 karta.png", "A 9770-2024")</f>
        <v/>
      </c>
      <c r="V186">
        <f>HYPERLINK("https://klasma.github.io/Logging_0883/klagomål/A 9770-2024 FSC-klagomål.docx", "A 9770-2024")</f>
        <v/>
      </c>
      <c r="W186">
        <f>HYPERLINK("https://klasma.github.io/Logging_0883/klagomålsmail/A 9770-2024 FSC-klagomål mail.docx", "A 9770-2024")</f>
        <v/>
      </c>
      <c r="X186">
        <f>HYPERLINK("https://klasma.github.io/Logging_0883/tillsyn/A 9770-2024 tillsynsbegäran.docx", "A 9770-2024")</f>
        <v/>
      </c>
      <c r="Y186">
        <f>HYPERLINK("https://klasma.github.io/Logging_0883/tillsynsmail/A 9770-2024 tillsynsbegäran mail.docx", "A 9770-2024")</f>
        <v/>
      </c>
      <c r="Z186">
        <f>HYPERLINK("https://klasma.github.io/Logging_0883/fåglar/A 9770-2024 prioriterade fågelarter.docx", "A 9770-2024")</f>
        <v/>
      </c>
    </row>
    <row r="187" ht="15" customHeight="1">
      <c r="A187" t="inlineStr">
        <is>
          <t>A 941-2024</t>
        </is>
      </c>
      <c r="B187" s="1" t="n">
        <v>45301</v>
      </c>
      <c r="C187" s="1" t="n">
        <v>46076</v>
      </c>
      <c r="D187" t="inlineStr">
        <is>
          <t>KALMAR LÄN</t>
        </is>
      </c>
      <c r="E187" t="inlineStr">
        <is>
          <t>VÄSTERVIK</t>
        </is>
      </c>
      <c r="G187" t="n">
        <v>2.7</v>
      </c>
      <c r="H187" t="n">
        <v>1</v>
      </c>
      <c r="I187" t="n">
        <v>0</v>
      </c>
      <c r="J187" t="n">
        <v>1</v>
      </c>
      <c r="K187" t="n">
        <v>1</v>
      </c>
      <c r="L187" t="n">
        <v>0</v>
      </c>
      <c r="M187" t="n">
        <v>0</v>
      </c>
      <c r="N187" t="n">
        <v>0</v>
      </c>
      <c r="O187" t="n">
        <v>2</v>
      </c>
      <c r="P187" t="n">
        <v>1</v>
      </c>
      <c r="Q187" t="n">
        <v>2</v>
      </c>
      <c r="R187" s="2" t="inlineStr">
        <is>
          <t>Knärot
Svinrot</t>
        </is>
      </c>
      <c r="S187">
        <f>HYPERLINK("https://klasma.github.io/Logging_0883/artfynd/A 941-2024 artfynd.xlsx", "A 941-2024")</f>
        <v/>
      </c>
      <c r="T187">
        <f>HYPERLINK("https://klasma.github.io/Logging_0883/kartor/A 941-2024 karta.png", "A 941-2024")</f>
        <v/>
      </c>
      <c r="U187">
        <f>HYPERLINK("https://klasma.github.io/Logging_0883/knärot/A 941-2024 karta knärot.png", "A 941-2024")</f>
        <v/>
      </c>
      <c r="V187">
        <f>HYPERLINK("https://klasma.github.io/Logging_0883/klagomål/A 941-2024 FSC-klagomål.docx", "A 941-2024")</f>
        <v/>
      </c>
      <c r="W187">
        <f>HYPERLINK("https://klasma.github.io/Logging_0883/klagomålsmail/A 941-2024 FSC-klagomål mail.docx", "A 941-2024")</f>
        <v/>
      </c>
      <c r="X187">
        <f>HYPERLINK("https://klasma.github.io/Logging_0883/tillsyn/A 941-2024 tillsynsbegäran.docx", "A 941-2024")</f>
        <v/>
      </c>
      <c r="Y187">
        <f>HYPERLINK("https://klasma.github.io/Logging_0883/tillsynsmail/A 941-2024 tillsynsbegäran mail.docx", "A 941-2024")</f>
        <v/>
      </c>
    </row>
    <row r="188" ht="15" customHeight="1">
      <c r="A188" t="inlineStr">
        <is>
          <t>A 62889-2025</t>
        </is>
      </c>
      <c r="B188" s="1" t="n">
        <v>46009.32436342593</v>
      </c>
      <c r="C188" s="1" t="n">
        <v>46076</v>
      </c>
      <c r="D188" t="inlineStr">
        <is>
          <t>KALMAR LÄN</t>
        </is>
      </c>
      <c r="E188" t="inlineStr">
        <is>
          <t>VÄSTERVIK</t>
        </is>
      </c>
      <c r="G188" t="n">
        <v>1.8</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62889-2025 artfynd.xlsx", "A 62889-2025")</f>
        <v/>
      </c>
      <c r="T188">
        <f>HYPERLINK("https://klasma.github.io/Logging_0883/kartor/A 62889-2025 karta.png", "A 62889-2025")</f>
        <v/>
      </c>
      <c r="U188">
        <f>HYPERLINK("https://klasma.github.io/Logging_0883/knärot/A 62889-2025 karta knärot.png", "A 62889-2025")</f>
        <v/>
      </c>
      <c r="V188">
        <f>HYPERLINK("https://klasma.github.io/Logging_0883/klagomål/A 62889-2025 FSC-klagomål.docx", "A 62889-2025")</f>
        <v/>
      </c>
      <c r="W188">
        <f>HYPERLINK("https://klasma.github.io/Logging_0883/klagomålsmail/A 62889-2025 FSC-klagomål mail.docx", "A 62889-2025")</f>
        <v/>
      </c>
      <c r="X188">
        <f>HYPERLINK("https://klasma.github.io/Logging_0883/tillsyn/A 62889-2025 tillsynsbegäran.docx", "A 62889-2025")</f>
        <v/>
      </c>
      <c r="Y188">
        <f>HYPERLINK("https://klasma.github.io/Logging_0883/tillsynsmail/A 62889-2025 tillsynsbegäran mail.docx", "A 62889-2025")</f>
        <v/>
      </c>
    </row>
    <row r="189" ht="15" customHeight="1">
      <c r="A189" t="inlineStr">
        <is>
          <t>A 1767-2025</t>
        </is>
      </c>
      <c r="B189" s="1" t="n">
        <v>45671</v>
      </c>
      <c r="C189" s="1" t="n">
        <v>46076</v>
      </c>
      <c r="D189" t="inlineStr">
        <is>
          <t>KALMAR LÄN</t>
        </is>
      </c>
      <c r="E189" t="inlineStr">
        <is>
          <t>VÄSTERVIK</t>
        </is>
      </c>
      <c r="G189" t="n">
        <v>1.4</v>
      </c>
      <c r="H189" t="n">
        <v>1</v>
      </c>
      <c r="I189" t="n">
        <v>0</v>
      </c>
      <c r="J189" t="n">
        <v>2</v>
      </c>
      <c r="K189" t="n">
        <v>0</v>
      </c>
      <c r="L189" t="n">
        <v>0</v>
      </c>
      <c r="M189" t="n">
        <v>0</v>
      </c>
      <c r="N189" t="n">
        <v>0</v>
      </c>
      <c r="O189" t="n">
        <v>2</v>
      </c>
      <c r="P189" t="n">
        <v>0</v>
      </c>
      <c r="Q189" t="n">
        <v>2</v>
      </c>
      <c r="R189" s="2" t="inlineStr">
        <is>
          <t>Garnlav
Spillkråka</t>
        </is>
      </c>
      <c r="S189">
        <f>HYPERLINK("https://klasma.github.io/Logging_0883/artfynd/A 1767-2025 artfynd.xlsx", "A 1767-2025")</f>
        <v/>
      </c>
      <c r="T189">
        <f>HYPERLINK("https://klasma.github.io/Logging_0883/kartor/A 1767-2025 karta.png", "A 1767-2025")</f>
        <v/>
      </c>
      <c r="U189">
        <f>HYPERLINK("https://klasma.github.io/Logging_0883/knärot/A 1767-2025 karta knärot.png", "A 1767-2025")</f>
        <v/>
      </c>
      <c r="V189">
        <f>HYPERLINK("https://klasma.github.io/Logging_0883/klagomål/A 1767-2025 FSC-klagomål.docx", "A 1767-2025")</f>
        <v/>
      </c>
      <c r="W189">
        <f>HYPERLINK("https://klasma.github.io/Logging_0883/klagomålsmail/A 1767-2025 FSC-klagomål mail.docx", "A 1767-2025")</f>
        <v/>
      </c>
      <c r="X189">
        <f>HYPERLINK("https://klasma.github.io/Logging_0883/tillsyn/A 1767-2025 tillsynsbegäran.docx", "A 1767-2025")</f>
        <v/>
      </c>
      <c r="Y189">
        <f>HYPERLINK("https://klasma.github.io/Logging_0883/tillsynsmail/A 1767-2025 tillsynsbegäran mail.docx", "A 1767-2025")</f>
        <v/>
      </c>
      <c r="Z189">
        <f>HYPERLINK("https://klasma.github.io/Logging_0883/fåglar/A 1767-2025 prioriterade fågelarter.docx", "A 1767-2025")</f>
        <v/>
      </c>
    </row>
    <row r="190" ht="15" customHeight="1">
      <c r="A190" t="inlineStr">
        <is>
          <t>A 911-2024</t>
        </is>
      </c>
      <c r="B190" s="1" t="n">
        <v>45301</v>
      </c>
      <c r="C190" s="1" t="n">
        <v>46076</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46076</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46076</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46076</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46076</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46076</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46076</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46076</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46076</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46076</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46076</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46076</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46076</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46076</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46076</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46076</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46076</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46076</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46076</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55360-2024</t>
        </is>
      </c>
      <c r="B209" s="1" t="n">
        <v>45621.8252199074</v>
      </c>
      <c r="C209" s="1" t="n">
        <v>46076</v>
      </c>
      <c r="D209" t="inlineStr">
        <is>
          <t>KALMAR LÄN</t>
        </is>
      </c>
      <c r="E209" t="inlineStr">
        <is>
          <t>VÄSTERVIK</t>
        </is>
      </c>
      <c r="F209" t="inlineStr">
        <is>
          <t>Sveaskog</t>
        </is>
      </c>
      <c r="G209" t="n">
        <v>11.1</v>
      </c>
      <c r="H209" t="n">
        <v>0</v>
      </c>
      <c r="I209" t="n">
        <v>0</v>
      </c>
      <c r="J209" t="n">
        <v>1</v>
      </c>
      <c r="K209" t="n">
        <v>0</v>
      </c>
      <c r="L209" t="n">
        <v>0</v>
      </c>
      <c r="M209" t="n">
        <v>0</v>
      </c>
      <c r="N209" t="n">
        <v>0</v>
      </c>
      <c r="O209" t="n">
        <v>1</v>
      </c>
      <c r="P209" t="n">
        <v>0</v>
      </c>
      <c r="Q209" t="n">
        <v>1</v>
      </c>
      <c r="R209" s="2" t="inlineStr">
        <is>
          <t>Vårstarr</t>
        </is>
      </c>
      <c r="S209">
        <f>HYPERLINK("https://klasma.github.io/Logging_0883/artfynd/A 55360-2024 artfynd.xlsx", "A 55360-2024")</f>
        <v/>
      </c>
      <c r="T209">
        <f>HYPERLINK("https://klasma.github.io/Logging_0883/kartor/A 55360-2024 karta.png", "A 55360-2024")</f>
        <v/>
      </c>
      <c r="V209">
        <f>HYPERLINK("https://klasma.github.io/Logging_0883/klagomål/A 55360-2024 FSC-klagomål.docx", "A 55360-2024")</f>
        <v/>
      </c>
      <c r="W209">
        <f>HYPERLINK("https://klasma.github.io/Logging_0883/klagomålsmail/A 55360-2024 FSC-klagomål mail.docx", "A 55360-2024")</f>
        <v/>
      </c>
      <c r="X209">
        <f>HYPERLINK("https://klasma.github.io/Logging_0883/tillsyn/A 55360-2024 tillsynsbegäran.docx", "A 55360-2024")</f>
        <v/>
      </c>
      <c r="Y209">
        <f>HYPERLINK("https://klasma.github.io/Logging_0883/tillsynsmail/A 55360-2024 tillsynsbegäran mail.docx", "A 55360-2024")</f>
        <v/>
      </c>
    </row>
    <row r="210" ht="15" customHeight="1">
      <c r="A210" t="inlineStr">
        <is>
          <t>A 1775-2025</t>
        </is>
      </c>
      <c r="B210" s="1" t="n">
        <v>45671.44059027778</v>
      </c>
      <c r="C210" s="1" t="n">
        <v>46076</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51488-2024</t>
        </is>
      </c>
      <c r="B211" s="1" t="n">
        <v>45604</v>
      </c>
      <c r="C211" s="1" t="n">
        <v>46076</v>
      </c>
      <c r="D211" t="inlineStr">
        <is>
          <t>KALMAR LÄN</t>
        </is>
      </c>
      <c r="E211" t="inlineStr">
        <is>
          <t>VÄSTERVIK</t>
        </is>
      </c>
      <c r="F211" t="inlineStr">
        <is>
          <t>Övriga Aktiebolag</t>
        </is>
      </c>
      <c r="G211" t="n">
        <v>2.9</v>
      </c>
      <c r="H211" t="n">
        <v>1</v>
      </c>
      <c r="I211" t="n">
        <v>0</v>
      </c>
      <c r="J211" t="n">
        <v>1</v>
      </c>
      <c r="K211" t="n">
        <v>0</v>
      </c>
      <c r="L211" t="n">
        <v>0</v>
      </c>
      <c r="M211" t="n">
        <v>0</v>
      </c>
      <c r="N211" t="n">
        <v>0</v>
      </c>
      <c r="O211" t="n">
        <v>1</v>
      </c>
      <c r="P211" t="n">
        <v>0</v>
      </c>
      <c r="Q211" t="n">
        <v>1</v>
      </c>
      <c r="R211" s="2" t="inlineStr">
        <is>
          <t>Entita</t>
        </is>
      </c>
      <c r="S211">
        <f>HYPERLINK("https://klasma.github.io/Logging_0883/artfynd/A 51488-2024 artfynd.xlsx", "A 51488-2024")</f>
        <v/>
      </c>
      <c r="T211">
        <f>HYPERLINK("https://klasma.github.io/Logging_0883/kartor/A 51488-2024 karta.png", "A 51488-2024")</f>
        <v/>
      </c>
      <c r="V211">
        <f>HYPERLINK("https://klasma.github.io/Logging_0883/klagomål/A 51488-2024 FSC-klagomål.docx", "A 51488-2024")</f>
        <v/>
      </c>
      <c r="W211">
        <f>HYPERLINK("https://klasma.github.io/Logging_0883/klagomålsmail/A 51488-2024 FSC-klagomål mail.docx", "A 51488-2024")</f>
        <v/>
      </c>
      <c r="X211">
        <f>HYPERLINK("https://klasma.github.io/Logging_0883/tillsyn/A 51488-2024 tillsynsbegäran.docx", "A 51488-2024")</f>
        <v/>
      </c>
      <c r="Y211">
        <f>HYPERLINK("https://klasma.github.io/Logging_0883/tillsynsmail/A 51488-2024 tillsynsbegäran mail.docx", "A 51488-2024")</f>
        <v/>
      </c>
      <c r="Z211">
        <f>HYPERLINK("https://klasma.github.io/Logging_0883/fåglar/A 51488-2024 prioriterade fågelarter.docx", "A 51488-2024")</f>
        <v/>
      </c>
    </row>
    <row r="212" ht="15" customHeight="1">
      <c r="A212" t="inlineStr">
        <is>
          <t>A 30794-2025</t>
        </is>
      </c>
      <c r="B212" s="1" t="n">
        <v>45831.63834490741</v>
      </c>
      <c r="C212" s="1" t="n">
        <v>46076</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3673-2025</t>
        </is>
      </c>
      <c r="B213" s="1" t="n">
        <v>45681.43706018518</v>
      </c>
      <c r="C213" s="1" t="n">
        <v>46076</v>
      </c>
      <c r="D213" t="inlineStr">
        <is>
          <t>KALMAR LÄN</t>
        </is>
      </c>
      <c r="E213" t="inlineStr">
        <is>
          <t>VÄSTERVIK</t>
        </is>
      </c>
      <c r="G213" t="n">
        <v>1.1</v>
      </c>
      <c r="H213" t="n">
        <v>0</v>
      </c>
      <c r="I213" t="n">
        <v>1</v>
      </c>
      <c r="J213" t="n">
        <v>0</v>
      </c>
      <c r="K213" t="n">
        <v>0</v>
      </c>
      <c r="L213" t="n">
        <v>0</v>
      </c>
      <c r="M213" t="n">
        <v>0</v>
      </c>
      <c r="N213" t="n">
        <v>0</v>
      </c>
      <c r="O213" t="n">
        <v>0</v>
      </c>
      <c r="P213" t="n">
        <v>0</v>
      </c>
      <c r="Q213" t="n">
        <v>1</v>
      </c>
      <c r="R213" s="2" t="inlineStr">
        <is>
          <t>Blodticka</t>
        </is>
      </c>
      <c r="S213">
        <f>HYPERLINK("https://klasma.github.io/Logging_0883/artfynd/A 3673-2025 artfynd.xlsx", "A 3673-2025")</f>
        <v/>
      </c>
      <c r="T213">
        <f>HYPERLINK("https://klasma.github.io/Logging_0883/kartor/A 3673-2025 karta.png", "A 3673-2025")</f>
        <v/>
      </c>
      <c r="V213">
        <f>HYPERLINK("https://klasma.github.io/Logging_0883/klagomål/A 3673-2025 FSC-klagomål.docx", "A 3673-2025")</f>
        <v/>
      </c>
      <c r="W213">
        <f>HYPERLINK("https://klasma.github.io/Logging_0883/klagomålsmail/A 3673-2025 FSC-klagomål mail.docx", "A 3673-2025")</f>
        <v/>
      </c>
      <c r="X213">
        <f>HYPERLINK("https://klasma.github.io/Logging_0883/tillsyn/A 3673-2025 tillsynsbegäran.docx", "A 3673-2025")</f>
        <v/>
      </c>
      <c r="Y213">
        <f>HYPERLINK("https://klasma.github.io/Logging_0883/tillsynsmail/A 3673-2025 tillsynsbegäran mail.docx", "A 3673-2025")</f>
        <v/>
      </c>
    </row>
    <row r="214" ht="15" customHeight="1">
      <c r="A214" t="inlineStr">
        <is>
          <t>A 9261-2025</t>
        </is>
      </c>
      <c r="B214" s="1" t="n">
        <v>45714.60472222222</v>
      </c>
      <c r="C214" s="1" t="n">
        <v>46076</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6657-2025</t>
        </is>
      </c>
      <c r="B215" s="1" t="n">
        <v>45700</v>
      </c>
      <c r="C215" s="1" t="n">
        <v>46076</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46076</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27426-2025</t>
        </is>
      </c>
      <c r="B217" s="1" t="n">
        <v>45813</v>
      </c>
      <c r="C217" s="1" t="n">
        <v>46076</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34166-2025</t>
        </is>
      </c>
      <c r="B218" s="1" t="n">
        <v>45845.5819675926</v>
      </c>
      <c r="C218" s="1" t="n">
        <v>46076</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46076</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46076</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46076</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11195-2024</t>
        </is>
      </c>
      <c r="B222" s="1" t="n">
        <v>45371</v>
      </c>
      <c r="C222" s="1" t="n">
        <v>46076</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1176-2024</t>
        </is>
      </c>
      <c r="B223" s="1" t="n">
        <v>45302</v>
      </c>
      <c r="C223" s="1" t="n">
        <v>46076</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44618-2025</t>
        </is>
      </c>
      <c r="B224" s="1" t="n">
        <v>45917.46385416666</v>
      </c>
      <c r="C224" s="1" t="n">
        <v>46076</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46076</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1024-2023</t>
        </is>
      </c>
      <c r="B226" s="1" t="n">
        <v>44935</v>
      </c>
      <c r="C226" s="1" t="n">
        <v>46076</v>
      </c>
      <c r="D226" t="inlineStr">
        <is>
          <t>KALMAR LÄN</t>
        </is>
      </c>
      <c r="E226" t="inlineStr">
        <is>
          <t>VÄSTERVIK</t>
        </is>
      </c>
      <c r="F226" t="inlineStr">
        <is>
          <t>Holmen skog AB</t>
        </is>
      </c>
      <c r="G226" t="n">
        <v>1.9</v>
      </c>
      <c r="H226" t="n">
        <v>0</v>
      </c>
      <c r="I226" t="n">
        <v>0</v>
      </c>
      <c r="J226" t="n">
        <v>1</v>
      </c>
      <c r="K226" t="n">
        <v>0</v>
      </c>
      <c r="L226" t="n">
        <v>0</v>
      </c>
      <c r="M226" t="n">
        <v>0</v>
      </c>
      <c r="N226" t="n">
        <v>0</v>
      </c>
      <c r="O226" t="n">
        <v>1</v>
      </c>
      <c r="P226" t="n">
        <v>0</v>
      </c>
      <c r="Q226" t="n">
        <v>1</v>
      </c>
      <c r="R226" s="2" t="inlineStr">
        <is>
          <t>Ekticka</t>
        </is>
      </c>
      <c r="S226">
        <f>HYPERLINK("https://klasma.github.io/Logging_0883/artfynd/A 1024-2023 artfynd.xlsx", "A 1024-2023")</f>
        <v/>
      </c>
      <c r="T226">
        <f>HYPERLINK("https://klasma.github.io/Logging_0883/kartor/A 1024-2023 karta.png", "A 1024-2023")</f>
        <v/>
      </c>
      <c r="V226">
        <f>HYPERLINK("https://klasma.github.io/Logging_0883/klagomål/A 1024-2023 FSC-klagomål.docx", "A 1024-2023")</f>
        <v/>
      </c>
      <c r="W226">
        <f>HYPERLINK("https://klasma.github.io/Logging_0883/klagomålsmail/A 1024-2023 FSC-klagomål mail.docx", "A 1024-2023")</f>
        <v/>
      </c>
      <c r="X226">
        <f>HYPERLINK("https://klasma.github.io/Logging_0883/tillsyn/A 1024-2023 tillsynsbegäran.docx", "A 1024-2023")</f>
        <v/>
      </c>
      <c r="Y226">
        <f>HYPERLINK("https://klasma.github.io/Logging_0883/tillsynsmail/A 1024-2023 tillsynsbegäran mail.docx", "A 1024-2023")</f>
        <v/>
      </c>
    </row>
    <row r="227" ht="15" customHeight="1">
      <c r="A227" t="inlineStr">
        <is>
          <t>A 10768-2025</t>
        </is>
      </c>
      <c r="B227" s="1" t="n">
        <v>45722.46649305556</v>
      </c>
      <c r="C227" s="1" t="n">
        <v>46076</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46076</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46076</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1370-2024</t>
        </is>
      </c>
      <c r="B230" s="1" t="n">
        <v>45303</v>
      </c>
      <c r="C230" s="1" t="n">
        <v>46076</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9571-2025</t>
        </is>
      </c>
      <c r="B231" s="1" t="n">
        <v>45715.61996527778</v>
      </c>
      <c r="C231" s="1" t="n">
        <v>46076</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46076</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11165-2024</t>
        </is>
      </c>
      <c r="B233" s="1" t="n">
        <v>45371</v>
      </c>
      <c r="C233" s="1" t="n">
        <v>46076</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46076</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50172-2025</t>
        </is>
      </c>
      <c r="B235" s="1" t="n">
        <v>45943.60153935185</v>
      </c>
      <c r="C235" s="1" t="n">
        <v>46076</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59368-2023</t>
        </is>
      </c>
      <c r="B236" s="1" t="n">
        <v>45253</v>
      </c>
      <c r="C236" s="1" t="n">
        <v>46076</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52194-2025</t>
        </is>
      </c>
      <c r="B237" s="1" t="n">
        <v>45953.39189814815</v>
      </c>
      <c r="C237" s="1" t="n">
        <v>46076</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975-2023</t>
        </is>
      </c>
      <c r="B238" s="1" t="n">
        <v>44935</v>
      </c>
      <c r="C238" s="1" t="n">
        <v>46076</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Läderbagge</t>
        </is>
      </c>
      <c r="S238">
        <f>HYPERLINK("https://klasma.github.io/Logging_0883/artfynd/A 975-2023 artfynd.xlsx", "A 975-2023")</f>
        <v/>
      </c>
      <c r="T238">
        <f>HYPERLINK("https://klasma.github.io/Logging_0883/kartor/A 975-2023 karta.png", "A 975-2023")</f>
        <v/>
      </c>
      <c r="V238">
        <f>HYPERLINK("https://klasma.github.io/Logging_0883/klagomål/A 975-2023 FSC-klagomål.docx", "A 975-2023")</f>
        <v/>
      </c>
      <c r="W238">
        <f>HYPERLINK("https://klasma.github.io/Logging_0883/klagomålsmail/A 975-2023 FSC-klagomål mail.docx", "A 975-2023")</f>
        <v/>
      </c>
      <c r="X238">
        <f>HYPERLINK("https://klasma.github.io/Logging_0883/tillsyn/A 975-2023 tillsynsbegäran.docx", "A 975-2023")</f>
        <v/>
      </c>
      <c r="Y238">
        <f>HYPERLINK("https://klasma.github.io/Logging_0883/tillsynsmail/A 975-2023 tillsynsbegäran mail.docx", "A 975-2023")</f>
        <v/>
      </c>
    </row>
    <row r="239" ht="15" customHeight="1">
      <c r="A239" t="inlineStr">
        <is>
          <t>A 53860-2025</t>
        </is>
      </c>
      <c r="B239" s="1" t="n">
        <v>45961.37815972222</v>
      </c>
      <c r="C239" s="1" t="n">
        <v>46076</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54272-2023</t>
        </is>
      </c>
      <c r="B240" s="1" t="n">
        <v>45232</v>
      </c>
      <c r="C240" s="1" t="n">
        <v>46076</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53843-2025</t>
        </is>
      </c>
      <c r="B241" s="1" t="n">
        <v>45961.36483796296</v>
      </c>
      <c r="C241" s="1" t="n">
        <v>46076</v>
      </c>
      <c r="D241" t="inlineStr">
        <is>
          <t>KALMAR LÄN</t>
        </is>
      </c>
      <c r="E241" t="inlineStr">
        <is>
          <t>VÄSTERVIK</t>
        </is>
      </c>
      <c r="F241" t="inlineStr">
        <is>
          <t>Sveaskog</t>
        </is>
      </c>
      <c r="G241" t="n">
        <v>6</v>
      </c>
      <c r="H241" t="n">
        <v>1</v>
      </c>
      <c r="I241" t="n">
        <v>0</v>
      </c>
      <c r="J241" t="n">
        <v>0</v>
      </c>
      <c r="K241" t="n">
        <v>0</v>
      </c>
      <c r="L241" t="n">
        <v>0</v>
      </c>
      <c r="M241" t="n">
        <v>0</v>
      </c>
      <c r="N241" t="n">
        <v>0</v>
      </c>
      <c r="O241" t="n">
        <v>0</v>
      </c>
      <c r="P241" t="n">
        <v>0</v>
      </c>
      <c r="Q241" t="n">
        <v>1</v>
      </c>
      <c r="R241" s="2" t="inlineStr">
        <is>
          <t>Blåsippa</t>
        </is>
      </c>
      <c r="S241">
        <f>HYPERLINK("https://klasma.github.io/Logging_0883/artfynd/A 53843-2025 artfynd.xlsx", "A 53843-2025")</f>
        <v/>
      </c>
      <c r="T241">
        <f>HYPERLINK("https://klasma.github.io/Logging_0883/kartor/A 53843-2025 karta.png", "A 53843-2025")</f>
        <v/>
      </c>
      <c r="V241">
        <f>HYPERLINK("https://klasma.github.io/Logging_0883/klagomål/A 53843-2025 FSC-klagomål.docx", "A 53843-2025")</f>
        <v/>
      </c>
      <c r="W241">
        <f>HYPERLINK("https://klasma.github.io/Logging_0883/klagomålsmail/A 53843-2025 FSC-klagomål mail.docx", "A 53843-2025")</f>
        <v/>
      </c>
      <c r="X241">
        <f>HYPERLINK("https://klasma.github.io/Logging_0883/tillsyn/A 53843-2025 tillsynsbegäran.docx", "A 53843-2025")</f>
        <v/>
      </c>
      <c r="Y241">
        <f>HYPERLINK("https://klasma.github.io/Logging_0883/tillsynsmail/A 53843-2025 tillsynsbegäran mail.docx", "A 53843-2025")</f>
        <v/>
      </c>
    </row>
    <row r="242" ht="15" customHeight="1">
      <c r="A242" t="inlineStr">
        <is>
          <t>A 53875-2025</t>
        </is>
      </c>
      <c r="B242" s="1" t="n">
        <v>45961.3937962963</v>
      </c>
      <c r="C242" s="1" t="n">
        <v>46076</v>
      </c>
      <c r="D242" t="inlineStr">
        <is>
          <t>KALMAR LÄN</t>
        </is>
      </c>
      <c r="E242" t="inlineStr">
        <is>
          <t>VÄSTERVIK</t>
        </is>
      </c>
      <c r="F242" t="inlineStr">
        <is>
          <t>Sveaskog</t>
        </is>
      </c>
      <c r="G242" t="n">
        <v>4.2</v>
      </c>
      <c r="H242" t="n">
        <v>1</v>
      </c>
      <c r="I242" t="n">
        <v>0</v>
      </c>
      <c r="J242" t="n">
        <v>0</v>
      </c>
      <c r="K242" t="n">
        <v>0</v>
      </c>
      <c r="L242" t="n">
        <v>0</v>
      </c>
      <c r="M242" t="n">
        <v>0</v>
      </c>
      <c r="N242" t="n">
        <v>0</v>
      </c>
      <c r="O242" t="n">
        <v>0</v>
      </c>
      <c r="P242" t="n">
        <v>0</v>
      </c>
      <c r="Q242" t="n">
        <v>1</v>
      </c>
      <c r="R242" s="2" t="inlineStr">
        <is>
          <t>Blåsippa</t>
        </is>
      </c>
      <c r="S242">
        <f>HYPERLINK("https://klasma.github.io/Logging_0883/artfynd/A 53875-2025 artfynd.xlsx", "A 53875-2025")</f>
        <v/>
      </c>
      <c r="T242">
        <f>HYPERLINK("https://klasma.github.io/Logging_0883/kartor/A 53875-2025 karta.png", "A 53875-2025")</f>
        <v/>
      </c>
      <c r="V242">
        <f>HYPERLINK("https://klasma.github.io/Logging_0883/klagomål/A 53875-2025 FSC-klagomål.docx", "A 53875-2025")</f>
        <v/>
      </c>
      <c r="W242">
        <f>HYPERLINK("https://klasma.github.io/Logging_0883/klagomålsmail/A 53875-2025 FSC-klagomål mail.docx", "A 53875-2025")</f>
        <v/>
      </c>
      <c r="X242">
        <f>HYPERLINK("https://klasma.github.io/Logging_0883/tillsyn/A 53875-2025 tillsynsbegäran.docx", "A 53875-2025")</f>
        <v/>
      </c>
      <c r="Y242">
        <f>HYPERLINK("https://klasma.github.io/Logging_0883/tillsynsmail/A 53875-2025 tillsynsbegäran mail.docx", "A 53875-2025")</f>
        <v/>
      </c>
    </row>
    <row r="243" ht="15" customHeight="1">
      <c r="A243" t="inlineStr">
        <is>
          <t>A 53877-2025</t>
        </is>
      </c>
      <c r="B243" s="1" t="n">
        <v>45961.39565972222</v>
      </c>
      <c r="C243" s="1" t="n">
        <v>46076</v>
      </c>
      <c r="D243" t="inlineStr">
        <is>
          <t>KALMAR LÄN</t>
        </is>
      </c>
      <c r="E243" t="inlineStr">
        <is>
          <t>VÄSTERVIK</t>
        </is>
      </c>
      <c r="F243" t="inlineStr">
        <is>
          <t>Sveaskog</t>
        </is>
      </c>
      <c r="G243" t="n">
        <v>2.2</v>
      </c>
      <c r="H243" t="n">
        <v>0</v>
      </c>
      <c r="I243" t="n">
        <v>0</v>
      </c>
      <c r="J243" t="n">
        <v>1</v>
      </c>
      <c r="K243" t="n">
        <v>0</v>
      </c>
      <c r="L243" t="n">
        <v>0</v>
      </c>
      <c r="M243" t="n">
        <v>0</v>
      </c>
      <c r="N243" t="n">
        <v>0</v>
      </c>
      <c r="O243" t="n">
        <v>1</v>
      </c>
      <c r="P243" t="n">
        <v>0</v>
      </c>
      <c r="Q243" t="n">
        <v>1</v>
      </c>
      <c r="R243" s="2" t="inlineStr">
        <is>
          <t>Pilblad</t>
        </is>
      </c>
      <c r="S243">
        <f>HYPERLINK("https://klasma.github.io/Logging_0883/artfynd/A 53877-2025 artfynd.xlsx", "A 53877-2025")</f>
        <v/>
      </c>
      <c r="T243">
        <f>HYPERLINK("https://klasma.github.io/Logging_0883/kartor/A 53877-2025 karta.png", "A 53877-2025")</f>
        <v/>
      </c>
      <c r="V243">
        <f>HYPERLINK("https://klasma.github.io/Logging_0883/klagomål/A 53877-2025 FSC-klagomål.docx", "A 53877-2025")</f>
        <v/>
      </c>
      <c r="W243">
        <f>HYPERLINK("https://klasma.github.io/Logging_0883/klagomålsmail/A 53877-2025 FSC-klagomål mail.docx", "A 53877-2025")</f>
        <v/>
      </c>
      <c r="X243">
        <f>HYPERLINK("https://klasma.github.io/Logging_0883/tillsyn/A 53877-2025 tillsynsbegäran.docx", "A 53877-2025")</f>
        <v/>
      </c>
      <c r="Y243">
        <f>HYPERLINK("https://klasma.github.io/Logging_0883/tillsynsmail/A 53877-2025 tillsynsbegäran mail.docx", "A 53877-2025")</f>
        <v/>
      </c>
    </row>
    <row r="244" ht="15" customHeight="1">
      <c r="A244" t="inlineStr">
        <is>
          <t>A 54859-2025</t>
        </is>
      </c>
      <c r="B244" s="1" t="n">
        <v>45966.75758101852</v>
      </c>
      <c r="C244" s="1" t="n">
        <v>46076</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54859-2025 artfynd.xlsx", "A 54859-2025")</f>
        <v/>
      </c>
      <c r="T244">
        <f>HYPERLINK("https://klasma.github.io/Logging_0883/kartor/A 54859-2025 karta.png", "A 54859-2025")</f>
        <v/>
      </c>
      <c r="V244">
        <f>HYPERLINK("https://klasma.github.io/Logging_0883/klagomål/A 54859-2025 FSC-klagomål.docx", "A 54859-2025")</f>
        <v/>
      </c>
      <c r="W244">
        <f>HYPERLINK("https://klasma.github.io/Logging_0883/klagomålsmail/A 54859-2025 FSC-klagomål mail.docx", "A 54859-2025")</f>
        <v/>
      </c>
      <c r="X244">
        <f>HYPERLINK("https://klasma.github.io/Logging_0883/tillsyn/A 54859-2025 tillsynsbegäran.docx", "A 54859-2025")</f>
        <v/>
      </c>
      <c r="Y244">
        <f>HYPERLINK("https://klasma.github.io/Logging_0883/tillsynsmail/A 54859-2025 tillsynsbegäran mail.docx", "A 54859-2025")</f>
        <v/>
      </c>
    </row>
    <row r="245" ht="15" customHeight="1">
      <c r="A245" t="inlineStr">
        <is>
          <t>A 35028-2024</t>
        </is>
      </c>
      <c r="B245" s="1" t="n">
        <v>45527.60524305556</v>
      </c>
      <c r="C245" s="1" t="n">
        <v>46076</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16695-2025</t>
        </is>
      </c>
      <c r="B246" s="1" t="n">
        <v>45754.46579861111</v>
      </c>
      <c r="C246" s="1" t="n">
        <v>46076</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46076</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12662-2022</t>
        </is>
      </c>
      <c r="B248" s="1" t="n">
        <v>44641</v>
      </c>
      <c r="C248" s="1" t="n">
        <v>46076</v>
      </c>
      <c r="D248" t="inlineStr">
        <is>
          <t>KALMAR LÄN</t>
        </is>
      </c>
      <c r="E248" t="inlineStr">
        <is>
          <t>VÄSTERVIK</t>
        </is>
      </c>
      <c r="G248" t="n">
        <v>2.1</v>
      </c>
      <c r="H248" t="n">
        <v>0</v>
      </c>
      <c r="I248" t="n">
        <v>1</v>
      </c>
      <c r="J248" t="n">
        <v>0</v>
      </c>
      <c r="K248" t="n">
        <v>0</v>
      </c>
      <c r="L248" t="n">
        <v>0</v>
      </c>
      <c r="M248" t="n">
        <v>0</v>
      </c>
      <c r="N248" t="n">
        <v>0</v>
      </c>
      <c r="O248" t="n">
        <v>0</v>
      </c>
      <c r="P248" t="n">
        <v>0</v>
      </c>
      <c r="Q248" t="n">
        <v>1</v>
      </c>
      <c r="R248" s="2" t="inlineStr">
        <is>
          <t>Blåmossa</t>
        </is>
      </c>
      <c r="S248">
        <f>HYPERLINK("https://klasma.github.io/Logging_0883/artfynd/A 12662-2022 artfynd.xlsx", "A 12662-2022")</f>
        <v/>
      </c>
      <c r="T248">
        <f>HYPERLINK("https://klasma.github.io/Logging_0883/kartor/A 12662-2022 karta.png", "A 12662-2022")</f>
        <v/>
      </c>
      <c r="V248">
        <f>HYPERLINK("https://klasma.github.io/Logging_0883/klagomål/A 12662-2022 FSC-klagomål.docx", "A 12662-2022")</f>
        <v/>
      </c>
      <c r="W248">
        <f>HYPERLINK("https://klasma.github.io/Logging_0883/klagomålsmail/A 12662-2022 FSC-klagomål mail.docx", "A 12662-2022")</f>
        <v/>
      </c>
      <c r="X248">
        <f>HYPERLINK("https://klasma.github.io/Logging_0883/tillsyn/A 12662-2022 tillsynsbegäran.docx", "A 12662-2022")</f>
        <v/>
      </c>
      <c r="Y248">
        <f>HYPERLINK("https://klasma.github.io/Logging_0883/tillsynsmail/A 12662-2022 tillsynsbegäran mail.docx", "A 12662-2022")</f>
        <v/>
      </c>
    </row>
    <row r="249" ht="15" customHeight="1">
      <c r="A249" t="inlineStr">
        <is>
          <t>A 46559-2022</t>
        </is>
      </c>
      <c r="B249" s="1" t="n">
        <v>44848</v>
      </c>
      <c r="C249" s="1" t="n">
        <v>46076</v>
      </c>
      <c r="D249" t="inlineStr">
        <is>
          <t>KALMAR LÄN</t>
        </is>
      </c>
      <c r="E249" t="inlineStr">
        <is>
          <t>VÄSTERVIK</t>
        </is>
      </c>
      <c r="F249" t="inlineStr">
        <is>
          <t>Sveaskog</t>
        </is>
      </c>
      <c r="G249" t="n">
        <v>2.2</v>
      </c>
      <c r="H249" t="n">
        <v>1</v>
      </c>
      <c r="I249" t="n">
        <v>0</v>
      </c>
      <c r="J249" t="n">
        <v>0</v>
      </c>
      <c r="K249" t="n">
        <v>0</v>
      </c>
      <c r="L249" t="n">
        <v>0</v>
      </c>
      <c r="M249" t="n">
        <v>0</v>
      </c>
      <c r="N249" t="n">
        <v>0</v>
      </c>
      <c r="O249" t="n">
        <v>0</v>
      </c>
      <c r="P249" t="n">
        <v>0</v>
      </c>
      <c r="Q249" t="n">
        <v>1</v>
      </c>
      <c r="R249" s="2" t="inlineStr">
        <is>
          <t>Blåsippa</t>
        </is>
      </c>
      <c r="S249">
        <f>HYPERLINK("https://klasma.github.io/Logging_0883/artfynd/A 46559-2022 artfynd.xlsx", "A 46559-2022")</f>
        <v/>
      </c>
      <c r="T249">
        <f>HYPERLINK("https://klasma.github.io/Logging_0883/kartor/A 46559-2022 karta.png", "A 46559-2022")</f>
        <v/>
      </c>
      <c r="V249">
        <f>HYPERLINK("https://klasma.github.io/Logging_0883/klagomål/A 46559-2022 FSC-klagomål.docx", "A 46559-2022")</f>
        <v/>
      </c>
      <c r="W249">
        <f>HYPERLINK("https://klasma.github.io/Logging_0883/klagomålsmail/A 46559-2022 FSC-klagomål mail.docx", "A 46559-2022")</f>
        <v/>
      </c>
      <c r="X249">
        <f>HYPERLINK("https://klasma.github.io/Logging_0883/tillsyn/A 46559-2022 tillsynsbegäran.docx", "A 46559-2022")</f>
        <v/>
      </c>
      <c r="Y249">
        <f>HYPERLINK("https://klasma.github.io/Logging_0883/tillsynsmail/A 46559-2022 tillsynsbegäran mail.docx", "A 46559-2022")</f>
        <v/>
      </c>
    </row>
    <row r="250" ht="15" customHeight="1">
      <c r="A250" t="inlineStr">
        <is>
          <t>A 57451-2025</t>
        </is>
      </c>
      <c r="B250" s="1" t="n">
        <v>45980.50101851852</v>
      </c>
      <c r="C250" s="1" t="n">
        <v>46076</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58221-2025</t>
        </is>
      </c>
      <c r="B251" s="1" t="n">
        <v>45985.36417824074</v>
      </c>
      <c r="C251" s="1" t="n">
        <v>46076</v>
      </c>
      <c r="D251" t="inlineStr">
        <is>
          <t>KALMAR LÄN</t>
        </is>
      </c>
      <c r="E251" t="inlineStr">
        <is>
          <t>VÄSTERVIK</t>
        </is>
      </c>
      <c r="G251" t="n">
        <v>1.5</v>
      </c>
      <c r="H251" t="n">
        <v>0</v>
      </c>
      <c r="I251" t="n">
        <v>0</v>
      </c>
      <c r="J251" t="n">
        <v>1</v>
      </c>
      <c r="K251" t="n">
        <v>0</v>
      </c>
      <c r="L251" t="n">
        <v>0</v>
      </c>
      <c r="M251" t="n">
        <v>0</v>
      </c>
      <c r="N251" t="n">
        <v>0</v>
      </c>
      <c r="O251" t="n">
        <v>1</v>
      </c>
      <c r="P251" t="n">
        <v>0</v>
      </c>
      <c r="Q251" t="n">
        <v>1</v>
      </c>
      <c r="R251" s="2" t="inlineStr">
        <is>
          <t>Tallticka</t>
        </is>
      </c>
      <c r="S251">
        <f>HYPERLINK("https://klasma.github.io/Logging_0883/artfynd/A 58221-2025 artfynd.xlsx", "A 58221-2025")</f>
        <v/>
      </c>
      <c r="T251">
        <f>HYPERLINK("https://klasma.github.io/Logging_0883/kartor/A 58221-2025 karta.png", "A 58221-2025")</f>
        <v/>
      </c>
      <c r="V251">
        <f>HYPERLINK("https://klasma.github.io/Logging_0883/klagomål/A 58221-2025 FSC-klagomål.docx", "A 58221-2025")</f>
        <v/>
      </c>
      <c r="W251">
        <f>HYPERLINK("https://klasma.github.io/Logging_0883/klagomålsmail/A 58221-2025 FSC-klagomål mail.docx", "A 58221-2025")</f>
        <v/>
      </c>
      <c r="X251">
        <f>HYPERLINK("https://klasma.github.io/Logging_0883/tillsyn/A 58221-2025 tillsynsbegäran.docx", "A 58221-2025")</f>
        <v/>
      </c>
      <c r="Y251">
        <f>HYPERLINK("https://klasma.github.io/Logging_0883/tillsynsmail/A 58221-2025 tillsynsbegäran mail.docx", "A 58221-2025")</f>
        <v/>
      </c>
    </row>
    <row r="252" ht="15" customHeight="1">
      <c r="A252" t="inlineStr">
        <is>
          <t>A 9265-2025</t>
        </is>
      </c>
      <c r="B252" s="1" t="n">
        <v>45714.61153935185</v>
      </c>
      <c r="C252" s="1" t="n">
        <v>46076</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58172-2025</t>
        </is>
      </c>
      <c r="B253" s="1" t="n">
        <v>45982</v>
      </c>
      <c r="C253" s="1" t="n">
        <v>46076</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17952-2025</t>
        </is>
      </c>
      <c r="B254" s="1" t="n">
        <v>45760.85842592592</v>
      </c>
      <c r="C254" s="1" t="n">
        <v>46076</v>
      </c>
      <c r="D254" t="inlineStr">
        <is>
          <t>KALMAR LÄN</t>
        </is>
      </c>
      <c r="E254" t="inlineStr">
        <is>
          <t>VÄSTERVIK</t>
        </is>
      </c>
      <c r="G254" t="n">
        <v>3.3</v>
      </c>
      <c r="H254" t="n">
        <v>1</v>
      </c>
      <c r="I254" t="n">
        <v>0</v>
      </c>
      <c r="J254" t="n">
        <v>0</v>
      </c>
      <c r="K254" t="n">
        <v>0</v>
      </c>
      <c r="L254" t="n">
        <v>0</v>
      </c>
      <c r="M254" t="n">
        <v>0</v>
      </c>
      <c r="N254" t="n">
        <v>0</v>
      </c>
      <c r="O254" t="n">
        <v>0</v>
      </c>
      <c r="P254" t="n">
        <v>0</v>
      </c>
      <c r="Q254" t="n">
        <v>1</v>
      </c>
      <c r="R254" s="2" t="inlineStr">
        <is>
          <t>Revlummer</t>
        </is>
      </c>
      <c r="S254">
        <f>HYPERLINK("https://klasma.github.io/Logging_0883/artfynd/A 17952-2025 artfynd.xlsx", "A 17952-2025")</f>
        <v/>
      </c>
      <c r="T254">
        <f>HYPERLINK("https://klasma.github.io/Logging_0883/kartor/A 17952-2025 karta.png", "A 17952-2025")</f>
        <v/>
      </c>
      <c r="V254">
        <f>HYPERLINK("https://klasma.github.io/Logging_0883/klagomål/A 17952-2025 FSC-klagomål.docx", "A 17952-2025")</f>
        <v/>
      </c>
      <c r="W254">
        <f>HYPERLINK("https://klasma.github.io/Logging_0883/klagomålsmail/A 17952-2025 FSC-klagomål mail.docx", "A 17952-2025")</f>
        <v/>
      </c>
      <c r="X254">
        <f>HYPERLINK("https://klasma.github.io/Logging_0883/tillsyn/A 17952-2025 tillsynsbegäran.docx", "A 17952-2025")</f>
        <v/>
      </c>
      <c r="Y254">
        <f>HYPERLINK("https://klasma.github.io/Logging_0883/tillsynsmail/A 17952-2025 tillsynsbegäran mail.docx", "A 17952-2025")</f>
        <v/>
      </c>
    </row>
    <row r="255" ht="15" customHeight="1">
      <c r="A255" t="inlineStr">
        <is>
          <t>A 59241-2025</t>
        </is>
      </c>
      <c r="B255" s="1" t="n">
        <v>45988.63915509259</v>
      </c>
      <c r="C255" s="1" t="n">
        <v>46076</v>
      </c>
      <c r="D255" t="inlineStr">
        <is>
          <t>KALMAR LÄN</t>
        </is>
      </c>
      <c r="E255" t="inlineStr">
        <is>
          <t>VÄSTERVIK</t>
        </is>
      </c>
      <c r="F255" t="inlineStr">
        <is>
          <t>Holmen skog AB</t>
        </is>
      </c>
      <c r="G255" t="n">
        <v>1.7</v>
      </c>
      <c r="H255" t="n">
        <v>1</v>
      </c>
      <c r="I255" t="n">
        <v>0</v>
      </c>
      <c r="J255" t="n">
        <v>1</v>
      </c>
      <c r="K255" t="n">
        <v>0</v>
      </c>
      <c r="L255" t="n">
        <v>0</v>
      </c>
      <c r="M255" t="n">
        <v>0</v>
      </c>
      <c r="N255" t="n">
        <v>0</v>
      </c>
      <c r="O255" t="n">
        <v>1</v>
      </c>
      <c r="P255" t="n">
        <v>0</v>
      </c>
      <c r="Q255" t="n">
        <v>1</v>
      </c>
      <c r="R255" s="2" t="inlineStr">
        <is>
          <t>Spillkråka</t>
        </is>
      </c>
      <c r="S255">
        <f>HYPERLINK("https://klasma.github.io/Logging_0883/artfynd/A 59241-2025 artfynd.xlsx", "A 59241-2025")</f>
        <v/>
      </c>
      <c r="T255">
        <f>HYPERLINK("https://klasma.github.io/Logging_0883/kartor/A 59241-2025 karta.png", "A 59241-2025")</f>
        <v/>
      </c>
      <c r="V255">
        <f>HYPERLINK("https://klasma.github.io/Logging_0883/klagomål/A 59241-2025 FSC-klagomål.docx", "A 59241-2025")</f>
        <v/>
      </c>
      <c r="W255">
        <f>HYPERLINK("https://klasma.github.io/Logging_0883/klagomålsmail/A 59241-2025 FSC-klagomål mail.docx", "A 59241-2025")</f>
        <v/>
      </c>
      <c r="X255">
        <f>HYPERLINK("https://klasma.github.io/Logging_0883/tillsyn/A 59241-2025 tillsynsbegäran.docx", "A 59241-2025")</f>
        <v/>
      </c>
      <c r="Y255">
        <f>HYPERLINK("https://klasma.github.io/Logging_0883/tillsynsmail/A 59241-2025 tillsynsbegäran mail.docx", "A 59241-2025")</f>
        <v/>
      </c>
      <c r="Z255">
        <f>HYPERLINK("https://klasma.github.io/Logging_0883/fåglar/A 59241-2025 prioriterade fågelarter.docx", "A 59241-2025")</f>
        <v/>
      </c>
    </row>
    <row r="256" ht="15" customHeight="1">
      <c r="A256" t="inlineStr">
        <is>
          <t>A 32653-2023</t>
        </is>
      </c>
      <c r="B256" s="1" t="n">
        <v>45121</v>
      </c>
      <c r="C256" s="1" t="n">
        <v>46076</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6634-2025</t>
        </is>
      </c>
      <c r="B257" s="1" t="n">
        <v>45700.38141203704</v>
      </c>
      <c r="C257" s="1" t="n">
        <v>46076</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Ögonpyrola</t>
        </is>
      </c>
      <c r="S257">
        <f>HYPERLINK("https://klasma.github.io/Logging_0883/artfynd/A 6634-2025 artfynd.xlsx", "A 6634-2025")</f>
        <v/>
      </c>
      <c r="T257">
        <f>HYPERLINK("https://klasma.github.io/Logging_0883/kartor/A 6634-2025 karta.png", "A 6634-2025")</f>
        <v/>
      </c>
      <c r="V257">
        <f>HYPERLINK("https://klasma.github.io/Logging_0883/klagomål/A 6634-2025 FSC-klagomål.docx", "A 6634-2025")</f>
        <v/>
      </c>
      <c r="W257">
        <f>HYPERLINK("https://klasma.github.io/Logging_0883/klagomålsmail/A 6634-2025 FSC-klagomål mail.docx", "A 6634-2025")</f>
        <v/>
      </c>
      <c r="X257">
        <f>HYPERLINK("https://klasma.github.io/Logging_0883/tillsyn/A 6634-2025 tillsynsbegäran.docx", "A 6634-2025")</f>
        <v/>
      </c>
      <c r="Y257">
        <f>HYPERLINK("https://klasma.github.io/Logging_0883/tillsynsmail/A 6634-2025 tillsynsbegäran mail.docx", "A 6634-2025")</f>
        <v/>
      </c>
    </row>
    <row r="258" ht="15" customHeight="1">
      <c r="A258" t="inlineStr">
        <is>
          <t>A 14082-2025</t>
        </is>
      </c>
      <c r="B258" s="1" t="n">
        <v>45740.43934027778</v>
      </c>
      <c r="C258" s="1" t="n">
        <v>46076</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59178-2022</t>
        </is>
      </c>
      <c r="B259" s="1" t="n">
        <v>44904</v>
      </c>
      <c r="C259" s="1" t="n">
        <v>46076</v>
      </c>
      <c r="D259" t="inlineStr">
        <is>
          <t>KALMAR LÄN</t>
        </is>
      </c>
      <c r="E259" t="inlineStr">
        <is>
          <t>VÄSTERVIK</t>
        </is>
      </c>
      <c r="G259" t="n">
        <v>3.3</v>
      </c>
      <c r="H259" t="n">
        <v>0</v>
      </c>
      <c r="I259" t="n">
        <v>0</v>
      </c>
      <c r="J259" t="n">
        <v>1</v>
      </c>
      <c r="K259" t="n">
        <v>0</v>
      </c>
      <c r="L259" t="n">
        <v>0</v>
      </c>
      <c r="M259" t="n">
        <v>0</v>
      </c>
      <c r="N259" t="n">
        <v>0</v>
      </c>
      <c r="O259" t="n">
        <v>1</v>
      </c>
      <c r="P259" t="n">
        <v>0</v>
      </c>
      <c r="Q259" t="n">
        <v>1</v>
      </c>
      <c r="R259" s="2" t="inlineStr">
        <is>
          <t>Tallticka</t>
        </is>
      </c>
      <c r="S259">
        <f>HYPERLINK("https://klasma.github.io/Logging_0883/artfynd/A 59178-2022 artfynd.xlsx", "A 59178-2022")</f>
        <v/>
      </c>
      <c r="T259">
        <f>HYPERLINK("https://klasma.github.io/Logging_0883/kartor/A 59178-2022 karta.png", "A 59178-2022")</f>
        <v/>
      </c>
      <c r="V259">
        <f>HYPERLINK("https://klasma.github.io/Logging_0883/klagomål/A 59178-2022 FSC-klagomål.docx", "A 59178-2022")</f>
        <v/>
      </c>
      <c r="W259">
        <f>HYPERLINK("https://klasma.github.io/Logging_0883/klagomålsmail/A 59178-2022 FSC-klagomål mail.docx", "A 59178-2022")</f>
        <v/>
      </c>
      <c r="X259">
        <f>HYPERLINK("https://klasma.github.io/Logging_0883/tillsyn/A 59178-2022 tillsynsbegäran.docx", "A 59178-2022")</f>
        <v/>
      </c>
      <c r="Y259">
        <f>HYPERLINK("https://klasma.github.io/Logging_0883/tillsynsmail/A 59178-2022 tillsynsbegäran mail.docx", "A 59178-2022")</f>
        <v/>
      </c>
    </row>
    <row r="260" ht="15" customHeight="1">
      <c r="A260" t="inlineStr">
        <is>
          <t>A 24048-2021</t>
        </is>
      </c>
      <c r="B260" s="1" t="n">
        <v>44336</v>
      </c>
      <c r="C260" s="1" t="n">
        <v>46076</v>
      </c>
      <c r="D260" t="inlineStr">
        <is>
          <t>KALMAR LÄN</t>
        </is>
      </c>
      <c r="E260" t="inlineStr">
        <is>
          <t>VÄSTERVIK</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HYPERLINK("https://klasma.github.io/Logging_0883/artfynd/A 24048-2021 artfynd.xlsx", "A 24048-2021")</f>
        <v/>
      </c>
      <c r="T260">
        <f>HYPERLINK("https://klasma.github.io/Logging_0883/kartor/A 24048-2021 karta.png", "A 24048-2021")</f>
        <v/>
      </c>
      <c r="U260">
        <f>HYPERLINK("https://klasma.github.io/Logging_0883/knärot/A 24048-2021 karta knärot.png", "A 24048-2021")</f>
        <v/>
      </c>
      <c r="V260">
        <f>HYPERLINK("https://klasma.github.io/Logging_0883/klagomål/A 24048-2021 FSC-klagomål.docx", "A 24048-2021")</f>
        <v/>
      </c>
      <c r="W260">
        <f>HYPERLINK("https://klasma.github.io/Logging_0883/klagomålsmail/A 24048-2021 FSC-klagomål mail.docx", "A 24048-2021")</f>
        <v/>
      </c>
      <c r="X260">
        <f>HYPERLINK("https://klasma.github.io/Logging_0883/tillsyn/A 24048-2021 tillsynsbegäran.docx", "A 24048-2021")</f>
        <v/>
      </c>
      <c r="Y260">
        <f>HYPERLINK("https://klasma.github.io/Logging_0883/tillsynsmail/A 24048-2021 tillsynsbegäran mail.docx", "A 24048-2021")</f>
        <v/>
      </c>
    </row>
    <row r="261" ht="15" customHeight="1">
      <c r="A261" t="inlineStr">
        <is>
          <t>A 3624-2026</t>
        </is>
      </c>
      <c r="B261" s="1" t="n">
        <v>46043</v>
      </c>
      <c r="C261" s="1" t="n">
        <v>46076</v>
      </c>
      <c r="D261" t="inlineStr">
        <is>
          <t>KALMAR LÄN</t>
        </is>
      </c>
      <c r="E261" t="inlineStr">
        <is>
          <t>VÄSTERVIK</t>
        </is>
      </c>
      <c r="G261" t="n">
        <v>2.2</v>
      </c>
      <c r="H261" t="n">
        <v>1</v>
      </c>
      <c r="I261" t="n">
        <v>1</v>
      </c>
      <c r="J261" t="n">
        <v>0</v>
      </c>
      <c r="K261" t="n">
        <v>0</v>
      </c>
      <c r="L261" t="n">
        <v>0</v>
      </c>
      <c r="M261" t="n">
        <v>0</v>
      </c>
      <c r="N261" t="n">
        <v>0</v>
      </c>
      <c r="O261" t="n">
        <v>0</v>
      </c>
      <c r="P261" t="n">
        <v>0</v>
      </c>
      <c r="Q261" t="n">
        <v>1</v>
      </c>
      <c r="R261" s="2" t="inlineStr">
        <is>
          <t>Purpurknipprot</t>
        </is>
      </c>
      <c r="S261">
        <f>HYPERLINK("https://klasma.github.io/Logging_0883/artfynd/A 3624-2026 artfynd.xlsx", "A 3624-2026")</f>
        <v/>
      </c>
      <c r="T261">
        <f>HYPERLINK("https://klasma.github.io/Logging_0883/kartor/A 3624-2026 karta.png", "A 3624-2026")</f>
        <v/>
      </c>
      <c r="V261">
        <f>HYPERLINK("https://klasma.github.io/Logging_0883/klagomål/A 3624-2026 FSC-klagomål.docx", "A 3624-2026")</f>
        <v/>
      </c>
      <c r="W261">
        <f>HYPERLINK("https://klasma.github.io/Logging_0883/klagomålsmail/A 3624-2026 FSC-klagomål mail.docx", "A 3624-2026")</f>
        <v/>
      </c>
      <c r="X261">
        <f>HYPERLINK("https://klasma.github.io/Logging_0883/tillsyn/A 3624-2026 tillsynsbegäran.docx", "A 3624-2026")</f>
        <v/>
      </c>
      <c r="Y261">
        <f>HYPERLINK("https://klasma.github.io/Logging_0883/tillsynsmail/A 3624-2026 tillsynsbegäran mail.docx", "A 3624-2026")</f>
        <v/>
      </c>
    </row>
    <row r="262" ht="15" customHeight="1">
      <c r="A262" t="inlineStr">
        <is>
          <t>A 19900-2022</t>
        </is>
      </c>
      <c r="B262" s="1" t="n">
        <v>44697</v>
      </c>
      <c r="C262" s="1" t="n">
        <v>46076</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4120-2026</t>
        </is>
      </c>
      <c r="B263" s="1" t="n">
        <v>46044.6109375</v>
      </c>
      <c r="C263" s="1" t="n">
        <v>46076</v>
      </c>
      <c r="D263" t="inlineStr">
        <is>
          <t>KALMAR LÄN</t>
        </is>
      </c>
      <c r="E263" t="inlineStr">
        <is>
          <t>VÄSTERVIK</t>
        </is>
      </c>
      <c r="G263" t="n">
        <v>4</v>
      </c>
      <c r="H263" t="n">
        <v>1</v>
      </c>
      <c r="I263" t="n">
        <v>0</v>
      </c>
      <c r="J263" t="n">
        <v>0</v>
      </c>
      <c r="K263" t="n">
        <v>0</v>
      </c>
      <c r="L263" t="n">
        <v>0</v>
      </c>
      <c r="M263" t="n">
        <v>0</v>
      </c>
      <c r="N263" t="n">
        <v>0</v>
      </c>
      <c r="O263" t="n">
        <v>0</v>
      </c>
      <c r="P263" t="n">
        <v>0</v>
      </c>
      <c r="Q263" t="n">
        <v>1</v>
      </c>
      <c r="R263" s="2" t="inlineStr">
        <is>
          <t>Tjäder</t>
        </is>
      </c>
      <c r="S263">
        <f>HYPERLINK("https://klasma.github.io/Logging_0883/artfynd/A 4120-2026 artfynd.xlsx", "A 4120-2026")</f>
        <v/>
      </c>
      <c r="T263">
        <f>HYPERLINK("https://klasma.github.io/Logging_0883/kartor/A 4120-2026 karta.png", "A 4120-2026")</f>
        <v/>
      </c>
      <c r="V263">
        <f>HYPERLINK("https://klasma.github.io/Logging_0883/klagomål/A 4120-2026 FSC-klagomål.docx", "A 4120-2026")</f>
        <v/>
      </c>
      <c r="W263">
        <f>HYPERLINK("https://klasma.github.io/Logging_0883/klagomålsmail/A 4120-2026 FSC-klagomål mail.docx", "A 4120-2026")</f>
        <v/>
      </c>
      <c r="X263">
        <f>HYPERLINK("https://klasma.github.io/Logging_0883/tillsyn/A 4120-2026 tillsynsbegäran.docx", "A 4120-2026")</f>
        <v/>
      </c>
      <c r="Y263">
        <f>HYPERLINK("https://klasma.github.io/Logging_0883/tillsynsmail/A 4120-2026 tillsynsbegäran mail.docx", "A 4120-2026")</f>
        <v/>
      </c>
      <c r="Z263">
        <f>HYPERLINK("https://klasma.github.io/Logging_0883/fåglar/A 4120-2026 prioriterade fågelarter.docx", "A 4120-2026")</f>
        <v/>
      </c>
    </row>
    <row r="264" ht="15" customHeight="1">
      <c r="A264" t="inlineStr">
        <is>
          <t>A 61319-2021</t>
        </is>
      </c>
      <c r="B264" s="1" t="n">
        <v>44498</v>
      </c>
      <c r="C264" s="1" t="n">
        <v>46076</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Ekoxe</t>
        </is>
      </c>
      <c r="S264">
        <f>HYPERLINK("https://klasma.github.io/Logging_0883/artfynd/A 61319-2021 artfynd.xlsx", "A 61319-2021")</f>
        <v/>
      </c>
      <c r="T264">
        <f>HYPERLINK("https://klasma.github.io/Logging_0883/kartor/A 61319-2021 karta.png", "A 61319-2021")</f>
        <v/>
      </c>
      <c r="V264">
        <f>HYPERLINK("https://klasma.github.io/Logging_0883/klagomål/A 61319-2021 FSC-klagomål.docx", "A 61319-2021")</f>
        <v/>
      </c>
      <c r="W264">
        <f>HYPERLINK("https://klasma.github.io/Logging_0883/klagomålsmail/A 61319-2021 FSC-klagomål mail.docx", "A 61319-2021")</f>
        <v/>
      </c>
      <c r="X264">
        <f>HYPERLINK("https://klasma.github.io/Logging_0883/tillsyn/A 61319-2021 tillsynsbegäran.docx", "A 61319-2021")</f>
        <v/>
      </c>
      <c r="Y264">
        <f>HYPERLINK("https://klasma.github.io/Logging_0883/tillsynsmail/A 61319-2021 tillsynsbegäran mail.docx", "A 61319-2021")</f>
        <v/>
      </c>
    </row>
    <row r="265" ht="15" customHeight="1">
      <c r="A265" t="inlineStr">
        <is>
          <t>A 61806-2023</t>
        </is>
      </c>
      <c r="B265" s="1" t="n">
        <v>45266.27928240741</v>
      </c>
      <c r="C265" s="1" t="n">
        <v>46076</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Veckticka</t>
        </is>
      </c>
      <c r="S265">
        <f>HYPERLINK("https://klasma.github.io/Logging_0883/artfynd/A 61806-2023 artfynd.xlsx", "A 61806-2023")</f>
        <v/>
      </c>
      <c r="T265">
        <f>HYPERLINK("https://klasma.github.io/Logging_0883/kartor/A 61806-2023 karta.png", "A 61806-2023")</f>
        <v/>
      </c>
      <c r="V265">
        <f>HYPERLINK("https://klasma.github.io/Logging_0883/klagomål/A 61806-2023 FSC-klagomål.docx", "A 61806-2023")</f>
        <v/>
      </c>
      <c r="W265">
        <f>HYPERLINK("https://klasma.github.io/Logging_0883/klagomålsmail/A 61806-2023 FSC-klagomål mail.docx", "A 61806-2023")</f>
        <v/>
      </c>
      <c r="X265">
        <f>HYPERLINK("https://klasma.github.io/Logging_0883/tillsyn/A 61806-2023 tillsynsbegäran.docx", "A 61806-2023")</f>
        <v/>
      </c>
      <c r="Y265">
        <f>HYPERLINK("https://klasma.github.io/Logging_0883/tillsynsmail/A 61806-2023 tillsynsbegäran mail.docx", "A 61806-2023")</f>
        <v/>
      </c>
    </row>
    <row r="266" ht="15" customHeight="1">
      <c r="A266" t="inlineStr">
        <is>
          <t>A 62888-2025</t>
        </is>
      </c>
      <c r="B266" s="1" t="n">
        <v>46009.3238425926</v>
      </c>
      <c r="C266" s="1" t="n">
        <v>46076</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14103-2025</t>
        </is>
      </c>
      <c r="B267" s="1" t="n">
        <v>45740.45232638889</v>
      </c>
      <c r="C267" s="1" t="n">
        <v>46076</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6195-2026</t>
        </is>
      </c>
      <c r="B268" s="1" t="n">
        <v>46055.39365740741</v>
      </c>
      <c r="C268" s="1" t="n">
        <v>46076</v>
      </c>
      <c r="D268" t="inlineStr">
        <is>
          <t>KALMAR LÄN</t>
        </is>
      </c>
      <c r="E268" t="inlineStr">
        <is>
          <t>VÄSTERVIK</t>
        </is>
      </c>
      <c r="G268" t="n">
        <v>1.4</v>
      </c>
      <c r="H268" t="n">
        <v>1</v>
      </c>
      <c r="I268" t="n">
        <v>1</v>
      </c>
      <c r="J268" t="n">
        <v>0</v>
      </c>
      <c r="K268" t="n">
        <v>0</v>
      </c>
      <c r="L268" t="n">
        <v>0</v>
      </c>
      <c r="M268" t="n">
        <v>0</v>
      </c>
      <c r="N268" t="n">
        <v>0</v>
      </c>
      <c r="O268" t="n">
        <v>0</v>
      </c>
      <c r="P268" t="n">
        <v>0</v>
      </c>
      <c r="Q268" t="n">
        <v>1</v>
      </c>
      <c r="R268" s="2" t="inlineStr">
        <is>
          <t>Korallrot</t>
        </is>
      </c>
      <c r="S268">
        <f>HYPERLINK("https://klasma.github.io/Logging_0883/artfynd/A 6195-2026 artfynd.xlsx", "A 6195-2026")</f>
        <v/>
      </c>
      <c r="T268">
        <f>HYPERLINK("https://klasma.github.io/Logging_0883/kartor/A 6195-2026 karta.png", "A 6195-2026")</f>
        <v/>
      </c>
      <c r="V268">
        <f>HYPERLINK("https://klasma.github.io/Logging_0883/klagomål/A 6195-2026 FSC-klagomål.docx", "A 6195-2026")</f>
        <v/>
      </c>
      <c r="W268">
        <f>HYPERLINK("https://klasma.github.io/Logging_0883/klagomålsmail/A 6195-2026 FSC-klagomål mail.docx", "A 6195-2026")</f>
        <v/>
      </c>
      <c r="X268">
        <f>HYPERLINK("https://klasma.github.io/Logging_0883/tillsyn/A 6195-2026 tillsynsbegäran.docx", "A 6195-2026")</f>
        <v/>
      </c>
      <c r="Y268">
        <f>HYPERLINK("https://klasma.github.io/Logging_0883/tillsynsmail/A 6195-2026 tillsynsbegäran mail.docx", "A 6195-2026")</f>
        <v/>
      </c>
    </row>
    <row r="269" ht="15" customHeight="1">
      <c r="A269" t="inlineStr">
        <is>
          <t>A 27708-2024</t>
        </is>
      </c>
      <c r="B269" s="1" t="n">
        <v>45475</v>
      </c>
      <c r="C269" s="1" t="n">
        <v>46076</v>
      </c>
      <c r="D269" t="inlineStr">
        <is>
          <t>KALMAR LÄN</t>
        </is>
      </c>
      <c r="E269" t="inlineStr">
        <is>
          <t>VÄSTERVIK</t>
        </is>
      </c>
      <c r="F269" t="inlineStr">
        <is>
          <t>Holmen skog AB</t>
        </is>
      </c>
      <c r="G269" t="n">
        <v>1.7</v>
      </c>
      <c r="H269" t="n">
        <v>1</v>
      </c>
      <c r="I269" t="n">
        <v>0</v>
      </c>
      <c r="J269" t="n">
        <v>1</v>
      </c>
      <c r="K269" t="n">
        <v>0</v>
      </c>
      <c r="L269" t="n">
        <v>0</v>
      </c>
      <c r="M269" t="n">
        <v>0</v>
      </c>
      <c r="N269" t="n">
        <v>0</v>
      </c>
      <c r="O269" t="n">
        <v>1</v>
      </c>
      <c r="P269" t="n">
        <v>0</v>
      </c>
      <c r="Q269" t="n">
        <v>1</v>
      </c>
      <c r="R269" s="2" t="inlineStr">
        <is>
          <t>Spillkråka</t>
        </is>
      </c>
      <c r="S269">
        <f>HYPERLINK("https://klasma.github.io/Logging_0883/artfynd/A 27708-2024 artfynd.xlsx", "A 27708-2024")</f>
        <v/>
      </c>
      <c r="T269">
        <f>HYPERLINK("https://klasma.github.io/Logging_0883/kartor/A 27708-2024 karta.png", "A 27708-2024")</f>
        <v/>
      </c>
      <c r="V269">
        <f>HYPERLINK("https://klasma.github.io/Logging_0883/klagomål/A 27708-2024 FSC-klagomål.docx", "A 27708-2024")</f>
        <v/>
      </c>
      <c r="W269">
        <f>HYPERLINK("https://klasma.github.io/Logging_0883/klagomålsmail/A 27708-2024 FSC-klagomål mail.docx", "A 27708-2024")</f>
        <v/>
      </c>
      <c r="X269">
        <f>HYPERLINK("https://klasma.github.io/Logging_0883/tillsyn/A 27708-2024 tillsynsbegäran.docx", "A 27708-2024")</f>
        <v/>
      </c>
      <c r="Y269">
        <f>HYPERLINK("https://klasma.github.io/Logging_0883/tillsynsmail/A 27708-2024 tillsynsbegäran mail.docx", "A 27708-2024")</f>
        <v/>
      </c>
      <c r="Z269">
        <f>HYPERLINK("https://klasma.github.io/Logging_0883/fåglar/A 27708-2024 prioriterade fågelarter.docx", "A 27708-2024")</f>
        <v/>
      </c>
    </row>
    <row r="270" ht="15" customHeight="1">
      <c r="A270" t="inlineStr">
        <is>
          <t>A 33815-2023</t>
        </is>
      </c>
      <c r="B270" s="1" t="n">
        <v>45133.59306712963</v>
      </c>
      <c r="C270" s="1" t="n">
        <v>46076</v>
      </c>
      <c r="D270" t="inlineStr">
        <is>
          <t>KALMAR LÄN</t>
        </is>
      </c>
      <c r="E270" t="inlineStr">
        <is>
          <t>VÄSTERVIK</t>
        </is>
      </c>
      <c r="G270" t="n">
        <v>3.4</v>
      </c>
      <c r="H270" t="n">
        <v>0</v>
      </c>
      <c r="I270" t="n">
        <v>1</v>
      </c>
      <c r="J270" t="n">
        <v>0</v>
      </c>
      <c r="K270" t="n">
        <v>0</v>
      </c>
      <c r="L270" t="n">
        <v>0</v>
      </c>
      <c r="M270" t="n">
        <v>0</v>
      </c>
      <c r="N270" t="n">
        <v>0</v>
      </c>
      <c r="O270" t="n">
        <v>0</v>
      </c>
      <c r="P270" t="n">
        <v>0</v>
      </c>
      <c r="Q270" t="n">
        <v>1</v>
      </c>
      <c r="R270" s="2" t="inlineStr">
        <is>
          <t>Grönpyrola</t>
        </is>
      </c>
      <c r="S270">
        <f>HYPERLINK("https://klasma.github.io/Logging_0883/artfynd/A 33815-2023 artfynd.xlsx", "A 33815-2023")</f>
        <v/>
      </c>
      <c r="T270">
        <f>HYPERLINK("https://klasma.github.io/Logging_0883/kartor/A 33815-2023 karta.png", "A 33815-2023")</f>
        <v/>
      </c>
      <c r="V270">
        <f>HYPERLINK("https://klasma.github.io/Logging_0883/klagomål/A 33815-2023 FSC-klagomål.docx", "A 33815-2023")</f>
        <v/>
      </c>
      <c r="W270">
        <f>HYPERLINK("https://klasma.github.io/Logging_0883/klagomålsmail/A 33815-2023 FSC-klagomål mail.docx", "A 33815-2023")</f>
        <v/>
      </c>
      <c r="X270">
        <f>HYPERLINK("https://klasma.github.io/Logging_0883/tillsyn/A 33815-2023 tillsynsbegäran.docx", "A 33815-2023")</f>
        <v/>
      </c>
      <c r="Y270">
        <f>HYPERLINK("https://klasma.github.io/Logging_0883/tillsynsmail/A 33815-2023 tillsynsbegäran mail.docx", "A 33815-2023")</f>
        <v/>
      </c>
    </row>
    <row r="271" ht="15" customHeight="1">
      <c r="A271" t="inlineStr">
        <is>
          <t>A 33816-2023</t>
        </is>
      </c>
      <c r="B271" s="1" t="n">
        <v>45133.59490740741</v>
      </c>
      <c r="C271" s="1" t="n">
        <v>46076</v>
      </c>
      <c r="D271" t="inlineStr">
        <is>
          <t>KALMAR LÄN</t>
        </is>
      </c>
      <c r="E271" t="inlineStr">
        <is>
          <t>VÄSTERVIK</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HYPERLINK("https://klasma.github.io/Logging_0883/artfynd/A 33816-2023 artfynd.xlsx", "A 33816-2023")</f>
        <v/>
      </c>
      <c r="T271">
        <f>HYPERLINK("https://klasma.github.io/Logging_0883/kartor/A 33816-2023 karta.png", "A 33816-2023")</f>
        <v/>
      </c>
      <c r="V271">
        <f>HYPERLINK("https://klasma.github.io/Logging_0883/klagomål/A 33816-2023 FSC-klagomål.docx", "A 33816-2023")</f>
        <v/>
      </c>
      <c r="W271">
        <f>HYPERLINK("https://klasma.github.io/Logging_0883/klagomålsmail/A 33816-2023 FSC-klagomål mail.docx", "A 33816-2023")</f>
        <v/>
      </c>
      <c r="X271">
        <f>HYPERLINK("https://klasma.github.io/Logging_0883/tillsyn/A 33816-2023 tillsynsbegäran.docx", "A 33816-2023")</f>
        <v/>
      </c>
      <c r="Y271">
        <f>HYPERLINK("https://klasma.github.io/Logging_0883/tillsynsmail/A 33816-2023 tillsynsbegäran mail.docx", "A 33816-2023")</f>
        <v/>
      </c>
    </row>
    <row r="272" ht="15" customHeight="1">
      <c r="A272" t="inlineStr">
        <is>
          <t>A 20233-2021</t>
        </is>
      </c>
      <c r="B272" s="1" t="n">
        <v>44314</v>
      </c>
      <c r="C272" s="1" t="n">
        <v>46076</v>
      </c>
      <c r="D272" t="inlineStr">
        <is>
          <t>KALMAR LÄN</t>
        </is>
      </c>
      <c r="E272" t="inlineStr">
        <is>
          <t>VÄSTERVIK</t>
        </is>
      </c>
      <c r="F272" t="inlineStr">
        <is>
          <t>Holmen skog AB</t>
        </is>
      </c>
      <c r="G272" t="n">
        <v>11.8</v>
      </c>
      <c r="H272" t="n">
        <v>0</v>
      </c>
      <c r="I272" t="n">
        <v>0</v>
      </c>
      <c r="J272" t="n">
        <v>1</v>
      </c>
      <c r="K272" t="n">
        <v>0</v>
      </c>
      <c r="L272" t="n">
        <v>0</v>
      </c>
      <c r="M272" t="n">
        <v>0</v>
      </c>
      <c r="N272" t="n">
        <v>0</v>
      </c>
      <c r="O272" t="n">
        <v>1</v>
      </c>
      <c r="P272" t="n">
        <v>0</v>
      </c>
      <c r="Q272" t="n">
        <v>1</v>
      </c>
      <c r="R272" s="2" t="inlineStr">
        <is>
          <t>Skogsklocka</t>
        </is>
      </c>
      <c r="S272">
        <f>HYPERLINK("https://klasma.github.io/Logging_0883/artfynd/A 20233-2021 artfynd.xlsx", "A 20233-2021")</f>
        <v/>
      </c>
      <c r="T272">
        <f>HYPERLINK("https://klasma.github.io/Logging_0883/kartor/A 20233-2021 karta.png", "A 20233-2021")</f>
        <v/>
      </c>
      <c r="V272">
        <f>HYPERLINK("https://klasma.github.io/Logging_0883/klagomål/A 20233-2021 FSC-klagomål.docx", "A 20233-2021")</f>
        <v/>
      </c>
      <c r="W272">
        <f>HYPERLINK("https://klasma.github.io/Logging_0883/klagomålsmail/A 20233-2021 FSC-klagomål mail.docx", "A 20233-2021")</f>
        <v/>
      </c>
      <c r="X272">
        <f>HYPERLINK("https://klasma.github.io/Logging_0883/tillsyn/A 20233-2021 tillsynsbegäran.docx", "A 20233-2021")</f>
        <v/>
      </c>
      <c r="Y272">
        <f>HYPERLINK("https://klasma.github.io/Logging_0883/tillsynsmail/A 20233-2021 tillsynsbegäran mail.docx", "A 20233-2021")</f>
        <v/>
      </c>
    </row>
    <row r="273" ht="15" customHeight="1">
      <c r="A273" t="inlineStr">
        <is>
          <t>A 25447-2021</t>
        </is>
      </c>
      <c r="B273" s="1" t="n">
        <v>44342</v>
      </c>
      <c r="C273" s="1" t="n">
        <v>46076</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59198-2025</t>
        </is>
      </c>
      <c r="B274" s="1" t="n">
        <v>45988</v>
      </c>
      <c r="C274" s="1" t="n">
        <v>46076</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46076</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25594-2021</t>
        </is>
      </c>
      <c r="B276" s="1" t="n">
        <v>44343</v>
      </c>
      <c r="C276" s="1" t="n">
        <v>46076</v>
      </c>
      <c r="D276" t="inlineStr">
        <is>
          <t>KALMAR LÄN</t>
        </is>
      </c>
      <c r="E276" t="inlineStr">
        <is>
          <t>VÄSTERVIK</t>
        </is>
      </c>
      <c r="F276" t="inlineStr">
        <is>
          <t>Holmen skog AB</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HYPERLINK("https://klasma.github.io/Logging_0883/artfynd/A 25594-2021 artfynd.xlsx", "A 25594-2021")</f>
        <v/>
      </c>
      <c r="T276">
        <f>HYPERLINK("https://klasma.github.io/Logging_0883/kartor/A 25594-2021 karta.png", "A 25594-2021")</f>
        <v/>
      </c>
      <c r="U276">
        <f>HYPERLINK("https://klasma.github.io/Logging_0883/knärot/A 25594-2021 karta knärot.png", "A 25594-2021")</f>
        <v/>
      </c>
      <c r="V276">
        <f>HYPERLINK("https://klasma.github.io/Logging_0883/klagomål/A 25594-2021 FSC-klagomål.docx", "A 25594-2021")</f>
        <v/>
      </c>
      <c r="W276">
        <f>HYPERLINK("https://klasma.github.io/Logging_0883/klagomålsmail/A 25594-2021 FSC-klagomål mail.docx", "A 25594-2021")</f>
        <v/>
      </c>
      <c r="X276">
        <f>HYPERLINK("https://klasma.github.io/Logging_0883/tillsyn/A 25594-2021 tillsynsbegäran.docx", "A 25594-2021")</f>
        <v/>
      </c>
      <c r="Y276">
        <f>HYPERLINK("https://klasma.github.io/Logging_0883/tillsynsmail/A 25594-2021 tillsynsbegäran mail.docx", "A 25594-2021")</f>
        <v/>
      </c>
    </row>
    <row r="277" ht="15" customHeight="1">
      <c r="A277" t="inlineStr">
        <is>
          <t>A 9952-2026</t>
        </is>
      </c>
      <c r="B277" s="1" t="n">
        <v>46073.47287037037</v>
      </c>
      <c r="C277" s="1" t="n">
        <v>46076</v>
      </c>
      <c r="D277" t="inlineStr">
        <is>
          <t>KALMAR LÄN</t>
        </is>
      </c>
      <c r="E277" t="inlineStr">
        <is>
          <t>VÄSTERVIK</t>
        </is>
      </c>
      <c r="G277" t="n">
        <v>3.4</v>
      </c>
      <c r="H277" t="n">
        <v>0</v>
      </c>
      <c r="I277" t="n">
        <v>0</v>
      </c>
      <c r="J277" t="n">
        <v>1</v>
      </c>
      <c r="K277" t="n">
        <v>0</v>
      </c>
      <c r="L277" t="n">
        <v>0</v>
      </c>
      <c r="M277" t="n">
        <v>0</v>
      </c>
      <c r="N277" t="n">
        <v>0</v>
      </c>
      <c r="O277" t="n">
        <v>1</v>
      </c>
      <c r="P277" t="n">
        <v>0</v>
      </c>
      <c r="Q277" t="n">
        <v>1</v>
      </c>
      <c r="R277" s="2" t="inlineStr">
        <is>
          <t>Krusfrö</t>
        </is>
      </c>
      <c r="S277">
        <f>HYPERLINK("https://klasma.github.io/Logging_0883/artfynd/A 9952-2026 artfynd.xlsx", "A 9952-2026")</f>
        <v/>
      </c>
      <c r="T277">
        <f>HYPERLINK("https://klasma.github.io/Logging_0883/kartor/A 9952-2026 karta.png", "A 9952-2026")</f>
        <v/>
      </c>
      <c r="V277">
        <f>HYPERLINK("https://klasma.github.io/Logging_0883/klagomål/A 9952-2026 FSC-klagomål.docx", "A 9952-2026")</f>
        <v/>
      </c>
      <c r="W277">
        <f>HYPERLINK("https://klasma.github.io/Logging_0883/klagomålsmail/A 9952-2026 FSC-klagomål mail.docx", "A 9952-2026")</f>
        <v/>
      </c>
      <c r="X277">
        <f>HYPERLINK("https://klasma.github.io/Logging_0883/tillsyn/A 9952-2026 tillsynsbegäran.docx", "A 9952-2026")</f>
        <v/>
      </c>
      <c r="Y277">
        <f>HYPERLINK("https://klasma.github.io/Logging_0883/tillsynsmail/A 9952-2026 tillsynsbegäran mail.docx", "A 9952-2026")</f>
        <v/>
      </c>
    </row>
    <row r="278" ht="15" customHeight="1">
      <c r="A278" t="inlineStr">
        <is>
          <t>A 1041-2026</t>
        </is>
      </c>
      <c r="B278" s="1" t="n">
        <v>46030.62386574074</v>
      </c>
      <c r="C278" s="1" t="n">
        <v>46076</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46722-2023</t>
        </is>
      </c>
      <c r="B279" s="1" t="n">
        <v>45194</v>
      </c>
      <c r="C279" s="1" t="n">
        <v>46076</v>
      </c>
      <c r="D279" t="inlineStr">
        <is>
          <t>KALMAR LÄN</t>
        </is>
      </c>
      <c r="E279" t="inlineStr">
        <is>
          <t>VÄSTERVIK</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HYPERLINK("https://klasma.github.io/Logging_0883/artfynd/A 46722-2023 artfynd.xlsx", "A 46722-2023")</f>
        <v/>
      </c>
      <c r="T279">
        <f>HYPERLINK("https://klasma.github.io/Logging_0883/kartor/A 46722-2023 karta.png", "A 46722-2023")</f>
        <v/>
      </c>
      <c r="U279">
        <f>HYPERLINK("https://klasma.github.io/Logging_0883/knärot/A 46722-2023 karta knärot.png", "A 46722-2023")</f>
        <v/>
      </c>
      <c r="V279">
        <f>HYPERLINK("https://klasma.github.io/Logging_0883/klagomål/A 46722-2023 FSC-klagomål.docx", "A 46722-2023")</f>
        <v/>
      </c>
      <c r="W279">
        <f>HYPERLINK("https://klasma.github.io/Logging_0883/klagomålsmail/A 46722-2023 FSC-klagomål mail.docx", "A 46722-2023")</f>
        <v/>
      </c>
      <c r="X279">
        <f>HYPERLINK("https://klasma.github.io/Logging_0883/tillsyn/A 46722-2023 tillsynsbegäran.docx", "A 46722-2023")</f>
        <v/>
      </c>
      <c r="Y279">
        <f>HYPERLINK("https://klasma.github.io/Logging_0883/tillsynsmail/A 46722-2023 tillsynsbegäran mail.docx", "A 46722-2023")</f>
        <v/>
      </c>
    </row>
    <row r="280" ht="15" customHeight="1">
      <c r="A280" t="inlineStr">
        <is>
          <t>A 51514-2024</t>
        </is>
      </c>
      <c r="B280" s="1" t="n">
        <v>45604.5640625</v>
      </c>
      <c r="C280" s="1" t="n">
        <v>46076</v>
      </c>
      <c r="D280" t="inlineStr">
        <is>
          <t>KALMAR LÄN</t>
        </is>
      </c>
      <c r="E280" t="inlineStr">
        <is>
          <t>VÄSTERVIK</t>
        </is>
      </c>
      <c r="F280" t="inlineStr">
        <is>
          <t>Övriga Aktiebolag</t>
        </is>
      </c>
      <c r="G280" t="n">
        <v>2.4</v>
      </c>
      <c r="H280" t="n">
        <v>1</v>
      </c>
      <c r="I280" t="n">
        <v>0</v>
      </c>
      <c r="J280" t="n">
        <v>1</v>
      </c>
      <c r="K280" t="n">
        <v>0</v>
      </c>
      <c r="L280" t="n">
        <v>0</v>
      </c>
      <c r="M280" t="n">
        <v>0</v>
      </c>
      <c r="N280" t="n">
        <v>0</v>
      </c>
      <c r="O280" t="n">
        <v>1</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14131-2025</t>
        </is>
      </c>
      <c r="B281" s="1" t="n">
        <v>45740.47480324074</v>
      </c>
      <c r="C281" s="1" t="n">
        <v>46076</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3600-2025</t>
        </is>
      </c>
      <c r="B282" s="1" t="n">
        <v>45681.34420138889</v>
      </c>
      <c r="C282" s="1" t="n">
        <v>46076</v>
      </c>
      <c r="D282" t="inlineStr">
        <is>
          <t>KALMAR LÄN</t>
        </is>
      </c>
      <c r="E282" t="inlineStr">
        <is>
          <t>VÄSTERVIK</t>
        </is>
      </c>
      <c r="G282" t="n">
        <v>1</v>
      </c>
      <c r="H282" t="n">
        <v>1</v>
      </c>
      <c r="I282" t="n">
        <v>0</v>
      </c>
      <c r="J282" t="n">
        <v>1</v>
      </c>
      <c r="K282" t="n">
        <v>0</v>
      </c>
      <c r="L282" t="n">
        <v>0</v>
      </c>
      <c r="M282" t="n">
        <v>0</v>
      </c>
      <c r="N282" t="n">
        <v>0</v>
      </c>
      <c r="O282" t="n">
        <v>1</v>
      </c>
      <c r="P282" t="n">
        <v>0</v>
      </c>
      <c r="Q282" t="n">
        <v>1</v>
      </c>
      <c r="R282" s="2" t="inlineStr">
        <is>
          <t>Spillkråka</t>
        </is>
      </c>
      <c r="S282">
        <f>HYPERLINK("https://klasma.github.io/Logging_0883/artfynd/A 3600-2025 artfynd.xlsx", "A 3600-2025")</f>
        <v/>
      </c>
      <c r="T282">
        <f>HYPERLINK("https://klasma.github.io/Logging_0883/kartor/A 3600-2025 karta.png", "A 3600-2025")</f>
        <v/>
      </c>
      <c r="V282">
        <f>HYPERLINK("https://klasma.github.io/Logging_0883/klagomål/A 3600-2025 FSC-klagomål.docx", "A 3600-2025")</f>
        <v/>
      </c>
      <c r="W282">
        <f>HYPERLINK("https://klasma.github.io/Logging_0883/klagomålsmail/A 3600-2025 FSC-klagomål mail.docx", "A 3600-2025")</f>
        <v/>
      </c>
      <c r="X282">
        <f>HYPERLINK("https://klasma.github.io/Logging_0883/tillsyn/A 3600-2025 tillsynsbegäran.docx", "A 3600-2025")</f>
        <v/>
      </c>
      <c r="Y282">
        <f>HYPERLINK("https://klasma.github.io/Logging_0883/tillsynsmail/A 3600-2025 tillsynsbegäran mail.docx", "A 3600-2025")</f>
        <v/>
      </c>
      <c r="Z282">
        <f>HYPERLINK("https://klasma.github.io/Logging_0883/fåglar/A 3600-2025 prioriterade fågelarter.docx", "A 3600-2025")</f>
        <v/>
      </c>
    </row>
    <row r="283" ht="15" customHeight="1">
      <c r="A283" t="inlineStr">
        <is>
          <t>A 56439-2024</t>
        </is>
      </c>
      <c r="B283" s="1" t="n">
        <v>45625.4175</v>
      </c>
      <c r="C283" s="1" t="n">
        <v>46076</v>
      </c>
      <c r="D283" t="inlineStr">
        <is>
          <t>KALMAR LÄN</t>
        </is>
      </c>
      <c r="E283" t="inlineStr">
        <is>
          <t>VÄSTERVIK</t>
        </is>
      </c>
      <c r="F283" t="inlineStr">
        <is>
          <t>Övriga Aktiebolag</t>
        </is>
      </c>
      <c r="G283" t="n">
        <v>3.3</v>
      </c>
      <c r="H283" t="n">
        <v>0</v>
      </c>
      <c r="I283" t="n">
        <v>1</v>
      </c>
      <c r="J283" t="n">
        <v>0</v>
      </c>
      <c r="K283" t="n">
        <v>0</v>
      </c>
      <c r="L283" t="n">
        <v>0</v>
      </c>
      <c r="M283" t="n">
        <v>0</v>
      </c>
      <c r="N283" t="n">
        <v>0</v>
      </c>
      <c r="O283" t="n">
        <v>0</v>
      </c>
      <c r="P283" t="n">
        <v>0</v>
      </c>
      <c r="Q283" t="n">
        <v>1</v>
      </c>
      <c r="R283" s="2" t="inlineStr">
        <is>
          <t>Hasselticka</t>
        </is>
      </c>
      <c r="S283">
        <f>HYPERLINK("https://klasma.github.io/Logging_0883/artfynd/A 56439-2024 artfynd.xlsx", "A 56439-2024")</f>
        <v/>
      </c>
      <c r="T283">
        <f>HYPERLINK("https://klasma.github.io/Logging_0883/kartor/A 56439-2024 karta.png", "A 56439-2024")</f>
        <v/>
      </c>
      <c r="V283">
        <f>HYPERLINK("https://klasma.github.io/Logging_0883/klagomål/A 56439-2024 FSC-klagomål.docx", "A 56439-2024")</f>
        <v/>
      </c>
      <c r="W283">
        <f>HYPERLINK("https://klasma.github.io/Logging_0883/klagomålsmail/A 56439-2024 FSC-klagomål mail.docx", "A 56439-2024")</f>
        <v/>
      </c>
      <c r="X283">
        <f>HYPERLINK("https://klasma.github.io/Logging_0883/tillsyn/A 56439-2024 tillsynsbegäran.docx", "A 56439-2024")</f>
        <v/>
      </c>
      <c r="Y283">
        <f>HYPERLINK("https://klasma.github.io/Logging_0883/tillsynsmail/A 56439-2024 tillsynsbegäran mail.docx", "A 56439-2024")</f>
        <v/>
      </c>
    </row>
    <row r="284" ht="15" customHeight="1">
      <c r="A284" t="inlineStr">
        <is>
          <t>A 11609-2022</t>
        </is>
      </c>
      <c r="B284" s="1" t="n">
        <v>44631</v>
      </c>
      <c r="C284" s="1" t="n">
        <v>46076</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47112-2023</t>
        </is>
      </c>
      <c r="B285" s="1" t="n">
        <v>45201</v>
      </c>
      <c r="C285" s="1" t="n">
        <v>46076</v>
      </c>
      <c r="D285" t="inlineStr">
        <is>
          <t>KALMAR LÄN</t>
        </is>
      </c>
      <c r="E285" t="inlineStr">
        <is>
          <t>VÄSTERVIK</t>
        </is>
      </c>
      <c r="G285" t="n">
        <v>1</v>
      </c>
      <c r="H285" t="n">
        <v>0</v>
      </c>
      <c r="I285" t="n">
        <v>0</v>
      </c>
      <c r="J285" t="n">
        <v>1</v>
      </c>
      <c r="K285" t="n">
        <v>0</v>
      </c>
      <c r="L285" t="n">
        <v>0</v>
      </c>
      <c r="M285" t="n">
        <v>0</v>
      </c>
      <c r="N285" t="n">
        <v>0</v>
      </c>
      <c r="O285" t="n">
        <v>1</v>
      </c>
      <c r="P285" t="n">
        <v>0</v>
      </c>
      <c r="Q285" t="n">
        <v>1</v>
      </c>
      <c r="R285" s="2" t="inlineStr">
        <is>
          <t>Tallticka</t>
        </is>
      </c>
      <c r="S285">
        <f>HYPERLINK("https://klasma.github.io/Logging_0883/artfynd/A 47112-2023 artfynd.xlsx", "A 47112-2023")</f>
        <v/>
      </c>
      <c r="T285">
        <f>HYPERLINK("https://klasma.github.io/Logging_0883/kartor/A 47112-2023 karta.png", "A 47112-2023")</f>
        <v/>
      </c>
      <c r="V285">
        <f>HYPERLINK("https://klasma.github.io/Logging_0883/klagomål/A 47112-2023 FSC-klagomål.docx", "A 47112-2023")</f>
        <v/>
      </c>
      <c r="W285">
        <f>HYPERLINK("https://klasma.github.io/Logging_0883/klagomålsmail/A 47112-2023 FSC-klagomål mail.docx", "A 47112-2023")</f>
        <v/>
      </c>
      <c r="X285">
        <f>HYPERLINK("https://klasma.github.io/Logging_0883/tillsyn/A 47112-2023 tillsynsbegäran.docx", "A 47112-2023")</f>
        <v/>
      </c>
      <c r="Y285">
        <f>HYPERLINK("https://klasma.github.io/Logging_0883/tillsynsmail/A 47112-2023 tillsynsbegäran mail.docx", "A 47112-2023")</f>
        <v/>
      </c>
    </row>
    <row r="286" ht="15" customHeight="1">
      <c r="A286" t="inlineStr">
        <is>
          <t>A 46556-2022</t>
        </is>
      </c>
      <c r="B286" s="1" t="n">
        <v>44848</v>
      </c>
      <c r="C286" s="1" t="n">
        <v>46076</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31315-2021</t>
        </is>
      </c>
      <c r="B287" s="1" t="n">
        <v>44368</v>
      </c>
      <c r="C287" s="1" t="n">
        <v>46076</v>
      </c>
      <c r="D287" t="inlineStr">
        <is>
          <t>KALMAR LÄN</t>
        </is>
      </c>
      <c r="E287" t="inlineStr">
        <is>
          <t>VÄSTERVIK</t>
        </is>
      </c>
      <c r="G287" t="n">
        <v>3.3</v>
      </c>
      <c r="H287" t="n">
        <v>1</v>
      </c>
      <c r="I287" t="n">
        <v>0</v>
      </c>
      <c r="J287" t="n">
        <v>0</v>
      </c>
      <c r="K287" t="n">
        <v>1</v>
      </c>
      <c r="L287" t="n">
        <v>0</v>
      </c>
      <c r="M287" t="n">
        <v>0</v>
      </c>
      <c r="N287" t="n">
        <v>0</v>
      </c>
      <c r="O287" t="n">
        <v>1</v>
      </c>
      <c r="P287" t="n">
        <v>1</v>
      </c>
      <c r="Q287" t="n">
        <v>1</v>
      </c>
      <c r="R287" s="2" t="inlineStr">
        <is>
          <t>Knärot</t>
        </is>
      </c>
      <c r="S287">
        <f>HYPERLINK("https://klasma.github.io/Logging_0883/artfynd/A 31315-2021 artfynd.xlsx", "A 31315-2021")</f>
        <v/>
      </c>
      <c r="T287">
        <f>HYPERLINK("https://klasma.github.io/Logging_0883/kartor/A 31315-2021 karta.png", "A 31315-2021")</f>
        <v/>
      </c>
      <c r="U287">
        <f>HYPERLINK("https://klasma.github.io/Logging_0883/knärot/A 31315-2021 karta knärot.png", "A 31315-2021")</f>
        <v/>
      </c>
      <c r="V287">
        <f>HYPERLINK("https://klasma.github.io/Logging_0883/klagomål/A 31315-2021 FSC-klagomål.docx", "A 31315-2021")</f>
        <v/>
      </c>
      <c r="W287">
        <f>HYPERLINK("https://klasma.github.io/Logging_0883/klagomålsmail/A 31315-2021 FSC-klagomål mail.docx", "A 31315-2021")</f>
        <v/>
      </c>
      <c r="X287">
        <f>HYPERLINK("https://klasma.github.io/Logging_0883/tillsyn/A 31315-2021 tillsynsbegäran.docx", "A 31315-2021")</f>
        <v/>
      </c>
      <c r="Y287">
        <f>HYPERLINK("https://klasma.github.io/Logging_0883/tillsynsmail/A 31315-2021 tillsynsbegäran mail.docx", "A 31315-2021")</f>
        <v/>
      </c>
    </row>
    <row r="288" ht="15" customHeight="1">
      <c r="A288" t="inlineStr">
        <is>
          <t>A 43788-2023</t>
        </is>
      </c>
      <c r="B288" s="1" t="n">
        <v>45187.53707175926</v>
      </c>
      <c r="C288" s="1" t="n">
        <v>46076</v>
      </c>
      <c r="D288" t="inlineStr">
        <is>
          <t>KALMAR LÄN</t>
        </is>
      </c>
      <c r="E288" t="inlineStr">
        <is>
          <t>VÄSTERVIK</t>
        </is>
      </c>
      <c r="G288" t="n">
        <v>4.5</v>
      </c>
      <c r="H288" t="n">
        <v>0</v>
      </c>
      <c r="I288" t="n">
        <v>0</v>
      </c>
      <c r="J288" t="n">
        <v>1</v>
      </c>
      <c r="K288" t="n">
        <v>0</v>
      </c>
      <c r="L288" t="n">
        <v>0</v>
      </c>
      <c r="M288" t="n">
        <v>0</v>
      </c>
      <c r="N288" t="n">
        <v>0</v>
      </c>
      <c r="O288" t="n">
        <v>1</v>
      </c>
      <c r="P288" t="n">
        <v>0</v>
      </c>
      <c r="Q288" t="n">
        <v>1</v>
      </c>
      <c r="R288" s="2" t="inlineStr">
        <is>
          <t>Motaggsvamp</t>
        </is>
      </c>
      <c r="S288">
        <f>HYPERLINK("https://klasma.github.io/Logging_0883/artfynd/A 43788-2023 artfynd.xlsx", "A 43788-2023")</f>
        <v/>
      </c>
      <c r="T288">
        <f>HYPERLINK("https://klasma.github.io/Logging_0883/kartor/A 43788-2023 karta.png", "A 43788-2023")</f>
        <v/>
      </c>
      <c r="V288">
        <f>HYPERLINK("https://klasma.github.io/Logging_0883/klagomål/A 43788-2023 FSC-klagomål.docx", "A 43788-2023")</f>
        <v/>
      </c>
      <c r="W288">
        <f>HYPERLINK("https://klasma.github.io/Logging_0883/klagomålsmail/A 43788-2023 FSC-klagomål mail.docx", "A 43788-2023")</f>
        <v/>
      </c>
      <c r="X288">
        <f>HYPERLINK("https://klasma.github.io/Logging_0883/tillsyn/A 43788-2023 tillsynsbegäran.docx", "A 43788-2023")</f>
        <v/>
      </c>
      <c r="Y288">
        <f>HYPERLINK("https://klasma.github.io/Logging_0883/tillsynsmail/A 43788-2023 tillsynsbegäran mail.docx", "A 43788-2023")</f>
        <v/>
      </c>
    </row>
    <row r="289" ht="15" customHeight="1">
      <c r="A289" t="inlineStr">
        <is>
          <t>A 34563-2023</t>
        </is>
      </c>
      <c r="B289" s="1" t="n">
        <v>45140.52086805556</v>
      </c>
      <c r="C289" s="1" t="n">
        <v>46076</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46076</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46076</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46076</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46076</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46076</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46076</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46076</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46076</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24884-2025</t>
        </is>
      </c>
      <c r="B298" s="1" t="n">
        <v>45799.50620370371</v>
      </c>
      <c r="C298" s="1" t="n">
        <v>46076</v>
      </c>
      <c r="D298" t="inlineStr">
        <is>
          <t>KALMAR LÄN</t>
        </is>
      </c>
      <c r="E298" t="inlineStr">
        <is>
          <t>VÄSTERVIK</t>
        </is>
      </c>
      <c r="F298" t="inlineStr">
        <is>
          <t>Holmen skog AB</t>
        </is>
      </c>
      <c r="G298" t="n">
        <v>5.1</v>
      </c>
      <c r="H298" t="n">
        <v>0</v>
      </c>
      <c r="I298" t="n">
        <v>1</v>
      </c>
      <c r="J298" t="n">
        <v>0</v>
      </c>
      <c r="K298" t="n">
        <v>0</v>
      </c>
      <c r="L298" t="n">
        <v>0</v>
      </c>
      <c r="M298" t="n">
        <v>0</v>
      </c>
      <c r="N298" t="n">
        <v>0</v>
      </c>
      <c r="O298" t="n">
        <v>0</v>
      </c>
      <c r="P298" t="n">
        <v>0</v>
      </c>
      <c r="Q298" t="n">
        <v>1</v>
      </c>
      <c r="R298" s="2" t="inlineStr">
        <is>
          <t>Strävlosta</t>
        </is>
      </c>
      <c r="S298">
        <f>HYPERLINK("https://klasma.github.io/Logging_0883/artfynd/A 24884-2025 artfynd.xlsx", "A 24884-2025")</f>
        <v/>
      </c>
      <c r="T298">
        <f>HYPERLINK("https://klasma.github.io/Logging_0883/kartor/A 24884-2025 karta.png", "A 24884-2025")</f>
        <v/>
      </c>
      <c r="V298">
        <f>HYPERLINK("https://klasma.github.io/Logging_0883/klagomål/A 24884-2025 FSC-klagomål.docx", "A 24884-2025")</f>
        <v/>
      </c>
      <c r="W298">
        <f>HYPERLINK("https://klasma.github.io/Logging_0883/klagomålsmail/A 24884-2025 FSC-klagomål mail.docx", "A 24884-2025")</f>
        <v/>
      </c>
      <c r="X298">
        <f>HYPERLINK("https://klasma.github.io/Logging_0883/tillsyn/A 24884-2025 tillsynsbegäran.docx", "A 24884-2025")</f>
        <v/>
      </c>
      <c r="Y298">
        <f>HYPERLINK("https://klasma.github.io/Logging_0883/tillsynsmail/A 24884-2025 tillsynsbegäran mail.docx", "A 24884-2025")</f>
        <v/>
      </c>
    </row>
    <row r="299" ht="15" customHeight="1">
      <c r="A299" t="inlineStr">
        <is>
          <t>A 26516-2025</t>
        </is>
      </c>
      <c r="B299" s="1" t="n">
        <v>45807.55402777778</v>
      </c>
      <c r="C299" s="1" t="n">
        <v>46076</v>
      </c>
      <c r="D299" t="inlineStr">
        <is>
          <t>KALMAR LÄN</t>
        </is>
      </c>
      <c r="E299" t="inlineStr">
        <is>
          <t>VÄSTERVIK</t>
        </is>
      </c>
      <c r="G299" t="n">
        <v>1.3</v>
      </c>
      <c r="H299" t="n">
        <v>1</v>
      </c>
      <c r="I299" t="n">
        <v>0</v>
      </c>
      <c r="J299" t="n">
        <v>1</v>
      </c>
      <c r="K299" t="n">
        <v>0</v>
      </c>
      <c r="L299" t="n">
        <v>0</v>
      </c>
      <c r="M299" t="n">
        <v>0</v>
      </c>
      <c r="N299" t="n">
        <v>0</v>
      </c>
      <c r="O299" t="n">
        <v>1</v>
      </c>
      <c r="P299" t="n">
        <v>0</v>
      </c>
      <c r="Q299" t="n">
        <v>1</v>
      </c>
      <c r="R299" s="2" t="inlineStr">
        <is>
          <t>Grönsångare</t>
        </is>
      </c>
      <c r="S299">
        <f>HYPERLINK("https://klasma.github.io/Logging_0883/artfynd/A 26516-2025 artfynd.xlsx", "A 26516-2025")</f>
        <v/>
      </c>
      <c r="T299">
        <f>HYPERLINK("https://klasma.github.io/Logging_0883/kartor/A 26516-2025 karta.png", "A 26516-2025")</f>
        <v/>
      </c>
      <c r="V299">
        <f>HYPERLINK("https://klasma.github.io/Logging_0883/klagomål/A 26516-2025 FSC-klagomål.docx", "A 26516-2025")</f>
        <v/>
      </c>
      <c r="W299">
        <f>HYPERLINK("https://klasma.github.io/Logging_0883/klagomålsmail/A 26516-2025 FSC-klagomål mail.docx", "A 26516-2025")</f>
        <v/>
      </c>
      <c r="X299">
        <f>HYPERLINK("https://klasma.github.io/Logging_0883/tillsyn/A 26516-2025 tillsynsbegäran.docx", "A 26516-2025")</f>
        <v/>
      </c>
      <c r="Y299">
        <f>HYPERLINK("https://klasma.github.io/Logging_0883/tillsynsmail/A 26516-2025 tillsynsbegäran mail.docx", "A 26516-2025")</f>
        <v/>
      </c>
      <c r="Z299">
        <f>HYPERLINK("https://klasma.github.io/Logging_0883/fåglar/A 26516-2025 prioriterade fågelarter.docx", "A 26516-2025")</f>
        <v/>
      </c>
    </row>
    <row r="300" ht="15" customHeight="1">
      <c r="A300" t="inlineStr">
        <is>
          <t>A 16697-2021</t>
        </is>
      </c>
      <c r="B300" s="1" t="n">
        <v>44294</v>
      </c>
      <c r="C300" s="1" t="n">
        <v>46076</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46076</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46076</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46076</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46076</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46076</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46076</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46076</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46076</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46076</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46076</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46076</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46076</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46076</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46076</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14149-2021</t>
        </is>
      </c>
      <c r="B315" s="1" t="n">
        <v>44278</v>
      </c>
      <c r="C315" s="1" t="n">
        <v>46076</v>
      </c>
      <c r="D315" t="inlineStr">
        <is>
          <t>KALMAR LÄN</t>
        </is>
      </c>
      <c r="E315" t="inlineStr">
        <is>
          <t>VÄSTERVIK</t>
        </is>
      </c>
      <c r="G315" t="n">
        <v>4.1</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46076</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46076</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46076</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46076</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46076</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46076</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46076</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46076</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46076</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46076</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46076</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46076</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46076</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46076</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46076</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46076</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46076</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46076</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46076</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46076</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46076</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46076</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46076</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46076</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46076</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46076</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46076</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46076</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46076</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46076</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46076</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46076</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46076</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46076</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46076</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46076</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46076</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46076</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46076</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46076</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46076</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46076</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46076</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46076</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46076</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46076</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46076</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46076</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46076</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46076</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46076</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46076</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46076</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46076</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46076</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46076</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46076</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46076</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46076</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46076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46076</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46076</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46076</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46076</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46076</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46076</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46076</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46076</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46076</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46076</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46076</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46076</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46076</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46076</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46076</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46076</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46076</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13230-2021</t>
        </is>
      </c>
      <c r="B393" s="1" t="n">
        <v>44272</v>
      </c>
      <c r="C393" s="1" t="n">
        <v>46076</v>
      </c>
      <c r="D393" t="inlineStr">
        <is>
          <t>KALMAR LÄN</t>
        </is>
      </c>
      <c r="E393" t="inlineStr">
        <is>
          <t>VÄSTERVIK</t>
        </is>
      </c>
      <c r="G393" t="n">
        <v>7.2</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46076</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46076</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46076</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46076</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46076</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46076</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46076</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46076</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46076</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46076</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46076</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49404-2021</t>
        </is>
      </c>
      <c r="B405" s="1" t="n">
        <v>44454.63494212963</v>
      </c>
      <c r="C405" s="1" t="n">
        <v>46076</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49407-2021</t>
        </is>
      </c>
      <c r="B406" s="1" t="n">
        <v>44454.63644675926</v>
      </c>
      <c r="C406" s="1" t="n">
        <v>46076</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46076</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24584-2024</t>
        </is>
      </c>
      <c r="B408" s="1" t="n">
        <v>45460</v>
      </c>
      <c r="C408" s="1" t="n">
        <v>46076</v>
      </c>
      <c r="D408" t="inlineStr">
        <is>
          <t>KALMAR LÄN</t>
        </is>
      </c>
      <c r="E408" t="inlineStr">
        <is>
          <t>VÄSTERVIK</t>
        </is>
      </c>
      <c r="G408" t="n">
        <v>1.5</v>
      </c>
      <c r="H408" t="n">
        <v>0</v>
      </c>
      <c r="I408" t="n">
        <v>0</v>
      </c>
      <c r="J408" t="n">
        <v>0</v>
      </c>
      <c r="K408" t="n">
        <v>0</v>
      </c>
      <c r="L408" t="n">
        <v>0</v>
      </c>
      <c r="M408" t="n">
        <v>0</v>
      </c>
      <c r="N408" t="n">
        <v>0</v>
      </c>
      <c r="O408" t="n">
        <v>0</v>
      </c>
      <c r="P408" t="n">
        <v>0</v>
      </c>
      <c r="Q408" t="n">
        <v>0</v>
      </c>
      <c r="R408" s="2" t="inlineStr"/>
    </row>
    <row r="409" ht="15" customHeight="1">
      <c r="A409" t="inlineStr">
        <is>
          <t>A 35456-2024</t>
        </is>
      </c>
      <c r="B409" s="1" t="n">
        <v>45531</v>
      </c>
      <c r="C409" s="1" t="n">
        <v>46076</v>
      </c>
      <c r="D409" t="inlineStr">
        <is>
          <t>KALMAR LÄN</t>
        </is>
      </c>
      <c r="E409" t="inlineStr">
        <is>
          <t>VÄSTERVIK</t>
        </is>
      </c>
      <c r="G409" t="n">
        <v>5.8</v>
      </c>
      <c r="H409" t="n">
        <v>0</v>
      </c>
      <c r="I409" t="n">
        <v>0</v>
      </c>
      <c r="J409" t="n">
        <v>0</v>
      </c>
      <c r="K409" t="n">
        <v>0</v>
      </c>
      <c r="L409" t="n">
        <v>0</v>
      </c>
      <c r="M409" t="n">
        <v>0</v>
      </c>
      <c r="N409" t="n">
        <v>0</v>
      </c>
      <c r="O409" t="n">
        <v>0</v>
      </c>
      <c r="P409" t="n">
        <v>0</v>
      </c>
      <c r="Q409" t="n">
        <v>0</v>
      </c>
      <c r="R409" s="2" t="inlineStr"/>
    </row>
    <row r="410" ht="15" customHeight="1">
      <c r="A410" t="inlineStr">
        <is>
          <t>A 41342-2023</t>
        </is>
      </c>
      <c r="B410" s="1" t="n">
        <v>45174.72416666667</v>
      </c>
      <c r="C410" s="1" t="n">
        <v>46076</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46076</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5450-2022</t>
        </is>
      </c>
      <c r="B412" s="1" t="n">
        <v>44595</v>
      </c>
      <c r="C412" s="1" t="n">
        <v>46076</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46076</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46121-2023</t>
        </is>
      </c>
      <c r="B414" s="1" t="n">
        <v>45196.55392361111</v>
      </c>
      <c r="C414" s="1" t="n">
        <v>46076</v>
      </c>
      <c r="D414" t="inlineStr">
        <is>
          <t>KALMAR LÄN</t>
        </is>
      </c>
      <c r="E414" t="inlineStr">
        <is>
          <t>VÄSTERVIK</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46076</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46076</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46076</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34420-2024</t>
        </is>
      </c>
      <c r="B418" s="1" t="n">
        <v>45525.49710648148</v>
      </c>
      <c r="C418" s="1" t="n">
        <v>46076</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14385-2023</t>
        </is>
      </c>
      <c r="B419" s="1" t="n">
        <v>45012</v>
      </c>
      <c r="C419" s="1" t="n">
        <v>46076</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46076</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16834-2023</t>
        </is>
      </c>
      <c r="B421" s="1" t="n">
        <v>45033</v>
      </c>
      <c r="C421" s="1" t="n">
        <v>46076</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60634-2023</t>
        </is>
      </c>
      <c r="B422" s="1" t="n">
        <v>45260.40186342593</v>
      </c>
      <c r="C422" s="1" t="n">
        <v>46076</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46076</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49452-2023</t>
        </is>
      </c>
      <c r="B424" s="1" t="n">
        <v>45211.49424768519</v>
      </c>
      <c r="C424" s="1" t="n">
        <v>46076</v>
      </c>
      <c r="D424" t="inlineStr">
        <is>
          <t>KALMAR LÄN</t>
        </is>
      </c>
      <c r="E424" t="inlineStr">
        <is>
          <t>VÄSTERVIK</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49507-2023</t>
        </is>
      </c>
      <c r="B425" s="1" t="n">
        <v>45211.5790625</v>
      </c>
      <c r="C425" s="1" t="n">
        <v>46076</v>
      </c>
      <c r="D425" t="inlineStr">
        <is>
          <t>KALMAR LÄN</t>
        </is>
      </c>
      <c r="E425" t="inlineStr">
        <is>
          <t>VÄSTERVIK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69753-2021</t>
        </is>
      </c>
      <c r="B426" s="1" t="n">
        <v>44532.56175925926</v>
      </c>
      <c r="C426" s="1" t="n">
        <v>46076</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46076</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31592-2021</t>
        </is>
      </c>
      <c r="B428" s="1" t="n">
        <v>44369.56576388889</v>
      </c>
      <c r="C428" s="1" t="n">
        <v>46076</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46076</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46076</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3190-2023</t>
        </is>
      </c>
      <c r="B431" s="1" t="n">
        <v>44946.61086805556</v>
      </c>
      <c r="C431" s="1" t="n">
        <v>46076</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18884-2025</t>
        </is>
      </c>
      <c r="B432" s="1" t="n">
        <v>45764.4417824074</v>
      </c>
      <c r="C432" s="1" t="n">
        <v>46076</v>
      </c>
      <c r="D432" t="inlineStr">
        <is>
          <t>KALMAR LÄN</t>
        </is>
      </c>
      <c r="E432" t="inlineStr">
        <is>
          <t>VÄSTERVIK</t>
        </is>
      </c>
      <c r="G432" t="n">
        <v>0.8</v>
      </c>
      <c r="H432" t="n">
        <v>0</v>
      </c>
      <c r="I432" t="n">
        <v>0</v>
      </c>
      <c r="J432" t="n">
        <v>0</v>
      </c>
      <c r="K432" t="n">
        <v>0</v>
      </c>
      <c r="L432" t="n">
        <v>0</v>
      </c>
      <c r="M432" t="n">
        <v>0</v>
      </c>
      <c r="N432" t="n">
        <v>0</v>
      </c>
      <c r="O432" t="n">
        <v>0</v>
      </c>
      <c r="P432" t="n">
        <v>0</v>
      </c>
      <c r="Q432" t="n">
        <v>0</v>
      </c>
      <c r="R432" s="2" t="inlineStr"/>
    </row>
    <row r="433" ht="15" customHeight="1">
      <c r="A433" t="inlineStr">
        <is>
          <t>A 55050-2024</t>
        </is>
      </c>
      <c r="B433" s="1" t="n">
        <v>45621.39759259259</v>
      </c>
      <c r="C433" s="1" t="n">
        <v>46076</v>
      </c>
      <c r="D433" t="inlineStr">
        <is>
          <t>KALMAR LÄN</t>
        </is>
      </c>
      <c r="E433" t="inlineStr">
        <is>
          <t>VÄSTERVIK</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12455-2025</t>
        </is>
      </c>
      <c r="B434" s="1" t="n">
        <v>45730</v>
      </c>
      <c r="C434" s="1" t="n">
        <v>46076</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25403-2023</t>
        </is>
      </c>
      <c r="B435" s="1" t="n">
        <v>45079</v>
      </c>
      <c r="C435" s="1" t="n">
        <v>46076</v>
      </c>
      <c r="D435" t="inlineStr">
        <is>
          <t>KALMAR LÄN</t>
        </is>
      </c>
      <c r="E435" t="inlineStr">
        <is>
          <t>VÄSTERVIK</t>
        </is>
      </c>
      <c r="G435" t="n">
        <v>4.3</v>
      </c>
      <c r="H435" t="n">
        <v>0</v>
      </c>
      <c r="I435" t="n">
        <v>0</v>
      </c>
      <c r="J435" t="n">
        <v>0</v>
      </c>
      <c r="K435" t="n">
        <v>0</v>
      </c>
      <c r="L435" t="n">
        <v>0</v>
      </c>
      <c r="M435" t="n">
        <v>0</v>
      </c>
      <c r="N435" t="n">
        <v>0</v>
      </c>
      <c r="O435" t="n">
        <v>0</v>
      </c>
      <c r="P435" t="n">
        <v>0</v>
      </c>
      <c r="Q435" t="n">
        <v>0</v>
      </c>
      <c r="R435" s="2" t="inlineStr"/>
    </row>
    <row r="436" ht="15" customHeight="1">
      <c r="A436" t="inlineStr">
        <is>
          <t>A 6312-2024</t>
        </is>
      </c>
      <c r="B436" s="1" t="n">
        <v>45338</v>
      </c>
      <c r="C436" s="1" t="n">
        <v>46076</v>
      </c>
      <c r="D436" t="inlineStr">
        <is>
          <t>KALMAR LÄN</t>
        </is>
      </c>
      <c r="E436" t="inlineStr">
        <is>
          <t>VÄSTERVIK</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1568-2023</t>
        </is>
      </c>
      <c r="B437" s="1" t="n">
        <v>44937</v>
      </c>
      <c r="C437" s="1" t="n">
        <v>46076</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46076</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14151-2021</t>
        </is>
      </c>
      <c r="B439" s="1" t="n">
        <v>44278.41052083333</v>
      </c>
      <c r="C439" s="1" t="n">
        <v>46076</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45202-2023</t>
        </is>
      </c>
      <c r="B440" s="1" t="n">
        <v>45191</v>
      </c>
      <c r="C440" s="1" t="n">
        <v>46076</v>
      </c>
      <c r="D440" t="inlineStr">
        <is>
          <t>KALMAR LÄN</t>
        </is>
      </c>
      <c r="E440" t="inlineStr">
        <is>
          <t>VÄSTERVIK</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55053-2024</t>
        </is>
      </c>
      <c r="B441" s="1" t="n">
        <v>45621.39938657408</v>
      </c>
      <c r="C441" s="1" t="n">
        <v>46076</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13840-2024</t>
        </is>
      </c>
      <c r="B442" s="1" t="n">
        <v>45391.44885416667</v>
      </c>
      <c r="C442" s="1" t="n">
        <v>46076</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20204-2021</t>
        </is>
      </c>
      <c r="B443" s="1" t="n">
        <v>44314</v>
      </c>
      <c r="C443" s="1" t="n">
        <v>46076</v>
      </c>
      <c r="D443" t="inlineStr">
        <is>
          <t>KALMAR LÄN</t>
        </is>
      </c>
      <c r="E443" t="inlineStr">
        <is>
          <t>VÄSTERVIK</t>
        </is>
      </c>
      <c r="F443" t="inlineStr">
        <is>
          <t>Holmen skog AB</t>
        </is>
      </c>
      <c r="G443" t="n">
        <v>12.1</v>
      </c>
      <c r="H443" t="n">
        <v>0</v>
      </c>
      <c r="I443" t="n">
        <v>0</v>
      </c>
      <c r="J443" t="n">
        <v>0</v>
      </c>
      <c r="K443" t="n">
        <v>0</v>
      </c>
      <c r="L443" t="n">
        <v>0</v>
      </c>
      <c r="M443" t="n">
        <v>0</v>
      </c>
      <c r="N443" t="n">
        <v>0</v>
      </c>
      <c r="O443" t="n">
        <v>0</v>
      </c>
      <c r="P443" t="n">
        <v>0</v>
      </c>
      <c r="Q443" t="n">
        <v>0</v>
      </c>
      <c r="R443" s="2" t="inlineStr"/>
    </row>
    <row r="444" ht="15" customHeight="1">
      <c r="A444" t="inlineStr">
        <is>
          <t>A 8007-2023</t>
        </is>
      </c>
      <c r="B444" s="1" t="n">
        <v>44973.88759259259</v>
      </c>
      <c r="C444" s="1" t="n">
        <v>46076</v>
      </c>
      <c r="D444" t="inlineStr">
        <is>
          <t>KALMAR LÄN</t>
        </is>
      </c>
      <c r="E444" t="inlineStr">
        <is>
          <t>VÄSTERVIK</t>
        </is>
      </c>
      <c r="G444" t="n">
        <v>4.5</v>
      </c>
      <c r="H444" t="n">
        <v>0</v>
      </c>
      <c r="I444" t="n">
        <v>0</v>
      </c>
      <c r="J444" t="n">
        <v>0</v>
      </c>
      <c r="K444" t="n">
        <v>0</v>
      </c>
      <c r="L444" t="n">
        <v>0</v>
      </c>
      <c r="M444" t="n">
        <v>0</v>
      </c>
      <c r="N444" t="n">
        <v>0</v>
      </c>
      <c r="O444" t="n">
        <v>0</v>
      </c>
      <c r="P444" t="n">
        <v>0</v>
      </c>
      <c r="Q444" t="n">
        <v>0</v>
      </c>
      <c r="R444" s="2" t="inlineStr"/>
    </row>
    <row r="445" ht="15" customHeight="1">
      <c r="A445" t="inlineStr">
        <is>
          <t>A 42130-2022</t>
        </is>
      </c>
      <c r="B445" s="1" t="n">
        <v>44830</v>
      </c>
      <c r="C445" s="1" t="n">
        <v>46076</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64762-2023</t>
        </is>
      </c>
      <c r="B446" s="1" t="n">
        <v>45282.27841435185</v>
      </c>
      <c r="C446" s="1" t="n">
        <v>46076</v>
      </c>
      <c r="D446" t="inlineStr">
        <is>
          <t>KALMAR LÄN</t>
        </is>
      </c>
      <c r="E446" t="inlineStr">
        <is>
          <t>VÄSTERVIK</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46076</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64763-2023</t>
        </is>
      </c>
      <c r="B448" s="1" t="n">
        <v>45282.28041666667</v>
      </c>
      <c r="C448" s="1" t="n">
        <v>46076</v>
      </c>
      <c r="D448" t="inlineStr">
        <is>
          <t>KALMAR LÄN</t>
        </is>
      </c>
      <c r="E448" t="inlineStr">
        <is>
          <t>VÄSTERVIK</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6940-2025</t>
        </is>
      </c>
      <c r="B449" s="1" t="n">
        <v>45701.46581018518</v>
      </c>
      <c r="C449" s="1" t="n">
        <v>46076</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26770-2023</t>
        </is>
      </c>
      <c r="B450" s="1" t="n">
        <v>45093</v>
      </c>
      <c r="C450" s="1" t="n">
        <v>46076</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26772-2023</t>
        </is>
      </c>
      <c r="B451" s="1" t="n">
        <v>45093</v>
      </c>
      <c r="C451" s="1" t="n">
        <v>46076</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26773-2023</t>
        </is>
      </c>
      <c r="B452" s="1" t="n">
        <v>45093</v>
      </c>
      <c r="C452" s="1" t="n">
        <v>46076</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10406-2022</t>
        </is>
      </c>
      <c r="B453" s="1" t="n">
        <v>44623</v>
      </c>
      <c r="C453" s="1" t="n">
        <v>46076</v>
      </c>
      <c r="D453" t="inlineStr">
        <is>
          <t>KALMAR LÄN</t>
        </is>
      </c>
      <c r="E453" t="inlineStr">
        <is>
          <t>VÄSTERVIK</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55287-2023</t>
        </is>
      </c>
      <c r="B454" s="1" t="n">
        <v>45237.75578703704</v>
      </c>
      <c r="C454" s="1" t="n">
        <v>46076</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36050-2024</t>
        </is>
      </c>
      <c r="B455" s="1" t="n">
        <v>45533.620625</v>
      </c>
      <c r="C455" s="1" t="n">
        <v>46076</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56042-2023</t>
        </is>
      </c>
      <c r="B456" s="1" t="n">
        <v>45240.44670138889</v>
      </c>
      <c r="C456" s="1" t="n">
        <v>46076</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32763-2022</t>
        </is>
      </c>
      <c r="B457" s="1" t="n">
        <v>44783</v>
      </c>
      <c r="C457" s="1" t="n">
        <v>46076</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58209-2022</t>
        </is>
      </c>
      <c r="B458" s="1" t="n">
        <v>44901</v>
      </c>
      <c r="C458" s="1" t="n">
        <v>46076</v>
      </c>
      <c r="D458" t="inlineStr">
        <is>
          <t>KALMAR LÄN</t>
        </is>
      </c>
      <c r="E458" t="inlineStr">
        <is>
          <t>VÄSTERVIK</t>
        </is>
      </c>
      <c r="G458" t="n">
        <v>1.5</v>
      </c>
      <c r="H458" t="n">
        <v>0</v>
      </c>
      <c r="I458" t="n">
        <v>0</v>
      </c>
      <c r="J458" t="n">
        <v>0</v>
      </c>
      <c r="K458" t="n">
        <v>0</v>
      </c>
      <c r="L458" t="n">
        <v>0</v>
      </c>
      <c r="M458" t="n">
        <v>0</v>
      </c>
      <c r="N458" t="n">
        <v>0</v>
      </c>
      <c r="O458" t="n">
        <v>0</v>
      </c>
      <c r="P458" t="n">
        <v>0</v>
      </c>
      <c r="Q458" t="n">
        <v>0</v>
      </c>
      <c r="R458" s="2" t="inlineStr"/>
    </row>
    <row r="459" ht="15" customHeight="1">
      <c r="A459" t="inlineStr">
        <is>
          <t>A 5684-2023</t>
        </is>
      </c>
      <c r="B459" s="1" t="n">
        <v>44960.73170138889</v>
      </c>
      <c r="C459" s="1" t="n">
        <v>46076</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49706-2024</t>
        </is>
      </c>
      <c r="B460" s="1" t="n">
        <v>45596.69706018519</v>
      </c>
      <c r="C460" s="1" t="n">
        <v>46076</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9249-2024</t>
        </is>
      </c>
      <c r="B461" s="1" t="n">
        <v>45358.59056712963</v>
      </c>
      <c r="C461" s="1" t="n">
        <v>46076</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2168-2024</t>
        </is>
      </c>
      <c r="B462" s="1" t="n">
        <v>45309.61756944445</v>
      </c>
      <c r="C462" s="1" t="n">
        <v>46076</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15106-2023</t>
        </is>
      </c>
      <c r="B463" s="1" t="n">
        <v>45016.41767361111</v>
      </c>
      <c r="C463" s="1" t="n">
        <v>46076</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34655-2023</t>
        </is>
      </c>
      <c r="B464" s="1" t="n">
        <v>45140</v>
      </c>
      <c r="C464" s="1" t="n">
        <v>46076</v>
      </c>
      <c r="D464" t="inlineStr">
        <is>
          <t>KALMAR LÄN</t>
        </is>
      </c>
      <c r="E464" t="inlineStr">
        <is>
          <t>VÄSTERVIK</t>
        </is>
      </c>
      <c r="G464" t="n">
        <v>3.6</v>
      </c>
      <c r="H464" t="n">
        <v>0</v>
      </c>
      <c r="I464" t="n">
        <v>0</v>
      </c>
      <c r="J464" t="n">
        <v>0</v>
      </c>
      <c r="K464" t="n">
        <v>0</v>
      </c>
      <c r="L464" t="n">
        <v>0</v>
      </c>
      <c r="M464" t="n">
        <v>0</v>
      </c>
      <c r="N464" t="n">
        <v>0</v>
      </c>
      <c r="O464" t="n">
        <v>0</v>
      </c>
      <c r="P464" t="n">
        <v>0</v>
      </c>
      <c r="Q464" t="n">
        <v>0</v>
      </c>
      <c r="R464" s="2" t="inlineStr"/>
    </row>
    <row r="465" ht="15" customHeight="1">
      <c r="A465" t="inlineStr">
        <is>
          <t>A 13957-2025</t>
        </is>
      </c>
      <c r="B465" s="1" t="n">
        <v>45737.85231481482</v>
      </c>
      <c r="C465" s="1" t="n">
        <v>46076</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57019-2023</t>
        </is>
      </c>
      <c r="B466" s="1" t="n">
        <v>45244</v>
      </c>
      <c r="C466" s="1" t="n">
        <v>46076</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57924-2024</t>
        </is>
      </c>
      <c r="B467" s="1" t="n">
        <v>45631.51325231481</v>
      </c>
      <c r="C467" s="1" t="n">
        <v>46076</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39193-2024</t>
        </is>
      </c>
      <c r="B468" s="1" t="n">
        <v>45548.68</v>
      </c>
      <c r="C468" s="1" t="n">
        <v>46076</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32137-2024</t>
        </is>
      </c>
      <c r="B469" s="1" t="n">
        <v>45511</v>
      </c>
      <c r="C469" s="1" t="n">
        <v>46076</v>
      </c>
      <c r="D469" t="inlineStr">
        <is>
          <t>KALMAR LÄN</t>
        </is>
      </c>
      <c r="E469" t="inlineStr">
        <is>
          <t>VÄSTERVIK</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61529-2022</t>
        </is>
      </c>
      <c r="B470" s="1" t="n">
        <v>44910</v>
      </c>
      <c r="C470" s="1" t="n">
        <v>46076</v>
      </c>
      <c r="D470" t="inlineStr">
        <is>
          <t>KALMAR LÄN</t>
        </is>
      </c>
      <c r="E470" t="inlineStr">
        <is>
          <t>VÄSTERVIK</t>
        </is>
      </c>
      <c r="G470" t="n">
        <v>6.5</v>
      </c>
      <c r="H470" t="n">
        <v>0</v>
      </c>
      <c r="I470" t="n">
        <v>0</v>
      </c>
      <c r="J470" t="n">
        <v>0</v>
      </c>
      <c r="K470" t="n">
        <v>0</v>
      </c>
      <c r="L470" t="n">
        <v>0</v>
      </c>
      <c r="M470" t="n">
        <v>0</v>
      </c>
      <c r="N470" t="n">
        <v>0</v>
      </c>
      <c r="O470" t="n">
        <v>0</v>
      </c>
      <c r="P470" t="n">
        <v>0</v>
      </c>
      <c r="Q470" t="n">
        <v>0</v>
      </c>
      <c r="R470" s="2" t="inlineStr"/>
    </row>
    <row r="471" ht="15" customHeight="1">
      <c r="A471" t="inlineStr">
        <is>
          <t>A 52645-2021</t>
        </is>
      </c>
      <c r="B471" s="1" t="n">
        <v>44466</v>
      </c>
      <c r="C471" s="1" t="n">
        <v>46076</v>
      </c>
      <c r="D471" t="inlineStr">
        <is>
          <t>KALMAR LÄN</t>
        </is>
      </c>
      <c r="E471" t="inlineStr">
        <is>
          <t>VÄSTERVIK</t>
        </is>
      </c>
      <c r="G471" t="n">
        <v>5</v>
      </c>
      <c r="H471" t="n">
        <v>0</v>
      </c>
      <c r="I471" t="n">
        <v>0</v>
      </c>
      <c r="J471" t="n">
        <v>0</v>
      </c>
      <c r="K471" t="n">
        <v>0</v>
      </c>
      <c r="L471" t="n">
        <v>0</v>
      </c>
      <c r="M471" t="n">
        <v>0</v>
      </c>
      <c r="N471" t="n">
        <v>0</v>
      </c>
      <c r="O471" t="n">
        <v>0</v>
      </c>
      <c r="P471" t="n">
        <v>0</v>
      </c>
      <c r="Q471" t="n">
        <v>0</v>
      </c>
      <c r="R471" s="2" t="inlineStr"/>
    </row>
    <row r="472" ht="15" customHeight="1">
      <c r="A472" t="inlineStr">
        <is>
          <t>A 43199-2024</t>
        </is>
      </c>
      <c r="B472" s="1" t="n">
        <v>45567.68774305555</v>
      </c>
      <c r="C472" s="1" t="n">
        <v>46076</v>
      </c>
      <c r="D472" t="inlineStr">
        <is>
          <t>KALMAR LÄN</t>
        </is>
      </c>
      <c r="E472" t="inlineStr">
        <is>
          <t>VÄSTERVIK</t>
        </is>
      </c>
      <c r="G472" t="n">
        <v>1.8</v>
      </c>
      <c r="H472" t="n">
        <v>0</v>
      </c>
      <c r="I472" t="n">
        <v>0</v>
      </c>
      <c r="J472" t="n">
        <v>0</v>
      </c>
      <c r="K472" t="n">
        <v>0</v>
      </c>
      <c r="L472" t="n">
        <v>0</v>
      </c>
      <c r="M472" t="n">
        <v>0</v>
      </c>
      <c r="N472" t="n">
        <v>0</v>
      </c>
      <c r="O472" t="n">
        <v>0</v>
      </c>
      <c r="P472" t="n">
        <v>0</v>
      </c>
      <c r="Q472" t="n">
        <v>0</v>
      </c>
      <c r="R472" s="2" t="inlineStr"/>
    </row>
    <row r="473" ht="15" customHeight="1">
      <c r="A473" t="inlineStr">
        <is>
          <t>A 59170-2022</t>
        </is>
      </c>
      <c r="B473" s="1" t="n">
        <v>44904.48152777777</v>
      </c>
      <c r="C473" s="1" t="n">
        <v>46076</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26285-2024</t>
        </is>
      </c>
      <c r="B474" s="1" t="n">
        <v>45468.70357638889</v>
      </c>
      <c r="C474" s="1" t="n">
        <v>46076</v>
      </c>
      <c r="D474" t="inlineStr">
        <is>
          <t>KALMAR LÄN</t>
        </is>
      </c>
      <c r="E474" t="inlineStr">
        <is>
          <t>VÄSTERVIK</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2830-2025</t>
        </is>
      </c>
      <c r="B475" s="1" t="n">
        <v>45677.62704861111</v>
      </c>
      <c r="C475" s="1" t="n">
        <v>46076</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row>
    <row r="476" ht="15" customHeight="1">
      <c r="A476" t="inlineStr">
        <is>
          <t>A 59696-2023</t>
        </is>
      </c>
      <c r="B476" s="1" t="n">
        <v>45256.85211805555</v>
      </c>
      <c r="C476" s="1" t="n">
        <v>46076</v>
      </c>
      <c r="D476" t="inlineStr">
        <is>
          <t>KALMAR LÄN</t>
        </is>
      </c>
      <c r="E476" t="inlineStr">
        <is>
          <t>VÄSTERVIK</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808-2023</t>
        </is>
      </c>
      <c r="B477" s="1" t="n">
        <v>44931</v>
      </c>
      <c r="C477" s="1" t="n">
        <v>46076</v>
      </c>
      <c r="D477" t="inlineStr">
        <is>
          <t>KALMAR LÄN</t>
        </is>
      </c>
      <c r="E477" t="inlineStr">
        <is>
          <t>VÄSTERVIK</t>
        </is>
      </c>
      <c r="F477" t="inlineStr">
        <is>
          <t>Holmen skog AB</t>
        </is>
      </c>
      <c r="G477" t="n">
        <v>0.3</v>
      </c>
      <c r="H477" t="n">
        <v>0</v>
      </c>
      <c r="I477" t="n">
        <v>0</v>
      </c>
      <c r="J477" t="n">
        <v>0</v>
      </c>
      <c r="K477" t="n">
        <v>0</v>
      </c>
      <c r="L477" t="n">
        <v>0</v>
      </c>
      <c r="M477" t="n">
        <v>0</v>
      </c>
      <c r="N477" t="n">
        <v>0</v>
      </c>
      <c r="O477" t="n">
        <v>0</v>
      </c>
      <c r="P477" t="n">
        <v>0</v>
      </c>
      <c r="Q477" t="n">
        <v>0</v>
      </c>
      <c r="R477" s="2" t="inlineStr"/>
    </row>
    <row r="478" ht="15" customHeight="1">
      <c r="A478" t="inlineStr">
        <is>
          <t>A 57367-2023</t>
        </is>
      </c>
      <c r="B478" s="1" t="n">
        <v>45245</v>
      </c>
      <c r="C478" s="1" t="n">
        <v>46076</v>
      </c>
      <c r="D478" t="inlineStr">
        <is>
          <t>KALMAR LÄN</t>
        </is>
      </c>
      <c r="E478" t="inlineStr">
        <is>
          <t>VÄSTERVIK</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51645-2023</t>
        </is>
      </c>
      <c r="B479" s="1" t="n">
        <v>45222.55333333334</v>
      </c>
      <c r="C479" s="1" t="n">
        <v>46076</v>
      </c>
      <c r="D479" t="inlineStr">
        <is>
          <t>KALMAR LÄN</t>
        </is>
      </c>
      <c r="E479" t="inlineStr">
        <is>
          <t>VÄSTERVIK</t>
        </is>
      </c>
      <c r="G479" t="n">
        <v>3.7</v>
      </c>
      <c r="H479" t="n">
        <v>0</v>
      </c>
      <c r="I479" t="n">
        <v>0</v>
      </c>
      <c r="J479" t="n">
        <v>0</v>
      </c>
      <c r="K479" t="n">
        <v>0</v>
      </c>
      <c r="L479" t="n">
        <v>0</v>
      </c>
      <c r="M479" t="n">
        <v>0</v>
      </c>
      <c r="N479" t="n">
        <v>0</v>
      </c>
      <c r="O479" t="n">
        <v>0</v>
      </c>
      <c r="P479" t="n">
        <v>0</v>
      </c>
      <c r="Q479" t="n">
        <v>0</v>
      </c>
      <c r="R479" s="2" t="inlineStr"/>
    </row>
    <row r="480" ht="15" customHeight="1">
      <c r="A480" t="inlineStr">
        <is>
          <t>A 55361-2024</t>
        </is>
      </c>
      <c r="B480" s="1" t="n">
        <v>45621.83300925926</v>
      </c>
      <c r="C480" s="1" t="n">
        <v>46076</v>
      </c>
      <c r="D480" t="inlineStr">
        <is>
          <t>KALMAR LÄN</t>
        </is>
      </c>
      <c r="E480" t="inlineStr">
        <is>
          <t>VÄSTERVIK</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55362-2024</t>
        </is>
      </c>
      <c r="B481" s="1" t="n">
        <v>45621.83461805555</v>
      </c>
      <c r="C481" s="1" t="n">
        <v>46076</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35655-2023</t>
        </is>
      </c>
      <c r="B482" s="1" t="n">
        <v>45147.59408564815</v>
      </c>
      <c r="C482" s="1" t="n">
        <v>46076</v>
      </c>
      <c r="D482" t="inlineStr">
        <is>
          <t>KALMAR LÄN</t>
        </is>
      </c>
      <c r="E482" t="inlineStr">
        <is>
          <t>VÄSTERVIK</t>
        </is>
      </c>
      <c r="G482" t="n">
        <v>3.3</v>
      </c>
      <c r="H482" t="n">
        <v>0</v>
      </c>
      <c r="I482" t="n">
        <v>0</v>
      </c>
      <c r="J482" t="n">
        <v>0</v>
      </c>
      <c r="K482" t="n">
        <v>0</v>
      </c>
      <c r="L482" t="n">
        <v>0</v>
      </c>
      <c r="M482" t="n">
        <v>0</v>
      </c>
      <c r="N482" t="n">
        <v>0</v>
      </c>
      <c r="O482" t="n">
        <v>0</v>
      </c>
      <c r="P482" t="n">
        <v>0</v>
      </c>
      <c r="Q482" t="n">
        <v>0</v>
      </c>
      <c r="R482" s="2" t="inlineStr"/>
    </row>
    <row r="483" ht="15" customHeight="1">
      <c r="A483" t="inlineStr">
        <is>
          <t>A 59221-2022</t>
        </is>
      </c>
      <c r="B483" s="1" t="n">
        <v>44904.53858796296</v>
      </c>
      <c r="C483" s="1" t="n">
        <v>46076</v>
      </c>
      <c r="D483" t="inlineStr">
        <is>
          <t>KALMAR LÄN</t>
        </is>
      </c>
      <c r="E483" t="inlineStr">
        <is>
          <t>VÄSTERVIK</t>
        </is>
      </c>
      <c r="G483" t="n">
        <v>6.1</v>
      </c>
      <c r="H483" t="n">
        <v>0</v>
      </c>
      <c r="I483" t="n">
        <v>0</v>
      </c>
      <c r="J483" t="n">
        <v>0</v>
      </c>
      <c r="K483" t="n">
        <v>0</v>
      </c>
      <c r="L483" t="n">
        <v>0</v>
      </c>
      <c r="M483" t="n">
        <v>0</v>
      </c>
      <c r="N483" t="n">
        <v>0</v>
      </c>
      <c r="O483" t="n">
        <v>0</v>
      </c>
      <c r="P483" t="n">
        <v>0</v>
      </c>
      <c r="Q483" t="n">
        <v>0</v>
      </c>
      <c r="R483" s="2" t="inlineStr"/>
    </row>
    <row r="484" ht="15" customHeight="1">
      <c r="A484" t="inlineStr">
        <is>
          <t>A 8597-2023</t>
        </is>
      </c>
      <c r="B484" s="1" t="n">
        <v>44977</v>
      </c>
      <c r="C484" s="1" t="n">
        <v>46076</v>
      </c>
      <c r="D484" t="inlineStr">
        <is>
          <t>KALMAR LÄN</t>
        </is>
      </c>
      <c r="E484" t="inlineStr">
        <is>
          <t>VÄSTERVIK</t>
        </is>
      </c>
      <c r="G484" t="n">
        <v>0.2</v>
      </c>
      <c r="H484" t="n">
        <v>0</v>
      </c>
      <c r="I484" t="n">
        <v>0</v>
      </c>
      <c r="J484" t="n">
        <v>0</v>
      </c>
      <c r="K484" t="n">
        <v>0</v>
      </c>
      <c r="L484" t="n">
        <v>0</v>
      </c>
      <c r="M484" t="n">
        <v>0</v>
      </c>
      <c r="N484" t="n">
        <v>0</v>
      </c>
      <c r="O484" t="n">
        <v>0</v>
      </c>
      <c r="P484" t="n">
        <v>0</v>
      </c>
      <c r="Q484" t="n">
        <v>0</v>
      </c>
      <c r="R484" s="2" t="inlineStr"/>
    </row>
    <row r="485" ht="15" customHeight="1">
      <c r="A485" t="inlineStr">
        <is>
          <t>A 10725-2023</t>
        </is>
      </c>
      <c r="B485" s="1" t="n">
        <v>44988.66966435185</v>
      </c>
      <c r="C485" s="1" t="n">
        <v>46076</v>
      </c>
      <c r="D485" t="inlineStr">
        <is>
          <t>KALMAR LÄN</t>
        </is>
      </c>
      <c r="E485" t="inlineStr">
        <is>
          <t>VÄSTERVIK</t>
        </is>
      </c>
      <c r="G485" t="n">
        <v>0.6</v>
      </c>
      <c r="H485" t="n">
        <v>0</v>
      </c>
      <c r="I485" t="n">
        <v>0</v>
      </c>
      <c r="J485" t="n">
        <v>0</v>
      </c>
      <c r="K485" t="n">
        <v>0</v>
      </c>
      <c r="L485" t="n">
        <v>0</v>
      </c>
      <c r="M485" t="n">
        <v>0</v>
      </c>
      <c r="N485" t="n">
        <v>0</v>
      </c>
      <c r="O485" t="n">
        <v>0</v>
      </c>
      <c r="P485" t="n">
        <v>0</v>
      </c>
      <c r="Q485" t="n">
        <v>0</v>
      </c>
      <c r="R485" s="2" t="inlineStr"/>
    </row>
    <row r="486" ht="15" customHeight="1">
      <c r="A486" t="inlineStr">
        <is>
          <t>A 45463-2024</t>
        </is>
      </c>
      <c r="B486" s="1" t="n">
        <v>45576.69753472223</v>
      </c>
      <c r="C486" s="1" t="n">
        <v>46076</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24562-2024</t>
        </is>
      </c>
      <c r="B487" s="1" t="n">
        <v>45460</v>
      </c>
      <c r="C487" s="1" t="n">
        <v>46076</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24578-2024</t>
        </is>
      </c>
      <c r="B488" s="1" t="n">
        <v>45460</v>
      </c>
      <c r="C488" s="1" t="n">
        <v>46076</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27974-2025</t>
        </is>
      </c>
      <c r="B489" s="1" t="n">
        <v>45817.56891203704</v>
      </c>
      <c r="C489" s="1" t="n">
        <v>46076</v>
      </c>
      <c r="D489" t="inlineStr">
        <is>
          <t>KALMAR LÄN</t>
        </is>
      </c>
      <c r="E489" t="inlineStr">
        <is>
          <t>VÄSTERVIK</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19694-2025</t>
        </is>
      </c>
      <c r="B490" s="1" t="n">
        <v>45771.30550925926</v>
      </c>
      <c r="C490" s="1" t="n">
        <v>46076</v>
      </c>
      <c r="D490" t="inlineStr">
        <is>
          <t>KALMAR LÄN</t>
        </is>
      </c>
      <c r="E490" t="inlineStr">
        <is>
          <t>VÄSTERVIK</t>
        </is>
      </c>
      <c r="G490" t="n">
        <v>1.4</v>
      </c>
      <c r="H490" t="n">
        <v>0</v>
      </c>
      <c r="I490" t="n">
        <v>0</v>
      </c>
      <c r="J490" t="n">
        <v>0</v>
      </c>
      <c r="K490" t="n">
        <v>0</v>
      </c>
      <c r="L490" t="n">
        <v>0</v>
      </c>
      <c r="M490" t="n">
        <v>0</v>
      </c>
      <c r="N490" t="n">
        <v>0</v>
      </c>
      <c r="O490" t="n">
        <v>0</v>
      </c>
      <c r="P490" t="n">
        <v>0</v>
      </c>
      <c r="Q490" t="n">
        <v>0</v>
      </c>
      <c r="R490" s="2" t="inlineStr"/>
    </row>
    <row r="491" ht="15" customHeight="1">
      <c r="A491" t="inlineStr">
        <is>
          <t>A 27978-2025</t>
        </is>
      </c>
      <c r="B491" s="1" t="n">
        <v>45817.57153935185</v>
      </c>
      <c r="C491" s="1" t="n">
        <v>46076</v>
      </c>
      <c r="D491" t="inlineStr">
        <is>
          <t>KALMAR LÄN</t>
        </is>
      </c>
      <c r="E491" t="inlineStr">
        <is>
          <t>VÄSTERVIK</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28203-2025</t>
        </is>
      </c>
      <c r="B492" s="1" t="n">
        <v>45818.44662037037</v>
      </c>
      <c r="C492" s="1" t="n">
        <v>46076</v>
      </c>
      <c r="D492" t="inlineStr">
        <is>
          <t>KALMAR LÄN</t>
        </is>
      </c>
      <c r="E492" t="inlineStr">
        <is>
          <t>VÄSTERVIK</t>
        </is>
      </c>
      <c r="G492" t="n">
        <v>1.7</v>
      </c>
      <c r="H492" t="n">
        <v>0</v>
      </c>
      <c r="I492" t="n">
        <v>0</v>
      </c>
      <c r="J492" t="n">
        <v>0</v>
      </c>
      <c r="K492" t="n">
        <v>0</v>
      </c>
      <c r="L492" t="n">
        <v>0</v>
      </c>
      <c r="M492" t="n">
        <v>0</v>
      </c>
      <c r="N492" t="n">
        <v>0</v>
      </c>
      <c r="O492" t="n">
        <v>0</v>
      </c>
      <c r="P492" t="n">
        <v>0</v>
      </c>
      <c r="Q492" t="n">
        <v>0</v>
      </c>
      <c r="R492" s="2" t="inlineStr"/>
    </row>
    <row r="493" ht="15" customHeight="1">
      <c r="A493" t="inlineStr">
        <is>
          <t>A 55042-2024</t>
        </is>
      </c>
      <c r="B493" s="1" t="n">
        <v>45621.39081018518</v>
      </c>
      <c r="C493" s="1" t="n">
        <v>46076</v>
      </c>
      <c r="D493" t="inlineStr">
        <is>
          <t>KALMAR LÄN</t>
        </is>
      </c>
      <c r="E493" t="inlineStr">
        <is>
          <t>VÄSTERVIK</t>
        </is>
      </c>
      <c r="F493" t="inlineStr">
        <is>
          <t>Sveaskog</t>
        </is>
      </c>
      <c r="G493" t="n">
        <v>3</v>
      </c>
      <c r="H493" t="n">
        <v>0</v>
      </c>
      <c r="I493" t="n">
        <v>0</v>
      </c>
      <c r="J493" t="n">
        <v>0</v>
      </c>
      <c r="K493" t="n">
        <v>0</v>
      </c>
      <c r="L493" t="n">
        <v>0</v>
      </c>
      <c r="M493" t="n">
        <v>0</v>
      </c>
      <c r="N493" t="n">
        <v>0</v>
      </c>
      <c r="O493" t="n">
        <v>0</v>
      </c>
      <c r="P493" t="n">
        <v>0</v>
      </c>
      <c r="Q493" t="n">
        <v>0</v>
      </c>
      <c r="R493" s="2" t="inlineStr"/>
    </row>
    <row r="494" ht="15" customHeight="1">
      <c r="A494" t="inlineStr">
        <is>
          <t>A 58217-2022</t>
        </is>
      </c>
      <c r="B494" s="1" t="n">
        <v>44901.36453703704</v>
      </c>
      <c r="C494" s="1" t="n">
        <v>46076</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28096-2025</t>
        </is>
      </c>
      <c r="B495" s="1" t="n">
        <v>45817.81831018518</v>
      </c>
      <c r="C495" s="1" t="n">
        <v>46076</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1787-2025</t>
        </is>
      </c>
      <c r="B496" s="1" t="n">
        <v>45671.45357638889</v>
      </c>
      <c r="C496" s="1" t="n">
        <v>46076</v>
      </c>
      <c r="D496" t="inlineStr">
        <is>
          <t>KALMAR LÄN</t>
        </is>
      </c>
      <c r="E496" t="inlineStr">
        <is>
          <t>VÄSTERVIK</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28696-2025</t>
        </is>
      </c>
      <c r="B497" s="1" t="n">
        <v>45819.91342592592</v>
      </c>
      <c r="C497" s="1" t="n">
        <v>46076</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29784-2024</t>
        </is>
      </c>
      <c r="B498" s="1" t="n">
        <v>45485.46129629629</v>
      </c>
      <c r="C498" s="1" t="n">
        <v>46076</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54784-2023</t>
        </is>
      </c>
      <c r="B499" s="1" t="n">
        <v>45236.4803587963</v>
      </c>
      <c r="C499" s="1" t="n">
        <v>46076</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11856-2024</t>
        </is>
      </c>
      <c r="B500" s="1" t="n">
        <v>45376.43302083333</v>
      </c>
      <c r="C500" s="1" t="n">
        <v>46076</v>
      </c>
      <c r="D500" t="inlineStr">
        <is>
          <t>KALMAR LÄN</t>
        </is>
      </c>
      <c r="E500" t="inlineStr">
        <is>
          <t>VÄSTERVIK</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55866-2023</t>
        </is>
      </c>
      <c r="B501" s="1" t="n">
        <v>45239</v>
      </c>
      <c r="C501" s="1" t="n">
        <v>46076</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58707-2022</t>
        </is>
      </c>
      <c r="B502" s="1" t="n">
        <v>44902.80462962963</v>
      </c>
      <c r="C502" s="1" t="n">
        <v>46076</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37858-2023</t>
        </is>
      </c>
      <c r="B503" s="1" t="n">
        <v>45160.40577546296</v>
      </c>
      <c r="C503" s="1" t="n">
        <v>46076</v>
      </c>
      <c r="D503" t="inlineStr">
        <is>
          <t>KALMAR LÄN</t>
        </is>
      </c>
      <c r="E503" t="inlineStr">
        <is>
          <t>VÄSTERVIK</t>
        </is>
      </c>
      <c r="G503" t="n">
        <v>3</v>
      </c>
      <c r="H503" t="n">
        <v>0</v>
      </c>
      <c r="I503" t="n">
        <v>0</v>
      </c>
      <c r="J503" t="n">
        <v>0</v>
      </c>
      <c r="K503" t="n">
        <v>0</v>
      </c>
      <c r="L503" t="n">
        <v>0</v>
      </c>
      <c r="M503" t="n">
        <v>0</v>
      </c>
      <c r="N503" t="n">
        <v>0</v>
      </c>
      <c r="O503" t="n">
        <v>0</v>
      </c>
      <c r="P503" t="n">
        <v>0</v>
      </c>
      <c r="Q503" t="n">
        <v>0</v>
      </c>
      <c r="R503" s="2" t="inlineStr"/>
    </row>
    <row r="504" ht="15" customHeight="1">
      <c r="A504" t="inlineStr">
        <is>
          <t>A 39442-2025</t>
        </is>
      </c>
      <c r="B504" s="1" t="n">
        <v>45889.6947337963</v>
      </c>
      <c r="C504" s="1" t="n">
        <v>46076</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39428-2025</t>
        </is>
      </c>
      <c r="B505" s="1" t="n">
        <v>45889.67436342593</v>
      </c>
      <c r="C505" s="1" t="n">
        <v>46076</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39430-2025</t>
        </is>
      </c>
      <c r="B506" s="1" t="n">
        <v>45889.67606481481</v>
      </c>
      <c r="C506" s="1" t="n">
        <v>46076</v>
      </c>
      <c r="D506" t="inlineStr">
        <is>
          <t>KALMAR LÄN</t>
        </is>
      </c>
      <c r="E506" t="inlineStr">
        <is>
          <t>VÄSTERVIK</t>
        </is>
      </c>
      <c r="G506" t="n">
        <v>2.7</v>
      </c>
      <c r="H506" t="n">
        <v>0</v>
      </c>
      <c r="I506" t="n">
        <v>0</v>
      </c>
      <c r="J506" t="n">
        <v>0</v>
      </c>
      <c r="K506" t="n">
        <v>0</v>
      </c>
      <c r="L506" t="n">
        <v>0</v>
      </c>
      <c r="M506" t="n">
        <v>0</v>
      </c>
      <c r="N506" t="n">
        <v>0</v>
      </c>
      <c r="O506" t="n">
        <v>0</v>
      </c>
      <c r="P506" t="n">
        <v>0</v>
      </c>
      <c r="Q506" t="n">
        <v>0</v>
      </c>
      <c r="R506" s="2" t="inlineStr"/>
    </row>
    <row r="507" ht="15" customHeight="1">
      <c r="A507" t="inlineStr">
        <is>
          <t>A 29678-2025</t>
        </is>
      </c>
      <c r="B507" s="1" t="n">
        <v>45825.50804398148</v>
      </c>
      <c r="C507" s="1" t="n">
        <v>46076</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35667-2023</t>
        </is>
      </c>
      <c r="B508" s="1" t="n">
        <v>45147.60667824074</v>
      </c>
      <c r="C508" s="1" t="n">
        <v>46076</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3041-2025</t>
        </is>
      </c>
      <c r="B509" s="1" t="n">
        <v>45678.60493055556</v>
      </c>
      <c r="C509" s="1" t="n">
        <v>46076</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c r="U509">
        <f>HYPERLINK("https://klasma.github.io/Logging_0883/knärot/A 3041-2025 karta knärot.png", "A 3041-2025")</f>
        <v/>
      </c>
      <c r="V509">
        <f>HYPERLINK("https://klasma.github.io/Logging_0883/klagomål/A 3041-2025 FSC-klagomål.docx", "A 3041-2025")</f>
        <v/>
      </c>
      <c r="W509">
        <f>HYPERLINK("https://klasma.github.io/Logging_0883/klagomålsmail/A 3041-2025 FSC-klagomål mail.docx", "A 3041-2025")</f>
        <v/>
      </c>
      <c r="X509">
        <f>HYPERLINK("https://klasma.github.io/Logging_0883/tillsyn/A 3041-2025 tillsynsbegäran.docx", "A 3041-2025")</f>
        <v/>
      </c>
      <c r="Y509">
        <f>HYPERLINK("https://klasma.github.io/Logging_0883/tillsynsmail/A 3041-2025 tillsynsbegäran mail.docx", "A 3041-2025")</f>
        <v/>
      </c>
    </row>
    <row r="510" ht="15" customHeight="1">
      <c r="A510" t="inlineStr">
        <is>
          <t>A 39425-2025</t>
        </is>
      </c>
      <c r="B510" s="1" t="n">
        <v>45889.67297453704</v>
      </c>
      <c r="C510" s="1" t="n">
        <v>46076</v>
      </c>
      <c r="D510" t="inlineStr">
        <is>
          <t>KALMAR LÄN</t>
        </is>
      </c>
      <c r="E510" t="inlineStr">
        <is>
          <t>VÄSTERVIK</t>
        </is>
      </c>
      <c r="G510" t="n">
        <v>6.7</v>
      </c>
      <c r="H510" t="n">
        <v>0</v>
      </c>
      <c r="I510" t="n">
        <v>0</v>
      </c>
      <c r="J510" t="n">
        <v>0</v>
      </c>
      <c r="K510" t="n">
        <v>0</v>
      </c>
      <c r="L510" t="n">
        <v>0</v>
      </c>
      <c r="M510" t="n">
        <v>0</v>
      </c>
      <c r="N510" t="n">
        <v>0</v>
      </c>
      <c r="O510" t="n">
        <v>0</v>
      </c>
      <c r="P510" t="n">
        <v>0</v>
      </c>
      <c r="Q510" t="n">
        <v>0</v>
      </c>
      <c r="R510" s="2" t="inlineStr"/>
    </row>
    <row r="511" ht="15" customHeight="1">
      <c r="A511" t="inlineStr">
        <is>
          <t>A 52845-2023</t>
        </is>
      </c>
      <c r="B511" s="1" t="n">
        <v>45226.43667824074</v>
      </c>
      <c r="C511" s="1" t="n">
        <v>46076</v>
      </c>
      <c r="D511" t="inlineStr">
        <is>
          <t>KALMAR LÄN</t>
        </is>
      </c>
      <c r="E511" t="inlineStr">
        <is>
          <t>VÄSTERVIK</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2360-2025</t>
        </is>
      </c>
      <c r="B512" s="1" t="n">
        <v>45673.69037037037</v>
      </c>
      <c r="C512" s="1" t="n">
        <v>46076</v>
      </c>
      <c r="D512" t="inlineStr">
        <is>
          <t>KALMAR LÄN</t>
        </is>
      </c>
      <c r="E512" t="inlineStr">
        <is>
          <t>VÄSTERVIK</t>
        </is>
      </c>
      <c r="G512" t="n">
        <v>3</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46076</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46088-2023</t>
        </is>
      </c>
      <c r="B514" s="1" t="n">
        <v>45196.50065972222</v>
      </c>
      <c r="C514" s="1" t="n">
        <v>46076</v>
      </c>
      <c r="D514" t="inlineStr">
        <is>
          <t>KALMAR LÄN</t>
        </is>
      </c>
      <c r="E514" t="inlineStr">
        <is>
          <t>VÄSTERVIK</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46076</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30648-2025</t>
        </is>
      </c>
      <c r="B516" s="1" t="n">
        <v>45831</v>
      </c>
      <c r="C516" s="1" t="n">
        <v>46076</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46076</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40165-2025</t>
        </is>
      </c>
      <c r="B518" s="1" t="n">
        <v>45894.62219907407</v>
      </c>
      <c r="C518" s="1" t="n">
        <v>46076</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30800-2025</t>
        </is>
      </c>
      <c r="B519" s="1" t="n">
        <v>45831.65177083333</v>
      </c>
      <c r="C519" s="1" t="n">
        <v>46076</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30690-2025</t>
        </is>
      </c>
      <c r="B520" s="1" t="n">
        <v>45831.53775462963</v>
      </c>
      <c r="C520" s="1" t="n">
        <v>46076</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row>
    <row r="521" ht="15" customHeight="1">
      <c r="A521" t="inlineStr">
        <is>
          <t>A 7165-2025</t>
        </is>
      </c>
      <c r="B521" s="1" t="n">
        <v>45702.39491898148</v>
      </c>
      <c r="C521" s="1" t="n">
        <v>46076</v>
      </c>
      <c r="D521" t="inlineStr">
        <is>
          <t>KALMAR LÄN</t>
        </is>
      </c>
      <c r="E521" t="inlineStr">
        <is>
          <t>VÄSTERVIK</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30789-2025</t>
        </is>
      </c>
      <c r="B522" s="1" t="n">
        <v>45831.63174768518</v>
      </c>
      <c r="C522" s="1" t="n">
        <v>46076</v>
      </c>
      <c r="D522" t="inlineStr">
        <is>
          <t>KALMAR LÄN</t>
        </is>
      </c>
      <c r="E522" t="inlineStr">
        <is>
          <t>VÄSTERVIK</t>
        </is>
      </c>
      <c r="G522" t="n">
        <v>7</v>
      </c>
      <c r="H522" t="n">
        <v>0</v>
      </c>
      <c r="I522" t="n">
        <v>0</v>
      </c>
      <c r="J522" t="n">
        <v>0</v>
      </c>
      <c r="K522" t="n">
        <v>0</v>
      </c>
      <c r="L522" t="n">
        <v>0</v>
      </c>
      <c r="M522" t="n">
        <v>0</v>
      </c>
      <c r="N522" t="n">
        <v>0</v>
      </c>
      <c r="O522" t="n">
        <v>0</v>
      </c>
      <c r="P522" t="n">
        <v>0</v>
      </c>
      <c r="Q522" t="n">
        <v>0</v>
      </c>
      <c r="R522" s="2" t="inlineStr"/>
    </row>
    <row r="523" ht="15" customHeight="1">
      <c r="A523" t="inlineStr">
        <is>
          <t>A 30811-2025</t>
        </is>
      </c>
      <c r="B523" s="1" t="n">
        <v>45831.65712962963</v>
      </c>
      <c r="C523" s="1" t="n">
        <v>46076</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23080-2023</t>
        </is>
      </c>
      <c r="B524" s="1" t="n">
        <v>45075</v>
      </c>
      <c r="C524" s="1" t="n">
        <v>46076</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31576-2025</t>
        </is>
      </c>
      <c r="B525" s="1" t="n">
        <v>45833.67266203704</v>
      </c>
      <c r="C525" s="1" t="n">
        <v>46076</v>
      </c>
      <c r="D525" t="inlineStr">
        <is>
          <t>KALMAR LÄN</t>
        </is>
      </c>
      <c r="E525" t="inlineStr">
        <is>
          <t>VÄSTERVIK</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31600-2025</t>
        </is>
      </c>
      <c r="B526" s="1" t="n">
        <v>45833.72505787037</v>
      </c>
      <c r="C526" s="1" t="n">
        <v>46076</v>
      </c>
      <c r="D526" t="inlineStr">
        <is>
          <t>KALMAR LÄN</t>
        </is>
      </c>
      <c r="E526" t="inlineStr">
        <is>
          <t>VÄSTERVIK</t>
        </is>
      </c>
      <c r="F526" t="inlineStr">
        <is>
          <t>Holmen skog AB</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26140-2024</t>
        </is>
      </c>
      <c r="B527" s="1" t="n">
        <v>45468</v>
      </c>
      <c r="C527" s="1" t="n">
        <v>46076</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31419-2025</t>
        </is>
      </c>
      <c r="B528" s="1" t="n">
        <v>45833.48370370371</v>
      </c>
      <c r="C528" s="1" t="n">
        <v>46076</v>
      </c>
      <c r="D528" t="inlineStr">
        <is>
          <t>KALMAR LÄN</t>
        </is>
      </c>
      <c r="E528" t="inlineStr">
        <is>
          <t>VÄSTERVIK</t>
        </is>
      </c>
      <c r="F528" t="inlineStr">
        <is>
          <t>Kommuner</t>
        </is>
      </c>
      <c r="G528" t="n">
        <v>1.1</v>
      </c>
      <c r="H528" t="n">
        <v>0</v>
      </c>
      <c r="I528" t="n">
        <v>0</v>
      </c>
      <c r="J528" t="n">
        <v>0</v>
      </c>
      <c r="K528" t="n">
        <v>0</v>
      </c>
      <c r="L528" t="n">
        <v>0</v>
      </c>
      <c r="M528" t="n">
        <v>0</v>
      </c>
      <c r="N528" t="n">
        <v>0</v>
      </c>
      <c r="O528" t="n">
        <v>0</v>
      </c>
      <c r="P528" t="n">
        <v>0</v>
      </c>
      <c r="Q528" t="n">
        <v>0</v>
      </c>
      <c r="R528" s="2" t="inlineStr"/>
    </row>
    <row r="529" ht="15" customHeight="1">
      <c r="A529" t="inlineStr">
        <is>
          <t>A 13275-2023</t>
        </is>
      </c>
      <c r="B529" s="1" t="n">
        <v>45003</v>
      </c>
      <c r="C529" s="1" t="n">
        <v>46076</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c r="U529">
        <f>HYPERLINK("https://klasma.github.io/Logging_0883/knärot/A 13275-2023 karta knärot.png", "A 13275-2023")</f>
        <v/>
      </c>
      <c r="V529">
        <f>HYPERLINK("https://klasma.github.io/Logging_0883/klagomål/A 13275-2023 FSC-klagomål.docx", "A 13275-2023")</f>
        <v/>
      </c>
      <c r="W529">
        <f>HYPERLINK("https://klasma.github.io/Logging_0883/klagomålsmail/A 13275-2023 FSC-klagomål mail.docx", "A 13275-2023")</f>
        <v/>
      </c>
      <c r="X529">
        <f>HYPERLINK("https://klasma.github.io/Logging_0883/tillsyn/A 13275-2023 tillsynsbegäran.docx", "A 13275-2023")</f>
        <v/>
      </c>
      <c r="Y529">
        <f>HYPERLINK("https://klasma.github.io/Logging_0883/tillsynsmail/A 13275-2023 tillsynsbegäran mail.docx", "A 13275-2023")</f>
        <v/>
      </c>
    </row>
    <row r="530" ht="15" customHeight="1">
      <c r="A530" t="inlineStr">
        <is>
          <t>A 18880-2025</t>
        </is>
      </c>
      <c r="B530" s="1" t="n">
        <v>45764.43959490741</v>
      </c>
      <c r="C530" s="1" t="n">
        <v>46076</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17648-2023</t>
        </is>
      </c>
      <c r="B531" s="1" t="n">
        <v>45036</v>
      </c>
      <c r="C531" s="1" t="n">
        <v>46076</v>
      </c>
      <c r="D531" t="inlineStr">
        <is>
          <t>KALMAR LÄN</t>
        </is>
      </c>
      <c r="E531" t="inlineStr">
        <is>
          <t>VÄSTERVIK</t>
        </is>
      </c>
      <c r="G531" t="n">
        <v>0.4</v>
      </c>
      <c r="H531" t="n">
        <v>0</v>
      </c>
      <c r="I531" t="n">
        <v>0</v>
      </c>
      <c r="J531" t="n">
        <v>0</v>
      </c>
      <c r="K531" t="n">
        <v>0</v>
      </c>
      <c r="L531" t="n">
        <v>0</v>
      </c>
      <c r="M531" t="n">
        <v>0</v>
      </c>
      <c r="N531" t="n">
        <v>0</v>
      </c>
      <c r="O531" t="n">
        <v>0</v>
      </c>
      <c r="P531" t="n">
        <v>0</v>
      </c>
      <c r="Q531" t="n">
        <v>0</v>
      </c>
      <c r="R531" s="2" t="inlineStr"/>
    </row>
    <row r="532" ht="15" customHeight="1">
      <c r="A532" t="inlineStr">
        <is>
          <t>A 12595-2023</t>
        </is>
      </c>
      <c r="B532" s="1" t="n">
        <v>45000.43240740741</v>
      </c>
      <c r="C532" s="1" t="n">
        <v>46076</v>
      </c>
      <c r="D532" t="inlineStr">
        <is>
          <t>KALMAR LÄN</t>
        </is>
      </c>
      <c r="E532" t="inlineStr">
        <is>
          <t>VÄSTERVIK</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31886-2025</t>
        </is>
      </c>
      <c r="B533" s="1" t="n">
        <v>45834.65864583333</v>
      </c>
      <c r="C533" s="1" t="n">
        <v>46076</v>
      </c>
      <c r="D533" t="inlineStr">
        <is>
          <t>KALMAR LÄN</t>
        </is>
      </c>
      <c r="E533" t="inlineStr">
        <is>
          <t>VÄSTERVIK</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23706-2025</t>
        </is>
      </c>
      <c r="B534" s="1" t="n">
        <v>45793.36922453704</v>
      </c>
      <c r="C534" s="1" t="n">
        <v>46076</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31843-2025</t>
        </is>
      </c>
      <c r="B535" s="1" t="n">
        <v>45834.5984375</v>
      </c>
      <c r="C535" s="1" t="n">
        <v>46076</v>
      </c>
      <c r="D535" t="inlineStr">
        <is>
          <t>KALMAR LÄN</t>
        </is>
      </c>
      <c r="E535" t="inlineStr">
        <is>
          <t>VÄSTERVIK</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31826-2025</t>
        </is>
      </c>
      <c r="B536" s="1" t="n">
        <v>45834.58306712963</v>
      </c>
      <c r="C536" s="1" t="n">
        <v>46076</v>
      </c>
      <c r="D536" t="inlineStr">
        <is>
          <t>KALMAR LÄN</t>
        </is>
      </c>
      <c r="E536" t="inlineStr">
        <is>
          <t>VÄSTERVIK</t>
        </is>
      </c>
      <c r="F536" t="inlineStr">
        <is>
          <t>Holmen skog AB</t>
        </is>
      </c>
      <c r="G536" t="n">
        <v>2.1</v>
      </c>
      <c r="H536" t="n">
        <v>0</v>
      </c>
      <c r="I536" t="n">
        <v>0</v>
      </c>
      <c r="J536" t="n">
        <v>0</v>
      </c>
      <c r="K536" t="n">
        <v>0</v>
      </c>
      <c r="L536" t="n">
        <v>0</v>
      </c>
      <c r="M536" t="n">
        <v>0</v>
      </c>
      <c r="N536" t="n">
        <v>0</v>
      </c>
      <c r="O536" t="n">
        <v>0</v>
      </c>
      <c r="P536" t="n">
        <v>0</v>
      </c>
      <c r="Q536" t="n">
        <v>0</v>
      </c>
      <c r="R536" s="2" t="inlineStr"/>
    </row>
    <row r="537" ht="15" customHeight="1">
      <c r="A537" t="inlineStr">
        <is>
          <t>A 37936-2022</t>
        </is>
      </c>
      <c r="B537" s="1" t="n">
        <v>44811.46958333333</v>
      </c>
      <c r="C537" s="1" t="n">
        <v>46076</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57804-2021</t>
        </is>
      </c>
      <c r="B538" s="1" t="n">
        <v>44484</v>
      </c>
      <c r="C538" s="1" t="n">
        <v>46076</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46076</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31857-2025</t>
        </is>
      </c>
      <c r="B540" s="1" t="n">
        <v>45834.62629629629</v>
      </c>
      <c r="C540" s="1" t="n">
        <v>46076</v>
      </c>
      <c r="D540" t="inlineStr">
        <is>
          <t>KALMAR LÄN</t>
        </is>
      </c>
      <c r="E540" t="inlineStr">
        <is>
          <t>VÄSTERVIK</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1788-2025</t>
        </is>
      </c>
      <c r="B541" s="1" t="n">
        <v>45671.45521990741</v>
      </c>
      <c r="C541" s="1" t="n">
        <v>46076</v>
      </c>
      <c r="D541" t="inlineStr">
        <is>
          <t>KALMAR LÄN</t>
        </is>
      </c>
      <c r="E541" t="inlineStr">
        <is>
          <t>VÄSTERVIK</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33907-2025</t>
        </is>
      </c>
      <c r="B542" s="1" t="n">
        <v>45842.59880787037</v>
      </c>
      <c r="C542" s="1" t="n">
        <v>46076</v>
      </c>
      <c r="D542" t="inlineStr">
        <is>
          <t>KALMAR LÄN</t>
        </is>
      </c>
      <c r="E542" t="inlineStr">
        <is>
          <t>VÄSTERVIK</t>
        </is>
      </c>
      <c r="G542" t="n">
        <v>3.1</v>
      </c>
      <c r="H542" t="n">
        <v>0</v>
      </c>
      <c r="I542" t="n">
        <v>0</v>
      </c>
      <c r="J542" t="n">
        <v>0</v>
      </c>
      <c r="K542" t="n">
        <v>0</v>
      </c>
      <c r="L542" t="n">
        <v>0</v>
      </c>
      <c r="M542" t="n">
        <v>0</v>
      </c>
      <c r="N542" t="n">
        <v>0</v>
      </c>
      <c r="O542" t="n">
        <v>0</v>
      </c>
      <c r="P542" t="n">
        <v>0</v>
      </c>
      <c r="Q542" t="n">
        <v>0</v>
      </c>
      <c r="R542" s="2" t="inlineStr"/>
    </row>
    <row r="543" ht="15" customHeight="1">
      <c r="A543" t="inlineStr">
        <is>
          <t>A 32018-2025</t>
        </is>
      </c>
      <c r="B543" s="1" t="n">
        <v>45835.40452546296</v>
      </c>
      <c r="C543" s="1" t="n">
        <v>46076</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41993-2025</t>
        </is>
      </c>
      <c r="B544" s="1" t="n">
        <v>45903.54821759259</v>
      </c>
      <c r="C544" s="1" t="n">
        <v>46076</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6346-2023</t>
        </is>
      </c>
      <c r="B545" s="1" t="n">
        <v>44960</v>
      </c>
      <c r="C545" s="1" t="n">
        <v>46076</v>
      </c>
      <c r="D545" t="inlineStr">
        <is>
          <t>KALMAR LÄN</t>
        </is>
      </c>
      <c r="E545" t="inlineStr">
        <is>
          <t>VÄSTERVIK</t>
        </is>
      </c>
      <c r="G545" t="n">
        <v>4.5</v>
      </c>
      <c r="H545" t="n">
        <v>0</v>
      </c>
      <c r="I545" t="n">
        <v>0</v>
      </c>
      <c r="J545" t="n">
        <v>0</v>
      </c>
      <c r="K545" t="n">
        <v>0</v>
      </c>
      <c r="L545" t="n">
        <v>0</v>
      </c>
      <c r="M545" t="n">
        <v>0</v>
      </c>
      <c r="N545" t="n">
        <v>0</v>
      </c>
      <c r="O545" t="n">
        <v>0</v>
      </c>
      <c r="P545" t="n">
        <v>0</v>
      </c>
      <c r="Q545" t="n">
        <v>0</v>
      </c>
      <c r="R545" s="2" t="inlineStr"/>
    </row>
    <row r="546" ht="15" customHeight="1">
      <c r="A546" t="inlineStr">
        <is>
          <t>A 7163-2025</t>
        </is>
      </c>
      <c r="B546" s="1" t="n">
        <v>45702.3918287037</v>
      </c>
      <c r="C546" s="1" t="n">
        <v>46076</v>
      </c>
      <c r="D546" t="inlineStr">
        <is>
          <t>KALMAR LÄN</t>
        </is>
      </c>
      <c r="E546" t="inlineStr">
        <is>
          <t>VÄSTERVIK</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9760-2024</t>
        </is>
      </c>
      <c r="B547" s="1" t="n">
        <v>45362</v>
      </c>
      <c r="C547" s="1" t="n">
        <v>46076</v>
      </c>
      <c r="D547" t="inlineStr">
        <is>
          <t>KALMAR LÄN</t>
        </is>
      </c>
      <c r="E547" t="inlineStr">
        <is>
          <t>VÄSTERVIK</t>
        </is>
      </c>
      <c r="G547" t="n">
        <v>2.1</v>
      </c>
      <c r="H547" t="n">
        <v>0</v>
      </c>
      <c r="I547" t="n">
        <v>0</v>
      </c>
      <c r="J547" t="n">
        <v>0</v>
      </c>
      <c r="K547" t="n">
        <v>0</v>
      </c>
      <c r="L547" t="n">
        <v>0</v>
      </c>
      <c r="M547" t="n">
        <v>0</v>
      </c>
      <c r="N547" t="n">
        <v>0</v>
      </c>
      <c r="O547" t="n">
        <v>0</v>
      </c>
      <c r="P547" t="n">
        <v>0</v>
      </c>
      <c r="Q547" t="n">
        <v>0</v>
      </c>
      <c r="R547" s="2" t="inlineStr"/>
    </row>
    <row r="548" ht="15" customHeight="1">
      <c r="A548" t="inlineStr">
        <is>
          <t>A 32400-2025</t>
        </is>
      </c>
      <c r="B548" s="1" t="n">
        <v>45838.25818287037</v>
      </c>
      <c r="C548" s="1" t="n">
        <v>46076</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46076</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33208-2022</t>
        </is>
      </c>
      <c r="B550" s="1" t="n">
        <v>44785</v>
      </c>
      <c r="C550" s="1" t="n">
        <v>46076</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782-2024</t>
        </is>
      </c>
      <c r="B551" s="1" t="n">
        <v>45300.55188657407</v>
      </c>
      <c r="C551" s="1" t="n">
        <v>46076</v>
      </c>
      <c r="D551" t="inlineStr">
        <is>
          <t>KALMAR LÄN</t>
        </is>
      </c>
      <c r="E551" t="inlineStr">
        <is>
          <t>VÄSTERVIK</t>
        </is>
      </c>
      <c r="G551" t="n">
        <v>2.7</v>
      </c>
      <c r="H551" t="n">
        <v>0</v>
      </c>
      <c r="I551" t="n">
        <v>0</v>
      </c>
      <c r="J551" t="n">
        <v>0</v>
      </c>
      <c r="K551" t="n">
        <v>0</v>
      </c>
      <c r="L551" t="n">
        <v>0</v>
      </c>
      <c r="M551" t="n">
        <v>0</v>
      </c>
      <c r="N551" t="n">
        <v>0</v>
      </c>
      <c r="O551" t="n">
        <v>0</v>
      </c>
      <c r="P551" t="n">
        <v>0</v>
      </c>
      <c r="Q551" t="n">
        <v>0</v>
      </c>
      <c r="R551" s="2" t="inlineStr"/>
    </row>
    <row r="552" ht="15" customHeight="1">
      <c r="A552" t="inlineStr">
        <is>
          <t>A 32778-2025</t>
        </is>
      </c>
      <c r="B552" s="1" t="n">
        <v>45839.46924768519</v>
      </c>
      <c r="C552" s="1" t="n">
        <v>46076</v>
      </c>
      <c r="D552" t="inlineStr">
        <is>
          <t>KALMAR LÄN</t>
        </is>
      </c>
      <c r="E552" t="inlineStr">
        <is>
          <t>VÄSTERVIK</t>
        </is>
      </c>
      <c r="G552" t="n">
        <v>2.2</v>
      </c>
      <c r="H552" t="n">
        <v>0</v>
      </c>
      <c r="I552" t="n">
        <v>0</v>
      </c>
      <c r="J552" t="n">
        <v>0</v>
      </c>
      <c r="K552" t="n">
        <v>0</v>
      </c>
      <c r="L552" t="n">
        <v>0</v>
      </c>
      <c r="M552" t="n">
        <v>0</v>
      </c>
      <c r="N552" t="n">
        <v>0</v>
      </c>
      <c r="O552" t="n">
        <v>0</v>
      </c>
      <c r="P552" t="n">
        <v>0</v>
      </c>
      <c r="Q552" t="n">
        <v>0</v>
      </c>
      <c r="R552" s="2" t="inlineStr"/>
    </row>
    <row r="553" ht="15" customHeight="1">
      <c r="A553" t="inlineStr">
        <is>
          <t>A 1585-2022</t>
        </is>
      </c>
      <c r="B553" s="1" t="n">
        <v>44573</v>
      </c>
      <c r="C553" s="1" t="n">
        <v>46076</v>
      </c>
      <c r="D553" t="inlineStr">
        <is>
          <t>KALMAR LÄN</t>
        </is>
      </c>
      <c r="E553" t="inlineStr">
        <is>
          <t>VÄSTERVIK</t>
        </is>
      </c>
      <c r="F553" t="inlineStr">
        <is>
          <t>Holmen skog AB</t>
        </is>
      </c>
      <c r="G553" t="n">
        <v>2.4</v>
      </c>
      <c r="H553" t="n">
        <v>0</v>
      </c>
      <c r="I553" t="n">
        <v>0</v>
      </c>
      <c r="J553" t="n">
        <v>0</v>
      </c>
      <c r="K553" t="n">
        <v>0</v>
      </c>
      <c r="L553" t="n">
        <v>0</v>
      </c>
      <c r="M553" t="n">
        <v>0</v>
      </c>
      <c r="N553" t="n">
        <v>0</v>
      </c>
      <c r="O553" t="n">
        <v>0</v>
      </c>
      <c r="P553" t="n">
        <v>0</v>
      </c>
      <c r="Q553" t="n">
        <v>0</v>
      </c>
      <c r="R553" s="2" t="inlineStr"/>
    </row>
    <row r="554" ht="15" customHeight="1">
      <c r="A554" t="inlineStr">
        <is>
          <t>A 19608-2025</t>
        </is>
      </c>
      <c r="B554" s="1" t="n">
        <v>45770.60177083333</v>
      </c>
      <c r="C554" s="1" t="n">
        <v>46076</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46076</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2872-2025</t>
        </is>
      </c>
      <c r="B556" s="1" t="n">
        <v>45677.68357638889</v>
      </c>
      <c r="C556" s="1" t="n">
        <v>46076</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7100-2023</t>
        </is>
      </c>
      <c r="B557" s="1" t="n">
        <v>44970.37244212963</v>
      </c>
      <c r="C557" s="1" t="n">
        <v>46076</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32495-2025</t>
        </is>
      </c>
      <c r="B558" s="1" t="n">
        <v>45838.4546875</v>
      </c>
      <c r="C558" s="1" t="n">
        <v>46076</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31825-2022</t>
        </is>
      </c>
      <c r="B559" s="1" t="n">
        <v>44776.74908564815</v>
      </c>
      <c r="C559" s="1" t="n">
        <v>46076</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15099-2023</t>
        </is>
      </c>
      <c r="B560" s="1" t="n">
        <v>45016.39048611111</v>
      </c>
      <c r="C560" s="1" t="n">
        <v>46076</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47120-2023</t>
        </is>
      </c>
      <c r="B561" s="1" t="n">
        <v>45201</v>
      </c>
      <c r="C561" s="1" t="n">
        <v>46076</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47123-2023</t>
        </is>
      </c>
      <c r="B562" s="1" t="n">
        <v>45201.68075231482</v>
      </c>
      <c r="C562" s="1" t="n">
        <v>46076</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48121-2021</t>
        </is>
      </c>
      <c r="B563" s="1" t="n">
        <v>44449.46614583334</v>
      </c>
      <c r="C563" s="1" t="n">
        <v>46076</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57802-2024</t>
        </is>
      </c>
      <c r="B564" s="1" t="n">
        <v>45631.34590277778</v>
      </c>
      <c r="C564" s="1" t="n">
        <v>46076</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1115-2025</t>
        </is>
      </c>
      <c r="B565" s="1" t="n">
        <v>45666.65664351852</v>
      </c>
      <c r="C565" s="1" t="n">
        <v>46076</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33924-2025</t>
        </is>
      </c>
      <c r="B566" s="1" t="n">
        <v>45842.62152777778</v>
      </c>
      <c r="C566" s="1" t="n">
        <v>46076</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29405-2024</t>
        </is>
      </c>
      <c r="B567" s="1" t="n">
        <v>45483</v>
      </c>
      <c r="C567" s="1" t="n">
        <v>46076</v>
      </c>
      <c r="D567" t="inlineStr">
        <is>
          <t>KALMAR LÄN</t>
        </is>
      </c>
      <c r="E567" t="inlineStr">
        <is>
          <t>VÄSTERVIK</t>
        </is>
      </c>
      <c r="G567" t="n">
        <v>1.8</v>
      </c>
      <c r="H567" t="n">
        <v>0</v>
      </c>
      <c r="I567" t="n">
        <v>0</v>
      </c>
      <c r="J567" t="n">
        <v>0</v>
      </c>
      <c r="K567" t="n">
        <v>0</v>
      </c>
      <c r="L567" t="n">
        <v>0</v>
      </c>
      <c r="M567" t="n">
        <v>0</v>
      </c>
      <c r="N567" t="n">
        <v>0</v>
      </c>
      <c r="O567" t="n">
        <v>0</v>
      </c>
      <c r="P567" t="n">
        <v>0</v>
      </c>
      <c r="Q567" t="n">
        <v>0</v>
      </c>
      <c r="R567" s="2" t="inlineStr"/>
    </row>
    <row r="568" ht="15" customHeight="1">
      <c r="A568" t="inlineStr">
        <is>
          <t>A 34171-2025</t>
        </is>
      </c>
      <c r="B568" s="1" t="n">
        <v>45845.58966435185</v>
      </c>
      <c r="C568" s="1" t="n">
        <v>46076</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23024-2025</t>
        </is>
      </c>
      <c r="B569" s="1" t="n">
        <v>45790.65615740741</v>
      </c>
      <c r="C569" s="1" t="n">
        <v>46076</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33921-2025</t>
        </is>
      </c>
      <c r="B570" s="1" t="n">
        <v>45842.61626157408</v>
      </c>
      <c r="C570" s="1" t="n">
        <v>46076</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1867-2025</t>
        </is>
      </c>
      <c r="B571" s="1" t="n">
        <v>45671.61569444444</v>
      </c>
      <c r="C571" s="1" t="n">
        <v>46076</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33922-2025</t>
        </is>
      </c>
      <c r="B572" s="1" t="n">
        <v>45842.61993055556</v>
      </c>
      <c r="C572" s="1" t="n">
        <v>46076</v>
      </c>
      <c r="D572" t="inlineStr">
        <is>
          <t>KALMAR LÄN</t>
        </is>
      </c>
      <c r="E572" t="inlineStr">
        <is>
          <t>VÄSTERVIK</t>
        </is>
      </c>
      <c r="G572" t="n">
        <v>1.5</v>
      </c>
      <c r="H572" t="n">
        <v>0</v>
      </c>
      <c r="I572" t="n">
        <v>0</v>
      </c>
      <c r="J572" t="n">
        <v>0</v>
      </c>
      <c r="K572" t="n">
        <v>0</v>
      </c>
      <c r="L572" t="n">
        <v>0</v>
      </c>
      <c r="M572" t="n">
        <v>0</v>
      </c>
      <c r="N572" t="n">
        <v>0</v>
      </c>
      <c r="O572" t="n">
        <v>0</v>
      </c>
      <c r="P572" t="n">
        <v>0</v>
      </c>
      <c r="Q572" t="n">
        <v>0</v>
      </c>
      <c r="R572" s="2" t="inlineStr"/>
    </row>
    <row r="573" ht="15" customHeight="1">
      <c r="A573" t="inlineStr">
        <is>
          <t>A 33928-2025</t>
        </is>
      </c>
      <c r="B573" s="1" t="n">
        <v>45842.62488425926</v>
      </c>
      <c r="C573" s="1" t="n">
        <v>46076</v>
      </c>
      <c r="D573" t="inlineStr">
        <is>
          <t>KALMAR LÄN</t>
        </is>
      </c>
      <c r="E573" t="inlineStr">
        <is>
          <t>VÄSTERVIK</t>
        </is>
      </c>
      <c r="G573" t="n">
        <v>2.4</v>
      </c>
      <c r="H573" t="n">
        <v>0</v>
      </c>
      <c r="I573" t="n">
        <v>0</v>
      </c>
      <c r="J573" t="n">
        <v>0</v>
      </c>
      <c r="K573" t="n">
        <v>0</v>
      </c>
      <c r="L573" t="n">
        <v>0</v>
      </c>
      <c r="M573" t="n">
        <v>0</v>
      </c>
      <c r="N573" t="n">
        <v>0</v>
      </c>
      <c r="O573" t="n">
        <v>0</v>
      </c>
      <c r="P573" t="n">
        <v>0</v>
      </c>
      <c r="Q573" t="n">
        <v>0</v>
      </c>
      <c r="R573" s="2" t="inlineStr"/>
    </row>
    <row r="574" ht="15" customHeight="1">
      <c r="A574" t="inlineStr">
        <is>
          <t>A 9549-2024</t>
        </is>
      </c>
      <c r="B574" s="1" t="n">
        <v>45359.87989583334</v>
      </c>
      <c r="C574" s="1" t="n">
        <v>46076</v>
      </c>
      <c r="D574" t="inlineStr">
        <is>
          <t>KALMAR LÄN</t>
        </is>
      </c>
      <c r="E574" t="inlineStr">
        <is>
          <t>VÄSTERVIK</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9025-2022</t>
        </is>
      </c>
      <c r="B575" s="1" t="n">
        <v>44615</v>
      </c>
      <c r="C575" s="1" t="n">
        <v>46076</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33931-2025</t>
        </is>
      </c>
      <c r="B576" s="1" t="n">
        <v>45842.63288194445</v>
      </c>
      <c r="C576" s="1" t="n">
        <v>46076</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2738-2023</t>
        </is>
      </c>
      <c r="B577" s="1" t="n">
        <v>44944</v>
      </c>
      <c r="C577" s="1" t="n">
        <v>46076</v>
      </c>
      <c r="D577" t="inlineStr">
        <is>
          <t>KALMAR LÄN</t>
        </is>
      </c>
      <c r="E577" t="inlineStr">
        <is>
          <t>VÄSTERVIK</t>
        </is>
      </c>
      <c r="G577" t="n">
        <v>3</v>
      </c>
      <c r="H577" t="n">
        <v>0</v>
      </c>
      <c r="I577" t="n">
        <v>0</v>
      </c>
      <c r="J577" t="n">
        <v>0</v>
      </c>
      <c r="K577" t="n">
        <v>0</v>
      </c>
      <c r="L577" t="n">
        <v>0</v>
      </c>
      <c r="M577" t="n">
        <v>0</v>
      </c>
      <c r="N577" t="n">
        <v>0</v>
      </c>
      <c r="O577" t="n">
        <v>0</v>
      </c>
      <c r="P577" t="n">
        <v>0</v>
      </c>
      <c r="Q577" t="n">
        <v>0</v>
      </c>
      <c r="R577" s="2" t="inlineStr"/>
    </row>
    <row r="578" ht="15" customHeight="1">
      <c r="A578" t="inlineStr">
        <is>
          <t>A 6021-2024</t>
        </is>
      </c>
      <c r="B578" s="1" t="n">
        <v>45336.62131944444</v>
      </c>
      <c r="C578" s="1" t="n">
        <v>46076</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34162-2025</t>
        </is>
      </c>
      <c r="B579" s="1" t="n">
        <v>45845.57983796296</v>
      </c>
      <c r="C579" s="1" t="n">
        <v>46076</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33207-2022</t>
        </is>
      </c>
      <c r="B580" s="1" t="n">
        <v>44785.72373842593</v>
      </c>
      <c r="C580" s="1" t="n">
        <v>46076</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43651-2025</t>
        </is>
      </c>
      <c r="B581" s="1" t="n">
        <v>45912.32259259259</v>
      </c>
      <c r="C581" s="1" t="n">
        <v>46076</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34160-2025</t>
        </is>
      </c>
      <c r="B582" s="1" t="n">
        <v>45845.57701388889</v>
      </c>
      <c r="C582" s="1" t="n">
        <v>46076</v>
      </c>
      <c r="D582" t="inlineStr">
        <is>
          <t>KALMAR LÄN</t>
        </is>
      </c>
      <c r="E582" t="inlineStr">
        <is>
          <t>VÄSTERVIK</t>
        </is>
      </c>
      <c r="G582" t="n">
        <v>2.4</v>
      </c>
      <c r="H582" t="n">
        <v>0</v>
      </c>
      <c r="I582" t="n">
        <v>0</v>
      </c>
      <c r="J582" t="n">
        <v>0</v>
      </c>
      <c r="K582" t="n">
        <v>0</v>
      </c>
      <c r="L582" t="n">
        <v>0</v>
      </c>
      <c r="M582" t="n">
        <v>0</v>
      </c>
      <c r="N582" t="n">
        <v>0</v>
      </c>
      <c r="O582" t="n">
        <v>0</v>
      </c>
      <c r="P582" t="n">
        <v>0</v>
      </c>
      <c r="Q582" t="n">
        <v>0</v>
      </c>
      <c r="R582" s="2" t="inlineStr"/>
    </row>
    <row r="583" ht="15" customHeight="1">
      <c r="A583" t="inlineStr">
        <is>
          <t>A 56188-2023</t>
        </is>
      </c>
      <c r="B583" s="1" t="n">
        <v>45240.65173611111</v>
      </c>
      <c r="C583" s="1" t="n">
        <v>46076</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34617-2025</t>
        </is>
      </c>
      <c r="B584" s="1" t="n">
        <v>45847</v>
      </c>
      <c r="C584" s="1" t="n">
        <v>46076</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34618-2025</t>
        </is>
      </c>
      <c r="B585" s="1" t="n">
        <v>45847</v>
      </c>
      <c r="C585" s="1" t="n">
        <v>46076</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34397-2025</t>
        </is>
      </c>
      <c r="B586" s="1" t="n">
        <v>45846.59813657407</v>
      </c>
      <c r="C586" s="1" t="n">
        <v>46076</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35108-2024</t>
        </is>
      </c>
      <c r="B587" s="1" t="n">
        <v>45529.64638888889</v>
      </c>
      <c r="C587" s="1" t="n">
        <v>46076</v>
      </c>
      <c r="D587" t="inlineStr">
        <is>
          <t>KALMAR LÄN</t>
        </is>
      </c>
      <c r="E587" t="inlineStr">
        <is>
          <t>VÄSTERVIK</t>
        </is>
      </c>
      <c r="G587" t="n">
        <v>10.5</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46076</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34531-2025</t>
        </is>
      </c>
      <c r="B589" s="1" t="n">
        <v>45847.50152777778</v>
      </c>
      <c r="C589" s="1" t="n">
        <v>46076</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34289-2025</t>
        </is>
      </c>
      <c r="B590" s="1" t="n">
        <v>45846.334375</v>
      </c>
      <c r="C590" s="1" t="n">
        <v>46076</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34639-2025</t>
        </is>
      </c>
      <c r="B591" s="1" t="n">
        <v>45848</v>
      </c>
      <c r="C591" s="1" t="n">
        <v>46076</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9267-2025</t>
        </is>
      </c>
      <c r="B592" s="1" t="n">
        <v>45714.61418981481</v>
      </c>
      <c r="C592" s="1" t="n">
        <v>46076</v>
      </c>
      <c r="D592" t="inlineStr">
        <is>
          <t>KALMAR LÄN</t>
        </is>
      </c>
      <c r="E592" t="inlineStr">
        <is>
          <t>VÄSTERVIK</t>
        </is>
      </c>
      <c r="F592" t="inlineStr">
        <is>
          <t>Sveaskog</t>
        </is>
      </c>
      <c r="G592" t="n">
        <v>6.8</v>
      </c>
      <c r="H592" t="n">
        <v>0</v>
      </c>
      <c r="I592" t="n">
        <v>0</v>
      </c>
      <c r="J592" t="n">
        <v>0</v>
      </c>
      <c r="K592" t="n">
        <v>0</v>
      </c>
      <c r="L592" t="n">
        <v>0</v>
      </c>
      <c r="M592" t="n">
        <v>0</v>
      </c>
      <c r="N592" t="n">
        <v>0</v>
      </c>
      <c r="O592" t="n">
        <v>0</v>
      </c>
      <c r="P592" t="n">
        <v>0</v>
      </c>
      <c r="Q592" t="n">
        <v>0</v>
      </c>
      <c r="R592" s="2" t="inlineStr"/>
    </row>
    <row r="593" ht="15" customHeight="1">
      <c r="A593" t="inlineStr">
        <is>
          <t>A 17306-2023</t>
        </is>
      </c>
      <c r="B593" s="1" t="n">
        <v>45035</v>
      </c>
      <c r="C593" s="1" t="n">
        <v>46076</v>
      </c>
      <c r="D593" t="inlineStr">
        <is>
          <t>KALMAR LÄN</t>
        </is>
      </c>
      <c r="E593" t="inlineStr">
        <is>
          <t>VÄSTERVIK</t>
        </is>
      </c>
      <c r="G593" t="n">
        <v>4.3</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46076</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34643-2025</t>
        </is>
      </c>
      <c r="B595" s="1" t="n">
        <v>45848.32959490741</v>
      </c>
      <c r="C595" s="1" t="n">
        <v>46076</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34916-2025</t>
        </is>
      </c>
      <c r="B596" s="1" t="n">
        <v>45849.54420138889</v>
      </c>
      <c r="C596" s="1" t="n">
        <v>46076</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10020-2021</t>
        </is>
      </c>
      <c r="B597" s="1" t="n">
        <v>44256</v>
      </c>
      <c r="C597" s="1" t="n">
        <v>46076</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27982-2025</t>
        </is>
      </c>
      <c r="B598" s="1" t="n">
        <v>45817.57549768518</v>
      </c>
      <c r="C598" s="1" t="n">
        <v>46076</v>
      </c>
      <c r="D598" t="inlineStr">
        <is>
          <t>KALMAR LÄN</t>
        </is>
      </c>
      <c r="E598" t="inlineStr">
        <is>
          <t>VÄSTERVIK</t>
        </is>
      </c>
      <c r="G598" t="n">
        <v>2.5</v>
      </c>
      <c r="H598" t="n">
        <v>0</v>
      </c>
      <c r="I598" t="n">
        <v>0</v>
      </c>
      <c r="J598" t="n">
        <v>0</v>
      </c>
      <c r="K598" t="n">
        <v>0</v>
      </c>
      <c r="L598" t="n">
        <v>0</v>
      </c>
      <c r="M598" t="n">
        <v>0</v>
      </c>
      <c r="N598" t="n">
        <v>0</v>
      </c>
      <c r="O598" t="n">
        <v>0</v>
      </c>
      <c r="P598" t="n">
        <v>0</v>
      </c>
      <c r="Q598" t="n">
        <v>0</v>
      </c>
      <c r="R598" s="2" t="inlineStr"/>
    </row>
    <row r="599" ht="15" customHeight="1">
      <c r="A599" t="inlineStr">
        <is>
          <t>A 10012-2025</t>
        </is>
      </c>
      <c r="B599" s="1" t="n">
        <v>45719.46681712963</v>
      </c>
      <c r="C599" s="1" t="n">
        <v>46076</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35187-2025</t>
        </is>
      </c>
      <c r="B600" s="1" t="n">
        <v>45853.31940972222</v>
      </c>
      <c r="C600" s="1" t="n">
        <v>46076</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69702-2021</t>
        </is>
      </c>
      <c r="B601" s="1" t="n">
        <v>44532.48237268518</v>
      </c>
      <c r="C601" s="1" t="n">
        <v>46076</v>
      </c>
      <c r="D601" t="inlineStr">
        <is>
          <t>KALMAR LÄN</t>
        </is>
      </c>
      <c r="E601" t="inlineStr">
        <is>
          <t>VÄSTERVIK</t>
        </is>
      </c>
      <c r="G601" t="n">
        <v>4.4</v>
      </c>
      <c r="H601" t="n">
        <v>0</v>
      </c>
      <c r="I601" t="n">
        <v>0</v>
      </c>
      <c r="J601" t="n">
        <v>0</v>
      </c>
      <c r="K601" t="n">
        <v>0</v>
      </c>
      <c r="L601" t="n">
        <v>0</v>
      </c>
      <c r="M601" t="n">
        <v>0</v>
      </c>
      <c r="N601" t="n">
        <v>0</v>
      </c>
      <c r="O601" t="n">
        <v>0</v>
      </c>
      <c r="P601" t="n">
        <v>0</v>
      </c>
      <c r="Q601" t="n">
        <v>0</v>
      </c>
      <c r="R601" s="2" t="inlineStr"/>
    </row>
    <row r="602" ht="15" customHeight="1">
      <c r="A602" t="inlineStr">
        <is>
          <t>A 35207-2025</t>
        </is>
      </c>
      <c r="B602" s="1" t="n">
        <v>45853.43320601852</v>
      </c>
      <c r="C602" s="1" t="n">
        <v>46076</v>
      </c>
      <c r="D602" t="inlineStr">
        <is>
          <t>KALMAR LÄN</t>
        </is>
      </c>
      <c r="E602" t="inlineStr">
        <is>
          <t>VÄSTERVIK</t>
        </is>
      </c>
      <c r="G602" t="n">
        <v>7</v>
      </c>
      <c r="H602" t="n">
        <v>0</v>
      </c>
      <c r="I602" t="n">
        <v>0</v>
      </c>
      <c r="J602" t="n">
        <v>0</v>
      </c>
      <c r="K602" t="n">
        <v>0</v>
      </c>
      <c r="L602" t="n">
        <v>0</v>
      </c>
      <c r="M602" t="n">
        <v>0</v>
      </c>
      <c r="N602" t="n">
        <v>0</v>
      </c>
      <c r="O602" t="n">
        <v>0</v>
      </c>
      <c r="P602" t="n">
        <v>0</v>
      </c>
      <c r="Q602" t="n">
        <v>0</v>
      </c>
      <c r="R602" s="2" t="inlineStr"/>
    </row>
    <row r="603" ht="15" customHeight="1">
      <c r="A603" t="inlineStr">
        <is>
          <t>A 44848-2025</t>
        </is>
      </c>
      <c r="B603" s="1" t="n">
        <v>45918.44344907408</v>
      </c>
      <c r="C603" s="1" t="n">
        <v>46076</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44853-2025</t>
        </is>
      </c>
      <c r="B604" s="1" t="n">
        <v>45918.44818287037</v>
      </c>
      <c r="C604" s="1" t="n">
        <v>46076</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44861-2025</t>
        </is>
      </c>
      <c r="B605" s="1" t="n">
        <v>45918.45793981481</v>
      </c>
      <c r="C605" s="1" t="n">
        <v>46076</v>
      </c>
      <c r="D605" t="inlineStr">
        <is>
          <t>KALMAR LÄN</t>
        </is>
      </c>
      <c r="E605" t="inlineStr">
        <is>
          <t>VÄSTERVIK</t>
        </is>
      </c>
      <c r="G605" t="n">
        <v>1.3</v>
      </c>
      <c r="H605" t="n">
        <v>0</v>
      </c>
      <c r="I605" t="n">
        <v>0</v>
      </c>
      <c r="J605" t="n">
        <v>0</v>
      </c>
      <c r="K605" t="n">
        <v>0</v>
      </c>
      <c r="L605" t="n">
        <v>0</v>
      </c>
      <c r="M605" t="n">
        <v>0</v>
      </c>
      <c r="N605" t="n">
        <v>0</v>
      </c>
      <c r="O605" t="n">
        <v>0</v>
      </c>
      <c r="P605" t="n">
        <v>0</v>
      </c>
      <c r="Q605" t="n">
        <v>0</v>
      </c>
      <c r="R605" s="2" t="inlineStr"/>
      <c r="U605">
        <f>HYPERLINK("https://klasma.github.io/Logging_0883/knärot/A 44861-2025 karta knärot.png", "A 44861-2025")</f>
        <v/>
      </c>
      <c r="V605">
        <f>HYPERLINK("https://klasma.github.io/Logging_0883/klagomål/A 44861-2025 FSC-klagomål.docx", "A 44861-2025")</f>
        <v/>
      </c>
      <c r="W605">
        <f>HYPERLINK("https://klasma.github.io/Logging_0883/klagomålsmail/A 44861-2025 FSC-klagomål mail.docx", "A 44861-2025")</f>
        <v/>
      </c>
      <c r="X605">
        <f>HYPERLINK("https://klasma.github.io/Logging_0883/tillsyn/A 44861-2025 tillsynsbegäran.docx", "A 44861-2025")</f>
        <v/>
      </c>
      <c r="Y605">
        <f>HYPERLINK("https://klasma.github.io/Logging_0883/tillsynsmail/A 44861-2025 tillsynsbegäran mail.docx", "A 44861-2025")</f>
        <v/>
      </c>
    </row>
    <row r="606" ht="15" customHeight="1">
      <c r="A606" t="inlineStr">
        <is>
          <t>A 47363-2023</t>
        </is>
      </c>
      <c r="B606" s="1" t="n">
        <v>45202.59584490741</v>
      </c>
      <c r="C606" s="1" t="n">
        <v>46076</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37716-2023</t>
        </is>
      </c>
      <c r="B607" s="1" t="n">
        <v>45159</v>
      </c>
      <c r="C607" s="1" t="n">
        <v>46076</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5691-2025</t>
        </is>
      </c>
      <c r="B608" s="1" t="n">
        <v>45694.37447916667</v>
      </c>
      <c r="C608" s="1" t="n">
        <v>46076</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44792-2025</t>
        </is>
      </c>
      <c r="B609" s="1" t="n">
        <v>45918.31287037037</v>
      </c>
      <c r="C609" s="1" t="n">
        <v>46076</v>
      </c>
      <c r="D609" t="inlineStr">
        <is>
          <t>KALMAR LÄN</t>
        </is>
      </c>
      <c r="E609" t="inlineStr">
        <is>
          <t>VÄSTERVIK</t>
        </is>
      </c>
      <c r="G609" t="n">
        <v>3.9</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46076</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5355-2024</t>
        </is>
      </c>
      <c r="B611" s="1" t="n">
        <v>45331</v>
      </c>
      <c r="C611" s="1" t="n">
        <v>46076</v>
      </c>
      <c r="D611" t="inlineStr">
        <is>
          <t>KALMAR LÄN</t>
        </is>
      </c>
      <c r="E611" t="inlineStr">
        <is>
          <t>VÄSTERVIK</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54190-2022</t>
        </is>
      </c>
      <c r="B612" s="1" t="n">
        <v>44881.68282407407</v>
      </c>
      <c r="C612" s="1" t="n">
        <v>46076</v>
      </c>
      <c r="D612" t="inlineStr">
        <is>
          <t>KALMAR LÄN</t>
        </is>
      </c>
      <c r="E612" t="inlineStr">
        <is>
          <t>VÄSTERVIK</t>
        </is>
      </c>
      <c r="G612" t="n">
        <v>7.4</v>
      </c>
      <c r="H612" t="n">
        <v>0</v>
      </c>
      <c r="I612" t="n">
        <v>0</v>
      </c>
      <c r="J612" t="n">
        <v>0</v>
      </c>
      <c r="K612" t="n">
        <v>0</v>
      </c>
      <c r="L612" t="n">
        <v>0</v>
      </c>
      <c r="M612" t="n">
        <v>0</v>
      </c>
      <c r="N612" t="n">
        <v>0</v>
      </c>
      <c r="O612" t="n">
        <v>0</v>
      </c>
      <c r="P612" t="n">
        <v>0</v>
      </c>
      <c r="Q612" t="n">
        <v>0</v>
      </c>
      <c r="R612" s="2" t="inlineStr"/>
    </row>
    <row r="613" ht="15" customHeight="1">
      <c r="A613" t="inlineStr">
        <is>
          <t>A 44981-2025</t>
        </is>
      </c>
      <c r="B613" s="1" t="n">
        <v>45918.64869212963</v>
      </c>
      <c r="C613" s="1" t="n">
        <v>46076</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10766-2025</t>
        </is>
      </c>
      <c r="B614" s="1" t="n">
        <v>45722.4630787037</v>
      </c>
      <c r="C614" s="1" t="n">
        <v>46076</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10778-2025</t>
        </is>
      </c>
      <c r="B615" s="1" t="n">
        <v>45722</v>
      </c>
      <c r="C615" s="1" t="n">
        <v>46076</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45877-2025</t>
        </is>
      </c>
      <c r="B616" s="1" t="n">
        <v>45923.65804398148</v>
      </c>
      <c r="C616" s="1" t="n">
        <v>46076</v>
      </c>
      <c r="D616" t="inlineStr">
        <is>
          <t>KALMAR LÄN</t>
        </is>
      </c>
      <c r="E616" t="inlineStr">
        <is>
          <t>VÄSTERVIK</t>
        </is>
      </c>
      <c r="G616" t="n">
        <v>5.6</v>
      </c>
      <c r="H616" t="n">
        <v>0</v>
      </c>
      <c r="I616" t="n">
        <v>0</v>
      </c>
      <c r="J616" t="n">
        <v>0</v>
      </c>
      <c r="K616" t="n">
        <v>0</v>
      </c>
      <c r="L616" t="n">
        <v>0</v>
      </c>
      <c r="M616" t="n">
        <v>0</v>
      </c>
      <c r="N616" t="n">
        <v>0</v>
      </c>
      <c r="O616" t="n">
        <v>0</v>
      </c>
      <c r="P616" t="n">
        <v>0</v>
      </c>
      <c r="Q616" t="n">
        <v>0</v>
      </c>
      <c r="R616" s="2" t="inlineStr"/>
    </row>
    <row r="617" ht="15" customHeight="1">
      <c r="A617" t="inlineStr">
        <is>
          <t>A 35770-2023</t>
        </is>
      </c>
      <c r="B617" s="1" t="n">
        <v>45147</v>
      </c>
      <c r="C617" s="1" t="n">
        <v>46076</v>
      </c>
      <c r="D617" t="inlineStr">
        <is>
          <t>KALMAR LÄN</t>
        </is>
      </c>
      <c r="E617" t="inlineStr">
        <is>
          <t>VÄSTERVIK</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38040-2023</t>
        </is>
      </c>
      <c r="B618" s="1" t="n">
        <v>45160.66336805555</v>
      </c>
      <c r="C618" s="1" t="n">
        <v>46076</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46158-2025</t>
        </is>
      </c>
      <c r="B619" s="1" t="n">
        <v>45924.63511574074</v>
      </c>
      <c r="C619" s="1" t="n">
        <v>46076</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46161-2025</t>
        </is>
      </c>
      <c r="B620" s="1" t="n">
        <v>45924.63733796297</v>
      </c>
      <c r="C620" s="1" t="n">
        <v>46076</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2746-2023</t>
        </is>
      </c>
      <c r="B621" s="1" t="n">
        <v>44944</v>
      </c>
      <c r="C621" s="1" t="n">
        <v>46076</v>
      </c>
      <c r="D621" t="inlineStr">
        <is>
          <t>KALMAR LÄN</t>
        </is>
      </c>
      <c r="E621" t="inlineStr">
        <is>
          <t>VÄSTERVIK</t>
        </is>
      </c>
      <c r="G621" t="n">
        <v>5.5</v>
      </c>
      <c r="H621" t="n">
        <v>0</v>
      </c>
      <c r="I621" t="n">
        <v>0</v>
      </c>
      <c r="J621" t="n">
        <v>0</v>
      </c>
      <c r="K621" t="n">
        <v>0</v>
      </c>
      <c r="L621" t="n">
        <v>0</v>
      </c>
      <c r="M621" t="n">
        <v>0</v>
      </c>
      <c r="N621" t="n">
        <v>0</v>
      </c>
      <c r="O621" t="n">
        <v>0</v>
      </c>
      <c r="P621" t="n">
        <v>0</v>
      </c>
      <c r="Q621" t="n">
        <v>0</v>
      </c>
      <c r="R621" s="2" t="inlineStr"/>
    </row>
    <row r="622" ht="15" customHeight="1">
      <c r="A622" t="inlineStr">
        <is>
          <t>A 31686-2023</t>
        </is>
      </c>
      <c r="B622" s="1" t="n">
        <v>45117</v>
      </c>
      <c r="C622" s="1" t="n">
        <v>46076</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10688-2024</t>
        </is>
      </c>
      <c r="B623" s="1" t="n">
        <v>45369.39894675926</v>
      </c>
      <c r="C623" s="1" t="n">
        <v>46076</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21660-2025</t>
        </is>
      </c>
      <c r="B624" s="1" t="n">
        <v>45783.45542824074</v>
      </c>
      <c r="C624" s="1" t="n">
        <v>46076</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8593-2023</t>
        </is>
      </c>
      <c r="B625" s="1" t="n">
        <v>44977</v>
      </c>
      <c r="C625" s="1" t="n">
        <v>46076</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29722-2025</t>
        </is>
      </c>
      <c r="B626" s="1" t="n">
        <v>45825.57524305556</v>
      </c>
      <c r="C626" s="1" t="n">
        <v>46076</v>
      </c>
      <c r="D626" t="inlineStr">
        <is>
          <t>KALMAR LÄN</t>
        </is>
      </c>
      <c r="E626" t="inlineStr">
        <is>
          <t>VÄSTERVIK</t>
        </is>
      </c>
      <c r="G626" t="n">
        <v>2.9</v>
      </c>
      <c r="H626" t="n">
        <v>0</v>
      </c>
      <c r="I626" t="n">
        <v>0</v>
      </c>
      <c r="J626" t="n">
        <v>0</v>
      </c>
      <c r="K626" t="n">
        <v>0</v>
      </c>
      <c r="L626" t="n">
        <v>0</v>
      </c>
      <c r="M626" t="n">
        <v>0</v>
      </c>
      <c r="N626" t="n">
        <v>0</v>
      </c>
      <c r="O626" t="n">
        <v>0</v>
      </c>
      <c r="P626" t="n">
        <v>0</v>
      </c>
      <c r="Q626" t="n">
        <v>0</v>
      </c>
      <c r="R626" s="2" t="inlineStr"/>
    </row>
    <row r="627" ht="15" customHeight="1">
      <c r="A627" t="inlineStr">
        <is>
          <t>A 23148-2025</t>
        </is>
      </c>
      <c r="B627" s="1" t="n">
        <v>45791.40225694444</v>
      </c>
      <c r="C627" s="1" t="n">
        <v>46076</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37642-2023</t>
        </is>
      </c>
      <c r="B628" s="1" t="n">
        <v>45159.47940972223</v>
      </c>
      <c r="C628" s="1" t="n">
        <v>46076</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59871-2022</t>
        </is>
      </c>
      <c r="B629" s="1" t="n">
        <v>44908</v>
      </c>
      <c r="C629" s="1" t="n">
        <v>46076</v>
      </c>
      <c r="D629" t="inlineStr">
        <is>
          <t>KALMAR LÄN</t>
        </is>
      </c>
      <c r="E629" t="inlineStr">
        <is>
          <t>VÄSTERVIK</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73640-2021</t>
        </is>
      </c>
      <c r="B630" s="1" t="n">
        <v>44552.43644675926</v>
      </c>
      <c r="C630" s="1" t="n">
        <v>46076</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28404-2024</t>
        </is>
      </c>
      <c r="B631" s="1" t="n">
        <v>45477.61552083334</v>
      </c>
      <c r="C631" s="1" t="n">
        <v>46076</v>
      </c>
      <c r="D631" t="inlineStr">
        <is>
          <t>KALMAR LÄN</t>
        </is>
      </c>
      <c r="E631" t="inlineStr">
        <is>
          <t>VÄSTERVIK</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28415-2024</t>
        </is>
      </c>
      <c r="B632" s="1" t="n">
        <v>45477.62924768519</v>
      </c>
      <c r="C632" s="1" t="n">
        <v>46076</v>
      </c>
      <c r="D632" t="inlineStr">
        <is>
          <t>KALMAR LÄN</t>
        </is>
      </c>
      <c r="E632" t="inlineStr">
        <is>
          <t>VÄSTERVIK</t>
        </is>
      </c>
      <c r="F632" t="inlineStr">
        <is>
          <t>Holmen skog AB</t>
        </is>
      </c>
      <c r="G632" t="n">
        <v>2.7</v>
      </c>
      <c r="H632" t="n">
        <v>0</v>
      </c>
      <c r="I632" t="n">
        <v>0</v>
      </c>
      <c r="J632" t="n">
        <v>0</v>
      </c>
      <c r="K632" t="n">
        <v>0</v>
      </c>
      <c r="L632" t="n">
        <v>0</v>
      </c>
      <c r="M632" t="n">
        <v>0</v>
      </c>
      <c r="N632" t="n">
        <v>0</v>
      </c>
      <c r="O632" t="n">
        <v>0</v>
      </c>
      <c r="P632" t="n">
        <v>0</v>
      </c>
      <c r="Q632" t="n">
        <v>0</v>
      </c>
      <c r="R632" s="2" t="inlineStr"/>
    </row>
    <row r="633" ht="15" customHeight="1">
      <c r="A633" t="inlineStr">
        <is>
          <t>A 36757-2025</t>
        </is>
      </c>
      <c r="B633" s="1" t="n">
        <v>45873.56483796296</v>
      </c>
      <c r="C633" s="1" t="n">
        <v>46076</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47124-2023</t>
        </is>
      </c>
      <c r="B634" s="1" t="n">
        <v>45201</v>
      </c>
      <c r="C634" s="1" t="n">
        <v>46076</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35162-2024</t>
        </is>
      </c>
      <c r="B635" s="1" t="n">
        <v>45530.40025462963</v>
      </c>
      <c r="C635" s="1" t="n">
        <v>46076</v>
      </c>
      <c r="D635" t="inlineStr">
        <is>
          <t>KALMAR LÄN</t>
        </is>
      </c>
      <c r="E635" t="inlineStr">
        <is>
          <t>VÄSTERVIK</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47775-2025</t>
        </is>
      </c>
      <c r="B636" s="1" t="n">
        <v>45931.72548611111</v>
      </c>
      <c r="C636" s="1" t="n">
        <v>46076</v>
      </c>
      <c r="D636" t="inlineStr">
        <is>
          <t>KALMAR LÄN</t>
        </is>
      </c>
      <c r="E636" t="inlineStr">
        <is>
          <t>VÄSTERVIK</t>
        </is>
      </c>
      <c r="G636" t="n">
        <v>4.2</v>
      </c>
      <c r="H636" t="n">
        <v>0</v>
      </c>
      <c r="I636" t="n">
        <v>0</v>
      </c>
      <c r="J636" t="n">
        <v>0</v>
      </c>
      <c r="K636" t="n">
        <v>0</v>
      </c>
      <c r="L636" t="n">
        <v>0</v>
      </c>
      <c r="M636" t="n">
        <v>0</v>
      </c>
      <c r="N636" t="n">
        <v>0</v>
      </c>
      <c r="O636" t="n">
        <v>0</v>
      </c>
      <c r="P636" t="n">
        <v>0</v>
      </c>
      <c r="Q636" t="n">
        <v>0</v>
      </c>
      <c r="R636" s="2" t="inlineStr"/>
    </row>
    <row r="637" ht="15" customHeight="1">
      <c r="A637" t="inlineStr">
        <is>
          <t>A 47776-2025</t>
        </is>
      </c>
      <c r="B637" s="1" t="n">
        <v>45931.7262962963</v>
      </c>
      <c r="C637" s="1" t="n">
        <v>46076</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63606-2023</t>
        </is>
      </c>
      <c r="B638" s="1" t="n">
        <v>45275</v>
      </c>
      <c r="C638" s="1" t="n">
        <v>46076</v>
      </c>
      <c r="D638" t="inlineStr">
        <is>
          <t>KALMAR LÄN</t>
        </is>
      </c>
      <c r="E638" t="inlineStr">
        <is>
          <t>VÄSTERVIK</t>
        </is>
      </c>
      <c r="G638" t="n">
        <v>2.9</v>
      </c>
      <c r="H638" t="n">
        <v>0</v>
      </c>
      <c r="I638" t="n">
        <v>0</v>
      </c>
      <c r="J638" t="n">
        <v>0</v>
      </c>
      <c r="K638" t="n">
        <v>0</v>
      </c>
      <c r="L638" t="n">
        <v>0</v>
      </c>
      <c r="M638" t="n">
        <v>0</v>
      </c>
      <c r="N638" t="n">
        <v>0</v>
      </c>
      <c r="O638" t="n">
        <v>0</v>
      </c>
      <c r="P638" t="n">
        <v>0</v>
      </c>
      <c r="Q638" t="n">
        <v>0</v>
      </c>
      <c r="R638" s="2" t="inlineStr"/>
    </row>
    <row r="639" ht="15" customHeight="1">
      <c r="A639" t="inlineStr">
        <is>
          <t>A 20483-2025</t>
        </is>
      </c>
      <c r="B639" s="1" t="n">
        <v>45775.55954861111</v>
      </c>
      <c r="C639" s="1" t="n">
        <v>46076</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11988-2022</t>
        </is>
      </c>
      <c r="B640" s="1" t="n">
        <v>44635.68771990741</v>
      </c>
      <c r="C640" s="1" t="n">
        <v>46076</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36754-2025</t>
        </is>
      </c>
      <c r="B641" s="1" t="n">
        <v>45873.5591087963</v>
      </c>
      <c r="C641" s="1" t="n">
        <v>46076</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47777-2025</t>
        </is>
      </c>
      <c r="B642" s="1" t="n">
        <v>45931.72782407407</v>
      </c>
      <c r="C642" s="1" t="n">
        <v>46076</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1785-2025</t>
        </is>
      </c>
      <c r="B643" s="1" t="n">
        <v>45671.45061342593</v>
      </c>
      <c r="C643" s="1" t="n">
        <v>46076</v>
      </c>
      <c r="D643" t="inlineStr">
        <is>
          <t>KALMAR LÄN</t>
        </is>
      </c>
      <c r="E643" t="inlineStr">
        <is>
          <t>VÄSTERVIK</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35417-2022</t>
        </is>
      </c>
      <c r="B644" s="1" t="n">
        <v>44798</v>
      </c>
      <c r="C644" s="1" t="n">
        <v>46076</v>
      </c>
      <c r="D644" t="inlineStr">
        <is>
          <t>KALMAR LÄN</t>
        </is>
      </c>
      <c r="E644" t="inlineStr">
        <is>
          <t>VÄSTERVIK</t>
        </is>
      </c>
      <c r="G644" t="n">
        <v>5.2</v>
      </c>
      <c r="H644" t="n">
        <v>0</v>
      </c>
      <c r="I644" t="n">
        <v>0</v>
      </c>
      <c r="J644" t="n">
        <v>0</v>
      </c>
      <c r="K644" t="n">
        <v>0</v>
      </c>
      <c r="L644" t="n">
        <v>0</v>
      </c>
      <c r="M644" t="n">
        <v>0</v>
      </c>
      <c r="N644" t="n">
        <v>0</v>
      </c>
      <c r="O644" t="n">
        <v>0</v>
      </c>
      <c r="P644" t="n">
        <v>0</v>
      </c>
      <c r="Q644" t="n">
        <v>0</v>
      </c>
      <c r="R644" s="2" t="inlineStr"/>
    </row>
    <row r="645" ht="15" customHeight="1">
      <c r="A645" t="inlineStr">
        <is>
          <t>A 16207-2022</t>
        </is>
      </c>
      <c r="B645" s="1" t="n">
        <v>44669</v>
      </c>
      <c r="C645" s="1" t="n">
        <v>46076</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37523-2025</t>
        </is>
      </c>
      <c r="B646" s="1" t="n">
        <v>45877</v>
      </c>
      <c r="C646" s="1" t="n">
        <v>46076</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48039-2025</t>
        </is>
      </c>
      <c r="B647" s="1" t="n">
        <v>45932</v>
      </c>
      <c r="C647" s="1" t="n">
        <v>46076</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37526-2025</t>
        </is>
      </c>
      <c r="B648" s="1" t="n">
        <v>45877</v>
      </c>
      <c r="C648" s="1" t="n">
        <v>46076</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23626-2024</t>
        </is>
      </c>
      <c r="B649" s="1" t="n">
        <v>45454</v>
      </c>
      <c r="C649" s="1" t="n">
        <v>46076</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46267-2022</t>
        </is>
      </c>
      <c r="B650" s="1" t="n">
        <v>44847</v>
      </c>
      <c r="C650" s="1" t="n">
        <v>46076</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55609-2024</t>
        </is>
      </c>
      <c r="B651" s="1" t="n">
        <v>45622.58350694444</v>
      </c>
      <c r="C651" s="1" t="n">
        <v>46076</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38048-2023</t>
        </is>
      </c>
      <c r="B652" s="1" t="n">
        <v>45160.67677083334</v>
      </c>
      <c r="C652" s="1" t="n">
        <v>46076</v>
      </c>
      <c r="D652" t="inlineStr">
        <is>
          <t>KALMAR LÄN</t>
        </is>
      </c>
      <c r="E652" t="inlineStr">
        <is>
          <t>VÄSTERVIK</t>
        </is>
      </c>
      <c r="F652" t="inlineStr">
        <is>
          <t>Sveaskog</t>
        </is>
      </c>
      <c r="G652" t="n">
        <v>3.3</v>
      </c>
      <c r="H652" t="n">
        <v>0</v>
      </c>
      <c r="I652" t="n">
        <v>0</v>
      </c>
      <c r="J652" t="n">
        <v>0</v>
      </c>
      <c r="K652" t="n">
        <v>0</v>
      </c>
      <c r="L652" t="n">
        <v>0</v>
      </c>
      <c r="M652" t="n">
        <v>0</v>
      </c>
      <c r="N652" t="n">
        <v>0</v>
      </c>
      <c r="O652" t="n">
        <v>0</v>
      </c>
      <c r="P652" t="n">
        <v>0</v>
      </c>
      <c r="Q652" t="n">
        <v>0</v>
      </c>
      <c r="R652" s="2" t="inlineStr"/>
    </row>
    <row r="653" ht="15" customHeight="1">
      <c r="A653" t="inlineStr">
        <is>
          <t>A 48024-2025</t>
        </is>
      </c>
      <c r="B653" s="1" t="n">
        <v>45932.65021990741</v>
      </c>
      <c r="C653" s="1" t="n">
        <v>46076</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11584-2023</t>
        </is>
      </c>
      <c r="B654" s="1" t="n">
        <v>44994.35707175926</v>
      </c>
      <c r="C654" s="1" t="n">
        <v>46076</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48738-2025</t>
        </is>
      </c>
      <c r="B655" s="1" t="n">
        <v>45936.67061342593</v>
      </c>
      <c r="C655" s="1" t="n">
        <v>46076</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37774-2025</t>
        </is>
      </c>
      <c r="B656" s="1" t="n">
        <v>45880</v>
      </c>
      <c r="C656" s="1" t="n">
        <v>46076</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48887-2025</t>
        </is>
      </c>
      <c r="B657" s="1" t="n">
        <v>45937.46826388889</v>
      </c>
      <c r="C657" s="1" t="n">
        <v>46076</v>
      </c>
      <c r="D657" t="inlineStr">
        <is>
          <t>KALMAR LÄN</t>
        </is>
      </c>
      <c r="E657" t="inlineStr">
        <is>
          <t>VÄSTERVIK</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38442-2025</t>
        </is>
      </c>
      <c r="B658" s="1" t="n">
        <v>45883</v>
      </c>
      <c r="C658" s="1" t="n">
        <v>46076</v>
      </c>
      <c r="D658" t="inlineStr">
        <is>
          <t>KALMAR LÄN</t>
        </is>
      </c>
      <c r="E658" t="inlineStr">
        <is>
          <t>VÄSTERVIK</t>
        </is>
      </c>
      <c r="G658" t="n">
        <v>3.5</v>
      </c>
      <c r="H658" t="n">
        <v>0</v>
      </c>
      <c r="I658" t="n">
        <v>0</v>
      </c>
      <c r="J658" t="n">
        <v>0</v>
      </c>
      <c r="K658" t="n">
        <v>0</v>
      </c>
      <c r="L658" t="n">
        <v>0</v>
      </c>
      <c r="M658" t="n">
        <v>0</v>
      </c>
      <c r="N658" t="n">
        <v>0</v>
      </c>
      <c r="O658" t="n">
        <v>0</v>
      </c>
      <c r="P658" t="n">
        <v>0</v>
      </c>
      <c r="Q658" t="n">
        <v>0</v>
      </c>
      <c r="R658" s="2" t="inlineStr"/>
    </row>
    <row r="659" ht="15" customHeight="1">
      <c r="A659" t="inlineStr">
        <is>
          <t>A 49004-2025</t>
        </is>
      </c>
      <c r="B659" s="1" t="n">
        <v>45937.59958333334</v>
      </c>
      <c r="C659" s="1" t="n">
        <v>46076</v>
      </c>
      <c r="D659" t="inlineStr">
        <is>
          <t>KALMAR LÄN</t>
        </is>
      </c>
      <c r="E659" t="inlineStr">
        <is>
          <t>VÄSTERVIK</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18081-2023</t>
        </is>
      </c>
      <c r="B660" s="1" t="n">
        <v>45040</v>
      </c>
      <c r="C660" s="1" t="n">
        <v>46076</v>
      </c>
      <c r="D660" t="inlineStr">
        <is>
          <t>KALMAR LÄN</t>
        </is>
      </c>
      <c r="E660" t="inlineStr">
        <is>
          <t>VÄSTERVIK</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26776-2023</t>
        </is>
      </c>
      <c r="B661" s="1" t="n">
        <v>45093</v>
      </c>
      <c r="C661" s="1" t="n">
        <v>46076</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48873-2025</t>
        </is>
      </c>
      <c r="B662" s="1" t="n">
        <v>45937.45417824074</v>
      </c>
      <c r="C662" s="1" t="n">
        <v>46076</v>
      </c>
      <c r="D662" t="inlineStr">
        <is>
          <t>KALMAR LÄN</t>
        </is>
      </c>
      <c r="E662" t="inlineStr">
        <is>
          <t>VÄSTERVIK</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62304-2022</t>
        </is>
      </c>
      <c r="B663" s="1" t="n">
        <v>44923.46215277778</v>
      </c>
      <c r="C663" s="1" t="n">
        <v>46076</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62306-2022</t>
        </is>
      </c>
      <c r="B664" s="1" t="n">
        <v>44923</v>
      </c>
      <c r="C664" s="1" t="n">
        <v>46076</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46076</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46076</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17307-2023</t>
        </is>
      </c>
      <c r="B667" s="1" t="n">
        <v>45035.53497685185</v>
      </c>
      <c r="C667" s="1" t="n">
        <v>46076</v>
      </c>
      <c r="D667" t="inlineStr">
        <is>
          <t>KALMAR LÄN</t>
        </is>
      </c>
      <c r="E667" t="inlineStr">
        <is>
          <t>VÄSTERVIK</t>
        </is>
      </c>
      <c r="G667" t="n">
        <v>0</v>
      </c>
      <c r="H667" t="n">
        <v>0</v>
      </c>
      <c r="I667" t="n">
        <v>0</v>
      </c>
      <c r="J667" t="n">
        <v>0</v>
      </c>
      <c r="K667" t="n">
        <v>0</v>
      </c>
      <c r="L667" t="n">
        <v>0</v>
      </c>
      <c r="M667" t="n">
        <v>0</v>
      </c>
      <c r="N667" t="n">
        <v>0</v>
      </c>
      <c r="O667" t="n">
        <v>0</v>
      </c>
      <c r="P667" t="n">
        <v>0</v>
      </c>
      <c r="Q667" t="n">
        <v>0</v>
      </c>
      <c r="R667" s="2" t="inlineStr"/>
    </row>
    <row r="668" ht="15" customHeight="1">
      <c r="A668" t="inlineStr">
        <is>
          <t>A 49616-2025</t>
        </is>
      </c>
      <c r="B668" s="1" t="n">
        <v>45939.58503472222</v>
      </c>
      <c r="C668" s="1" t="n">
        <v>46076</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49525-2025</t>
        </is>
      </c>
      <c r="B669" s="1" t="n">
        <v>45939.4015625</v>
      </c>
      <c r="C669" s="1" t="n">
        <v>46076</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13489-2022</t>
        </is>
      </c>
      <c r="B670" s="1" t="n">
        <v>44646</v>
      </c>
      <c r="C670" s="1" t="n">
        <v>46076</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11198-2024</t>
        </is>
      </c>
      <c r="B671" s="1" t="n">
        <v>45371</v>
      </c>
      <c r="C671" s="1" t="n">
        <v>46076</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46076</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49539-2025</t>
        </is>
      </c>
      <c r="B673" s="1" t="n">
        <v>45939.42453703703</v>
      </c>
      <c r="C673" s="1" t="n">
        <v>46076</v>
      </c>
      <c r="D673" t="inlineStr">
        <is>
          <t>KALMAR LÄN</t>
        </is>
      </c>
      <c r="E673" t="inlineStr">
        <is>
          <t>VÄSTERVIK</t>
        </is>
      </c>
      <c r="G673" t="n">
        <v>0.8</v>
      </c>
      <c r="H673" t="n">
        <v>0</v>
      </c>
      <c r="I673" t="n">
        <v>0</v>
      </c>
      <c r="J673" t="n">
        <v>0</v>
      </c>
      <c r="K673" t="n">
        <v>0</v>
      </c>
      <c r="L673" t="n">
        <v>0</v>
      </c>
      <c r="M673" t="n">
        <v>0</v>
      </c>
      <c r="N673" t="n">
        <v>0</v>
      </c>
      <c r="O673" t="n">
        <v>0</v>
      </c>
      <c r="P673" t="n">
        <v>0</v>
      </c>
      <c r="Q673" t="n">
        <v>0</v>
      </c>
      <c r="R673" s="2" t="inlineStr"/>
    </row>
    <row r="674" ht="15" customHeight="1">
      <c r="A674" t="inlineStr">
        <is>
          <t>A 49542-2025</t>
        </is>
      </c>
      <c r="B674" s="1" t="n">
        <v>45939.4284837963</v>
      </c>
      <c r="C674" s="1" t="n">
        <v>46076</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48881-2025</t>
        </is>
      </c>
      <c r="B675" s="1" t="n">
        <v>45937.46157407408</v>
      </c>
      <c r="C675" s="1" t="n">
        <v>46076</v>
      </c>
      <c r="D675" t="inlineStr">
        <is>
          <t>KALMAR LÄN</t>
        </is>
      </c>
      <c r="E675" t="inlineStr">
        <is>
          <t>VÄSTERVIK</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60713-2022</t>
        </is>
      </c>
      <c r="B676" s="1" t="n">
        <v>44912</v>
      </c>
      <c r="C676" s="1" t="n">
        <v>46076</v>
      </c>
      <c r="D676" t="inlineStr">
        <is>
          <t>KALMAR LÄN</t>
        </is>
      </c>
      <c r="E676" t="inlineStr">
        <is>
          <t>VÄSTERVIK</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16617-2023</t>
        </is>
      </c>
      <c r="B677" s="1" t="n">
        <v>45030</v>
      </c>
      <c r="C677" s="1" t="n">
        <v>46076</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55032-2024</t>
        </is>
      </c>
      <c r="B678" s="1" t="n">
        <v>45621.38190972222</v>
      </c>
      <c r="C678" s="1" t="n">
        <v>46076</v>
      </c>
      <c r="D678" t="inlineStr">
        <is>
          <t>KALMAR LÄN</t>
        </is>
      </c>
      <c r="E678" t="inlineStr">
        <is>
          <t>VÄSTERVIK</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55037-2024</t>
        </is>
      </c>
      <c r="B679" s="1" t="n">
        <v>45621.38459490741</v>
      </c>
      <c r="C679" s="1" t="n">
        <v>46076</v>
      </c>
      <c r="D679" t="inlineStr">
        <is>
          <t>KALMAR LÄN</t>
        </is>
      </c>
      <c r="E679" t="inlineStr">
        <is>
          <t>VÄSTERVIK</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928-2024</t>
        </is>
      </c>
      <c r="B680" s="1" t="n">
        <v>45301</v>
      </c>
      <c r="C680" s="1" t="n">
        <v>46076</v>
      </c>
      <c r="D680" t="inlineStr">
        <is>
          <t>KALMAR LÄN</t>
        </is>
      </c>
      <c r="E680" t="inlineStr">
        <is>
          <t>VÄSTERVIK</t>
        </is>
      </c>
      <c r="G680" t="n">
        <v>4.8</v>
      </c>
      <c r="H680" t="n">
        <v>0</v>
      </c>
      <c r="I680" t="n">
        <v>0</v>
      </c>
      <c r="J680" t="n">
        <v>0</v>
      </c>
      <c r="K680" t="n">
        <v>0</v>
      </c>
      <c r="L680" t="n">
        <v>0</v>
      </c>
      <c r="M680" t="n">
        <v>0</v>
      </c>
      <c r="N680" t="n">
        <v>0</v>
      </c>
      <c r="O680" t="n">
        <v>0</v>
      </c>
      <c r="P680" t="n">
        <v>0</v>
      </c>
      <c r="Q680" t="n">
        <v>0</v>
      </c>
      <c r="R680" s="2" t="inlineStr"/>
    </row>
    <row r="681" ht="15" customHeight="1">
      <c r="A681" t="inlineStr">
        <is>
          <t>A 63018-2023</t>
        </is>
      </c>
      <c r="B681" s="1" t="n">
        <v>45272</v>
      </c>
      <c r="C681" s="1" t="n">
        <v>46076</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16395-2024</t>
        </is>
      </c>
      <c r="B682" s="1" t="n">
        <v>45407.62733796296</v>
      </c>
      <c r="C682" s="1" t="n">
        <v>46076</v>
      </c>
      <c r="D682" t="inlineStr">
        <is>
          <t>KALMAR LÄN</t>
        </is>
      </c>
      <c r="E682" t="inlineStr">
        <is>
          <t>VÄSTERVIK</t>
        </is>
      </c>
      <c r="G682" t="n">
        <v>1.3</v>
      </c>
      <c r="H682" t="n">
        <v>0</v>
      </c>
      <c r="I682" t="n">
        <v>0</v>
      </c>
      <c r="J682" t="n">
        <v>0</v>
      </c>
      <c r="K682" t="n">
        <v>0</v>
      </c>
      <c r="L682" t="n">
        <v>0</v>
      </c>
      <c r="M682" t="n">
        <v>0</v>
      </c>
      <c r="N682" t="n">
        <v>0</v>
      </c>
      <c r="O682" t="n">
        <v>0</v>
      </c>
      <c r="P682" t="n">
        <v>0</v>
      </c>
      <c r="Q682" t="n">
        <v>0</v>
      </c>
      <c r="R682" s="2" t="inlineStr"/>
      <c r="U682">
        <f>HYPERLINK("https://klasma.github.io/Logging_0883/knärot/A 16395-2024 karta knärot.png", "A 16395-2024")</f>
        <v/>
      </c>
      <c r="V682">
        <f>HYPERLINK("https://klasma.github.io/Logging_0883/klagomål/A 16395-2024 FSC-klagomål.docx", "A 16395-2024")</f>
        <v/>
      </c>
      <c r="W682">
        <f>HYPERLINK("https://klasma.github.io/Logging_0883/klagomålsmail/A 16395-2024 FSC-klagomål mail.docx", "A 16395-2024")</f>
        <v/>
      </c>
      <c r="X682">
        <f>HYPERLINK("https://klasma.github.io/Logging_0883/tillsyn/A 16395-2024 tillsynsbegäran.docx", "A 16395-2024")</f>
        <v/>
      </c>
      <c r="Y682">
        <f>HYPERLINK("https://klasma.github.io/Logging_0883/tillsynsmail/A 16395-2024 tillsynsbegäran mail.docx", "A 16395-2024")</f>
        <v/>
      </c>
    </row>
    <row r="683" ht="15" customHeight="1">
      <c r="A683" t="inlineStr">
        <is>
          <t>A 50651-2025</t>
        </is>
      </c>
      <c r="B683" s="1" t="n">
        <v>45945.66497685185</v>
      </c>
      <c r="C683" s="1" t="n">
        <v>46076</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6126-2023</t>
        </is>
      </c>
      <c r="B684" s="1" t="n">
        <v>44964.61592592593</v>
      </c>
      <c r="C684" s="1" t="n">
        <v>46076</v>
      </c>
      <c r="D684" t="inlineStr">
        <is>
          <t>KALMAR LÄN</t>
        </is>
      </c>
      <c r="E684" t="inlineStr">
        <is>
          <t>VÄSTERVIK</t>
        </is>
      </c>
      <c r="F684" t="inlineStr">
        <is>
          <t>Övriga Aktiebolag</t>
        </is>
      </c>
      <c r="G684" t="n">
        <v>0.9</v>
      </c>
      <c r="H684" t="n">
        <v>0</v>
      </c>
      <c r="I684" t="n">
        <v>0</v>
      </c>
      <c r="J684" t="n">
        <v>0</v>
      </c>
      <c r="K684" t="n">
        <v>0</v>
      </c>
      <c r="L684" t="n">
        <v>0</v>
      </c>
      <c r="M684" t="n">
        <v>0</v>
      </c>
      <c r="N684" t="n">
        <v>0</v>
      </c>
      <c r="O684" t="n">
        <v>0</v>
      </c>
      <c r="P684" t="n">
        <v>0</v>
      </c>
      <c r="Q684" t="n">
        <v>0</v>
      </c>
      <c r="R684" s="2" t="inlineStr"/>
    </row>
    <row r="685" ht="15" customHeight="1">
      <c r="A685" t="inlineStr">
        <is>
          <t>A 34958-2021</t>
        </is>
      </c>
      <c r="B685" s="1" t="n">
        <v>44383</v>
      </c>
      <c r="C685" s="1" t="n">
        <v>46076</v>
      </c>
      <c r="D685" t="inlineStr">
        <is>
          <t>KALMAR LÄN</t>
        </is>
      </c>
      <c r="E685" t="inlineStr">
        <is>
          <t>VÄSTERVIK</t>
        </is>
      </c>
      <c r="G685" t="n">
        <v>2.7</v>
      </c>
      <c r="H685" t="n">
        <v>0</v>
      </c>
      <c r="I685" t="n">
        <v>0</v>
      </c>
      <c r="J685" t="n">
        <v>0</v>
      </c>
      <c r="K685" t="n">
        <v>0</v>
      </c>
      <c r="L685" t="n">
        <v>0</v>
      </c>
      <c r="M685" t="n">
        <v>0</v>
      </c>
      <c r="N685" t="n">
        <v>0</v>
      </c>
      <c r="O685" t="n">
        <v>0</v>
      </c>
      <c r="P685" t="n">
        <v>0</v>
      </c>
      <c r="Q685" t="n">
        <v>0</v>
      </c>
      <c r="R685" s="2" t="inlineStr"/>
    </row>
    <row r="686" ht="15" customHeight="1">
      <c r="A686" t="inlineStr">
        <is>
          <t>A 50539-2025</t>
        </is>
      </c>
      <c r="B686" s="1" t="n">
        <v>45945.49340277778</v>
      </c>
      <c r="C686" s="1" t="n">
        <v>46076</v>
      </c>
      <c r="D686" t="inlineStr">
        <is>
          <t>KALMAR LÄN</t>
        </is>
      </c>
      <c r="E686" t="inlineStr">
        <is>
          <t>VÄSTERVIK</t>
        </is>
      </c>
      <c r="G686" t="n">
        <v>2.4</v>
      </c>
      <c r="H686" t="n">
        <v>0</v>
      </c>
      <c r="I686" t="n">
        <v>0</v>
      </c>
      <c r="J686" t="n">
        <v>0</v>
      </c>
      <c r="K686" t="n">
        <v>0</v>
      </c>
      <c r="L686" t="n">
        <v>0</v>
      </c>
      <c r="M686" t="n">
        <v>0</v>
      </c>
      <c r="N686" t="n">
        <v>0</v>
      </c>
      <c r="O686" t="n">
        <v>0</v>
      </c>
      <c r="P686" t="n">
        <v>0</v>
      </c>
      <c r="Q686" t="n">
        <v>0</v>
      </c>
      <c r="R686" s="2" t="inlineStr"/>
    </row>
    <row r="687" ht="15" customHeight="1">
      <c r="A687" t="inlineStr">
        <is>
          <t>A 40969-2025</t>
        </is>
      </c>
      <c r="B687" s="1" t="n">
        <v>45897</v>
      </c>
      <c r="C687" s="1" t="n">
        <v>46076</v>
      </c>
      <c r="D687" t="inlineStr">
        <is>
          <t>KALMAR LÄN</t>
        </is>
      </c>
      <c r="E687" t="inlineStr">
        <is>
          <t>VÄSTERVIK</t>
        </is>
      </c>
      <c r="G687" t="n">
        <v>2.5</v>
      </c>
      <c r="H687" t="n">
        <v>0</v>
      </c>
      <c r="I687" t="n">
        <v>0</v>
      </c>
      <c r="J687" t="n">
        <v>0</v>
      </c>
      <c r="K687" t="n">
        <v>0</v>
      </c>
      <c r="L687" t="n">
        <v>0</v>
      </c>
      <c r="M687" t="n">
        <v>0</v>
      </c>
      <c r="N687" t="n">
        <v>0</v>
      </c>
      <c r="O687" t="n">
        <v>0</v>
      </c>
      <c r="P687" t="n">
        <v>0</v>
      </c>
      <c r="Q687" t="n">
        <v>0</v>
      </c>
      <c r="R687" s="2" t="inlineStr"/>
    </row>
    <row r="688" ht="15" customHeight="1">
      <c r="A688" t="inlineStr">
        <is>
          <t>A 28894-2023</t>
        </is>
      </c>
      <c r="B688" s="1" t="n">
        <v>45104.49659722222</v>
      </c>
      <c r="C688" s="1" t="n">
        <v>46076</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12333-2025</t>
        </is>
      </c>
      <c r="B689" s="1" t="n">
        <v>45730</v>
      </c>
      <c r="C689" s="1" t="n">
        <v>46076</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50290-2025</t>
        </is>
      </c>
      <c r="B690" s="1" t="n">
        <v>45944.40484953704</v>
      </c>
      <c r="C690" s="1" t="n">
        <v>46076</v>
      </c>
      <c r="D690" t="inlineStr">
        <is>
          <t>KALMAR LÄN</t>
        </is>
      </c>
      <c r="E690" t="inlineStr">
        <is>
          <t>VÄSTERVIK</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23317-2023</t>
        </is>
      </c>
      <c r="B691" s="1" t="n">
        <v>45076</v>
      </c>
      <c r="C691" s="1" t="n">
        <v>46076</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22891-2025</t>
        </is>
      </c>
      <c r="B692" s="1" t="n">
        <v>45790.39267361111</v>
      </c>
      <c r="C692" s="1" t="n">
        <v>46076</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3679-2025</t>
        </is>
      </c>
      <c r="B693" s="1" t="n">
        <v>45681.44637731482</v>
      </c>
      <c r="C693" s="1" t="n">
        <v>46076</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50692-2025</t>
        </is>
      </c>
      <c r="B694" s="1" t="n">
        <v>45945.8494212963</v>
      </c>
      <c r="C694" s="1" t="n">
        <v>46076</v>
      </c>
      <c r="D694" t="inlineStr">
        <is>
          <t>KALMAR LÄN</t>
        </is>
      </c>
      <c r="E694" t="inlineStr">
        <is>
          <t>VÄSTERVIK</t>
        </is>
      </c>
      <c r="F694" t="inlineStr">
        <is>
          <t>Övriga Aktiebolag</t>
        </is>
      </c>
      <c r="G694" t="n">
        <v>5</v>
      </c>
      <c r="H694" t="n">
        <v>0</v>
      </c>
      <c r="I694" t="n">
        <v>0</v>
      </c>
      <c r="J694" t="n">
        <v>0</v>
      </c>
      <c r="K694" t="n">
        <v>0</v>
      </c>
      <c r="L694" t="n">
        <v>0</v>
      </c>
      <c r="M694" t="n">
        <v>0</v>
      </c>
      <c r="N694" t="n">
        <v>0</v>
      </c>
      <c r="O694" t="n">
        <v>0</v>
      </c>
      <c r="P694" t="n">
        <v>0</v>
      </c>
      <c r="Q694" t="n">
        <v>0</v>
      </c>
      <c r="R694" s="2" t="inlineStr"/>
    </row>
    <row r="695" ht="15" customHeight="1">
      <c r="A695" t="inlineStr">
        <is>
          <t>A 53077-2024</t>
        </is>
      </c>
      <c r="B695" s="1" t="n">
        <v>45611.49178240741</v>
      </c>
      <c r="C695" s="1" t="n">
        <v>46076</v>
      </c>
      <c r="D695" t="inlineStr">
        <is>
          <t>KALMAR LÄN</t>
        </is>
      </c>
      <c r="E695" t="inlineStr">
        <is>
          <t>VÄSTERVIK</t>
        </is>
      </c>
      <c r="F695" t="inlineStr">
        <is>
          <t>Holmen skog AB</t>
        </is>
      </c>
      <c r="G695" t="n">
        <v>3</v>
      </c>
      <c r="H695" t="n">
        <v>0</v>
      </c>
      <c r="I695" t="n">
        <v>0</v>
      </c>
      <c r="J695" t="n">
        <v>0</v>
      </c>
      <c r="K695" t="n">
        <v>0</v>
      </c>
      <c r="L695" t="n">
        <v>0</v>
      </c>
      <c r="M695" t="n">
        <v>0</v>
      </c>
      <c r="N695" t="n">
        <v>0</v>
      </c>
      <c r="O695" t="n">
        <v>0</v>
      </c>
      <c r="P695" t="n">
        <v>0</v>
      </c>
      <c r="Q695" t="n">
        <v>0</v>
      </c>
      <c r="R695" s="2" t="inlineStr"/>
    </row>
    <row r="696" ht="15" customHeight="1">
      <c r="A696" t="inlineStr">
        <is>
          <t>A 50679-2025</t>
        </is>
      </c>
      <c r="B696" s="1" t="n">
        <v>45945.7796875</v>
      </c>
      <c r="C696" s="1" t="n">
        <v>46076</v>
      </c>
      <c r="D696" t="inlineStr">
        <is>
          <t>KALMAR LÄN</t>
        </is>
      </c>
      <c r="E696" t="inlineStr">
        <is>
          <t>VÄSTERVIK</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51191-2025</t>
        </is>
      </c>
      <c r="B697" s="1" t="n">
        <v>45947.62629629629</v>
      </c>
      <c r="C697" s="1" t="n">
        <v>46076</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51181-2025</t>
        </is>
      </c>
      <c r="B698" s="1" t="n">
        <v>45947.61859953704</v>
      </c>
      <c r="C698" s="1" t="n">
        <v>46076</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51182-2025</t>
        </is>
      </c>
      <c r="B699" s="1" t="n">
        <v>45947.6204050926</v>
      </c>
      <c r="C699" s="1" t="n">
        <v>46076</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25434-2023</t>
        </is>
      </c>
      <c r="B700" s="1" t="n">
        <v>45089.41912037037</v>
      </c>
      <c r="C700" s="1" t="n">
        <v>46076</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46076</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51050-2025</t>
        </is>
      </c>
      <c r="B702" s="1" t="n">
        <v>45947.43621527778</v>
      </c>
      <c r="C702" s="1" t="n">
        <v>46076</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30148-2024</t>
        </is>
      </c>
      <c r="B703" s="1" t="n">
        <v>45489.60528935185</v>
      </c>
      <c r="C703" s="1" t="n">
        <v>46076</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46076</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51520-2025</t>
        </is>
      </c>
      <c r="B705" s="1" t="n">
        <v>45950.65695601852</v>
      </c>
      <c r="C705" s="1" t="n">
        <v>46076</v>
      </c>
      <c r="D705" t="inlineStr">
        <is>
          <t>KALMAR LÄN</t>
        </is>
      </c>
      <c r="E705" t="inlineStr">
        <is>
          <t>VÄSTERVIK</t>
        </is>
      </c>
      <c r="G705" t="n">
        <v>3.6</v>
      </c>
      <c r="H705" t="n">
        <v>0</v>
      </c>
      <c r="I705" t="n">
        <v>0</v>
      </c>
      <c r="J705" t="n">
        <v>0</v>
      </c>
      <c r="K705" t="n">
        <v>0</v>
      </c>
      <c r="L705" t="n">
        <v>0</v>
      </c>
      <c r="M705" t="n">
        <v>0</v>
      </c>
      <c r="N705" t="n">
        <v>0</v>
      </c>
      <c r="O705" t="n">
        <v>0</v>
      </c>
      <c r="P705" t="n">
        <v>0</v>
      </c>
      <c r="Q705" t="n">
        <v>0</v>
      </c>
      <c r="R705" s="2" t="inlineStr"/>
    </row>
    <row r="706" ht="15" customHeight="1">
      <c r="A706" t="inlineStr">
        <is>
          <t>A 51437-2025</t>
        </is>
      </c>
      <c r="B706" s="1" t="n">
        <v>45950.56834490741</v>
      </c>
      <c r="C706" s="1" t="n">
        <v>46076</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51441-2025</t>
        </is>
      </c>
      <c r="B707" s="1" t="n">
        <v>45950.57375</v>
      </c>
      <c r="C707" s="1" t="n">
        <v>46076</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51566-2025</t>
        </is>
      </c>
      <c r="B708" s="1" t="n">
        <v>45951.30868055556</v>
      </c>
      <c r="C708" s="1" t="n">
        <v>46076</v>
      </c>
      <c r="D708" t="inlineStr">
        <is>
          <t>KALMAR LÄN</t>
        </is>
      </c>
      <c r="E708" t="inlineStr">
        <is>
          <t>VÄSTERVIK</t>
        </is>
      </c>
      <c r="G708" t="n">
        <v>3.4</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46076</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51515-2025</t>
        </is>
      </c>
      <c r="B710" s="1" t="n">
        <v>45950.65560185185</v>
      </c>
      <c r="C710" s="1" t="n">
        <v>46076</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51439-2025</t>
        </is>
      </c>
      <c r="B711" s="1" t="n">
        <v>45950.57254629629</v>
      </c>
      <c r="C711" s="1" t="n">
        <v>46076</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51426-2025</t>
        </is>
      </c>
      <c r="B712" s="1" t="n">
        <v>45950.53288194445</v>
      </c>
      <c r="C712" s="1" t="n">
        <v>46076</v>
      </c>
      <c r="D712" t="inlineStr">
        <is>
          <t>KALMAR LÄN</t>
        </is>
      </c>
      <c r="E712" t="inlineStr">
        <is>
          <t>VÄSTERVIK</t>
        </is>
      </c>
      <c r="G712" t="n">
        <v>3.8</v>
      </c>
      <c r="H712" t="n">
        <v>0</v>
      </c>
      <c r="I712" t="n">
        <v>0</v>
      </c>
      <c r="J712" t="n">
        <v>0</v>
      </c>
      <c r="K712" t="n">
        <v>0</v>
      </c>
      <c r="L712" t="n">
        <v>0</v>
      </c>
      <c r="M712" t="n">
        <v>0</v>
      </c>
      <c r="N712" t="n">
        <v>0</v>
      </c>
      <c r="O712" t="n">
        <v>0</v>
      </c>
      <c r="P712" t="n">
        <v>0</v>
      </c>
      <c r="Q712" t="n">
        <v>0</v>
      </c>
      <c r="R712" s="2" t="inlineStr"/>
    </row>
    <row r="713" ht="15" customHeight="1">
      <c r="A713" t="inlineStr">
        <is>
          <t>A 14114-2025</t>
        </is>
      </c>
      <c r="B713" s="1" t="n">
        <v>45740.45964120371</v>
      </c>
      <c r="C713" s="1" t="n">
        <v>46076</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52190-2025</t>
        </is>
      </c>
      <c r="B714" s="1" t="n">
        <v>45953.38814814815</v>
      </c>
      <c r="C714" s="1" t="n">
        <v>46076</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17314-2023</t>
        </is>
      </c>
      <c r="B715" s="1" t="n">
        <v>45035</v>
      </c>
      <c r="C715" s="1" t="n">
        <v>46076</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52492-2025</t>
        </is>
      </c>
      <c r="B716" s="1" t="n">
        <v>45953</v>
      </c>
      <c r="C716" s="1" t="n">
        <v>46076</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52495-2025</t>
        </is>
      </c>
      <c r="B717" s="1" t="n">
        <v>45953</v>
      </c>
      <c r="C717" s="1" t="n">
        <v>46076</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52170-2025</t>
        </is>
      </c>
      <c r="B718" s="1" t="n">
        <v>45953.36766203704</v>
      </c>
      <c r="C718" s="1" t="n">
        <v>46076</v>
      </c>
      <c r="D718" t="inlineStr">
        <is>
          <t>KALMAR LÄN</t>
        </is>
      </c>
      <c r="E718" t="inlineStr">
        <is>
          <t>VÄSTERVIK</t>
        </is>
      </c>
      <c r="G718" t="n">
        <v>4.6</v>
      </c>
      <c r="H718" t="n">
        <v>0</v>
      </c>
      <c r="I718" t="n">
        <v>0</v>
      </c>
      <c r="J718" t="n">
        <v>0</v>
      </c>
      <c r="K718" t="n">
        <v>0</v>
      </c>
      <c r="L718" t="n">
        <v>0</v>
      </c>
      <c r="M718" t="n">
        <v>0</v>
      </c>
      <c r="N718" t="n">
        <v>0</v>
      </c>
      <c r="O718" t="n">
        <v>0</v>
      </c>
      <c r="P718" t="n">
        <v>0</v>
      </c>
      <c r="Q718" t="n">
        <v>0</v>
      </c>
      <c r="R718" s="2" t="inlineStr"/>
    </row>
    <row r="719" ht="15" customHeight="1">
      <c r="A719" t="inlineStr">
        <is>
          <t>A 61649-2022</t>
        </is>
      </c>
      <c r="B719" s="1" t="n">
        <v>44916.90010416666</v>
      </c>
      <c r="C719" s="1" t="n">
        <v>46076</v>
      </c>
      <c r="D719" t="inlineStr">
        <is>
          <t>KALMAR LÄN</t>
        </is>
      </c>
      <c r="E719" t="inlineStr">
        <is>
          <t>VÄSTERVIK</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51983-2025</t>
        </is>
      </c>
      <c r="B720" s="1" t="n">
        <v>45952.57481481481</v>
      </c>
      <c r="C720" s="1" t="n">
        <v>46076</v>
      </c>
      <c r="D720" t="inlineStr">
        <is>
          <t>KALMAR LÄN</t>
        </is>
      </c>
      <c r="E720" t="inlineStr">
        <is>
          <t>VÄSTERVIK</t>
        </is>
      </c>
      <c r="G720" t="n">
        <v>2.6</v>
      </c>
      <c r="H720" t="n">
        <v>0</v>
      </c>
      <c r="I720" t="n">
        <v>0</v>
      </c>
      <c r="J720" t="n">
        <v>0</v>
      </c>
      <c r="K720" t="n">
        <v>0</v>
      </c>
      <c r="L720" t="n">
        <v>0</v>
      </c>
      <c r="M720" t="n">
        <v>0</v>
      </c>
      <c r="N720" t="n">
        <v>0</v>
      </c>
      <c r="O720" t="n">
        <v>0</v>
      </c>
      <c r="P720" t="n">
        <v>0</v>
      </c>
      <c r="Q720" t="n">
        <v>0</v>
      </c>
      <c r="R720" s="2" t="inlineStr"/>
    </row>
    <row r="721" ht="15" customHeight="1">
      <c r="A721" t="inlineStr">
        <is>
          <t>A 7360-2023</t>
        </is>
      </c>
      <c r="B721" s="1" t="n">
        <v>44971</v>
      </c>
      <c r="C721" s="1" t="n">
        <v>46076</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52488-2025</t>
        </is>
      </c>
      <c r="B722" s="1" t="n">
        <v>45953</v>
      </c>
      <c r="C722" s="1" t="n">
        <v>46076</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5079-2025</t>
        </is>
      </c>
      <c r="B723" s="1" t="n">
        <v>45691.50069444445</v>
      </c>
      <c r="C723" s="1" t="n">
        <v>46076</v>
      </c>
      <c r="D723" t="inlineStr">
        <is>
          <t>KALMAR LÄN</t>
        </is>
      </c>
      <c r="E723" t="inlineStr">
        <is>
          <t>VÄSTERVIK</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59331-2023</t>
        </is>
      </c>
      <c r="B724" s="1" t="n">
        <v>45253</v>
      </c>
      <c r="C724" s="1" t="n">
        <v>46076</v>
      </c>
      <c r="D724" t="inlineStr">
        <is>
          <t>KALMAR LÄN</t>
        </is>
      </c>
      <c r="E724" t="inlineStr">
        <is>
          <t>VÄSTERVIK</t>
        </is>
      </c>
      <c r="G724" t="n">
        <v>3.9</v>
      </c>
      <c r="H724" t="n">
        <v>0</v>
      </c>
      <c r="I724" t="n">
        <v>0</v>
      </c>
      <c r="J724" t="n">
        <v>0</v>
      </c>
      <c r="K724" t="n">
        <v>0</v>
      </c>
      <c r="L724" t="n">
        <v>0</v>
      </c>
      <c r="M724" t="n">
        <v>0</v>
      </c>
      <c r="N724" t="n">
        <v>0</v>
      </c>
      <c r="O724" t="n">
        <v>0</v>
      </c>
      <c r="P724" t="n">
        <v>0</v>
      </c>
      <c r="Q724" t="n">
        <v>0</v>
      </c>
      <c r="R724" s="2" t="inlineStr"/>
    </row>
    <row r="725" ht="15" customHeight="1">
      <c r="A725" t="inlineStr">
        <is>
          <t>A 33969-2024</t>
        </is>
      </c>
      <c r="B725" s="1" t="n">
        <v>45523.49450231482</v>
      </c>
      <c r="C725" s="1" t="n">
        <v>46076</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13490-2022</t>
        </is>
      </c>
      <c r="B726" s="1" t="n">
        <v>44646</v>
      </c>
      <c r="C726" s="1" t="n">
        <v>46076</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60478-2024</t>
        </is>
      </c>
      <c r="B727" s="1" t="n">
        <v>45643</v>
      </c>
      <c r="C727" s="1" t="n">
        <v>46076</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53145-2025</t>
        </is>
      </c>
      <c r="B728" s="1" t="n">
        <v>45958</v>
      </c>
      <c r="C728" s="1" t="n">
        <v>46076</v>
      </c>
      <c r="D728" t="inlineStr">
        <is>
          <t>KALMAR LÄN</t>
        </is>
      </c>
      <c r="E728" t="inlineStr">
        <is>
          <t>VÄSTERVIK</t>
        </is>
      </c>
      <c r="G728" t="n">
        <v>2.7</v>
      </c>
      <c r="H728" t="n">
        <v>0</v>
      </c>
      <c r="I728" t="n">
        <v>0</v>
      </c>
      <c r="J728" t="n">
        <v>0</v>
      </c>
      <c r="K728" t="n">
        <v>0</v>
      </c>
      <c r="L728" t="n">
        <v>0</v>
      </c>
      <c r="M728" t="n">
        <v>0</v>
      </c>
      <c r="N728" t="n">
        <v>0</v>
      </c>
      <c r="O728" t="n">
        <v>0</v>
      </c>
      <c r="P728" t="n">
        <v>0</v>
      </c>
      <c r="Q728" t="n">
        <v>0</v>
      </c>
      <c r="R728" s="2" t="inlineStr"/>
    </row>
    <row r="729" ht="15" customHeight="1">
      <c r="A729" t="inlineStr">
        <is>
          <t>A 53394-2025</t>
        </is>
      </c>
      <c r="B729" s="1" t="n">
        <v>45959.5534837963</v>
      </c>
      <c r="C729" s="1" t="n">
        <v>46076</v>
      </c>
      <c r="D729" t="inlineStr">
        <is>
          <t>KALMAR LÄN</t>
        </is>
      </c>
      <c r="E729" t="inlineStr">
        <is>
          <t>VÄSTERVIK</t>
        </is>
      </c>
      <c r="G729" t="n">
        <v>0.8</v>
      </c>
      <c r="H729" t="n">
        <v>0</v>
      </c>
      <c r="I729" t="n">
        <v>0</v>
      </c>
      <c r="J729" t="n">
        <v>0</v>
      </c>
      <c r="K729" t="n">
        <v>0</v>
      </c>
      <c r="L729" t="n">
        <v>0</v>
      </c>
      <c r="M729" t="n">
        <v>0</v>
      </c>
      <c r="N729" t="n">
        <v>0</v>
      </c>
      <c r="O729" t="n">
        <v>0</v>
      </c>
      <c r="P729" t="n">
        <v>0</v>
      </c>
      <c r="Q729" t="n">
        <v>0</v>
      </c>
      <c r="R729" s="2" t="inlineStr"/>
    </row>
    <row r="730" ht="15" customHeight="1">
      <c r="A730" t="inlineStr">
        <is>
          <t>A 53334-2025</t>
        </is>
      </c>
      <c r="B730" s="1" t="n">
        <v>45959.38063657407</v>
      </c>
      <c r="C730" s="1" t="n">
        <v>46076</v>
      </c>
      <c r="D730" t="inlineStr">
        <is>
          <t>KALMAR LÄN</t>
        </is>
      </c>
      <c r="E730" t="inlineStr">
        <is>
          <t>VÄSTERVIK</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46076</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46562-2022</t>
        </is>
      </c>
      <c r="B732" s="1" t="n">
        <v>44848</v>
      </c>
      <c r="C732" s="1" t="n">
        <v>46076</v>
      </c>
      <c r="D732" t="inlineStr">
        <is>
          <t>KALMAR LÄN</t>
        </is>
      </c>
      <c r="E732" t="inlineStr">
        <is>
          <t>VÄSTERVIK</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46596-2022</t>
        </is>
      </c>
      <c r="B733" s="1" t="n">
        <v>44848.8315625</v>
      </c>
      <c r="C733" s="1" t="n">
        <v>46076</v>
      </c>
      <c r="D733" t="inlineStr">
        <is>
          <t>KALMAR LÄN</t>
        </is>
      </c>
      <c r="E733" t="inlineStr">
        <is>
          <t>VÄSTERVIK</t>
        </is>
      </c>
      <c r="G733" t="n">
        <v>3.9</v>
      </c>
      <c r="H733" t="n">
        <v>0</v>
      </c>
      <c r="I733" t="n">
        <v>0</v>
      </c>
      <c r="J733" t="n">
        <v>0</v>
      </c>
      <c r="K733" t="n">
        <v>0</v>
      </c>
      <c r="L733" t="n">
        <v>0</v>
      </c>
      <c r="M733" t="n">
        <v>0</v>
      </c>
      <c r="N733" t="n">
        <v>0</v>
      </c>
      <c r="O733" t="n">
        <v>0</v>
      </c>
      <c r="P733" t="n">
        <v>0</v>
      </c>
      <c r="Q733" t="n">
        <v>0</v>
      </c>
      <c r="R733" s="2" t="inlineStr"/>
    </row>
    <row r="734" ht="15" customHeight="1">
      <c r="A734" t="inlineStr">
        <is>
          <t>A 53364-2025</t>
        </is>
      </c>
      <c r="B734" s="1" t="n">
        <v>45959.48401620371</v>
      </c>
      <c r="C734" s="1" t="n">
        <v>46076</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53366-2025</t>
        </is>
      </c>
      <c r="B735" s="1" t="n">
        <v>45959.48521990741</v>
      </c>
      <c r="C735" s="1" t="n">
        <v>46076</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56046-2023</t>
        </is>
      </c>
      <c r="B736" s="1" t="n">
        <v>45240.45217592592</v>
      </c>
      <c r="C736" s="1" t="n">
        <v>46076</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17200-2021</t>
        </is>
      </c>
      <c r="B737" s="1" t="n">
        <v>44298.47847222222</v>
      </c>
      <c r="C737" s="1" t="n">
        <v>46076</v>
      </c>
      <c r="D737" t="inlineStr">
        <is>
          <t>KALMAR LÄN</t>
        </is>
      </c>
      <c r="E737" t="inlineStr">
        <is>
          <t>VÄSTERVIK</t>
        </is>
      </c>
      <c r="G737" t="n">
        <v>3.4</v>
      </c>
      <c r="H737" t="n">
        <v>0</v>
      </c>
      <c r="I737" t="n">
        <v>0</v>
      </c>
      <c r="J737" t="n">
        <v>0</v>
      </c>
      <c r="K737" t="n">
        <v>0</v>
      </c>
      <c r="L737" t="n">
        <v>0</v>
      </c>
      <c r="M737" t="n">
        <v>0</v>
      </c>
      <c r="N737" t="n">
        <v>0</v>
      </c>
      <c r="O737" t="n">
        <v>0</v>
      </c>
      <c r="P737" t="n">
        <v>0</v>
      </c>
      <c r="Q737" t="n">
        <v>0</v>
      </c>
      <c r="R737" s="2" t="inlineStr"/>
    </row>
    <row r="738" ht="15" customHeight="1">
      <c r="A738" t="inlineStr">
        <is>
          <t>A 1096-2024</t>
        </is>
      </c>
      <c r="B738" s="1" t="n">
        <v>45302</v>
      </c>
      <c r="C738" s="1" t="n">
        <v>46076</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61450-2023</t>
        </is>
      </c>
      <c r="B739" s="1" t="n">
        <v>45264.8162037037</v>
      </c>
      <c r="C739" s="1" t="n">
        <v>46076</v>
      </c>
      <c r="D739" t="inlineStr">
        <is>
          <t>KALMAR LÄN</t>
        </is>
      </c>
      <c r="E739" t="inlineStr">
        <is>
          <t>VÄSTERVIK</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36906-2024</t>
        </is>
      </c>
      <c r="B740" s="1" t="n">
        <v>45538</v>
      </c>
      <c r="C740" s="1" t="n">
        <v>46076</v>
      </c>
      <c r="D740" t="inlineStr">
        <is>
          <t>KALMAR LÄN</t>
        </is>
      </c>
      <c r="E740" t="inlineStr">
        <is>
          <t>VÄSTERVIK</t>
        </is>
      </c>
      <c r="G740" t="n">
        <v>2</v>
      </c>
      <c r="H740" t="n">
        <v>0</v>
      </c>
      <c r="I740" t="n">
        <v>0</v>
      </c>
      <c r="J740" t="n">
        <v>0</v>
      </c>
      <c r="K740" t="n">
        <v>0</v>
      </c>
      <c r="L740" t="n">
        <v>0</v>
      </c>
      <c r="M740" t="n">
        <v>0</v>
      </c>
      <c r="N740" t="n">
        <v>0</v>
      </c>
      <c r="O740" t="n">
        <v>0</v>
      </c>
      <c r="P740" t="n">
        <v>0</v>
      </c>
      <c r="Q740" t="n">
        <v>0</v>
      </c>
      <c r="R740" s="2" t="inlineStr"/>
    </row>
    <row r="741" ht="15" customHeight="1">
      <c r="A741" t="inlineStr">
        <is>
          <t>A 8513-2023</t>
        </is>
      </c>
      <c r="B741" s="1" t="n">
        <v>44977.56759259259</v>
      </c>
      <c r="C741" s="1" t="n">
        <v>46076</v>
      </c>
      <c r="D741" t="inlineStr">
        <is>
          <t>KALMAR LÄN</t>
        </is>
      </c>
      <c r="E741" t="inlineStr">
        <is>
          <t>VÄSTERVIK</t>
        </is>
      </c>
      <c r="G741" t="n">
        <v>2</v>
      </c>
      <c r="H741" t="n">
        <v>0</v>
      </c>
      <c r="I741" t="n">
        <v>0</v>
      </c>
      <c r="J741" t="n">
        <v>0</v>
      </c>
      <c r="K741" t="n">
        <v>0</v>
      </c>
      <c r="L741" t="n">
        <v>0</v>
      </c>
      <c r="M741" t="n">
        <v>0</v>
      </c>
      <c r="N741" t="n">
        <v>0</v>
      </c>
      <c r="O741" t="n">
        <v>0</v>
      </c>
      <c r="P741" t="n">
        <v>0</v>
      </c>
      <c r="Q741" t="n">
        <v>0</v>
      </c>
      <c r="R741" s="2" t="inlineStr"/>
    </row>
    <row r="742" ht="15" customHeight="1">
      <c r="A742" t="inlineStr">
        <is>
          <t>A 19551-2023</t>
        </is>
      </c>
      <c r="B742" s="1" t="n">
        <v>45049</v>
      </c>
      <c r="C742" s="1" t="n">
        <v>46076</v>
      </c>
      <c r="D742" t="inlineStr">
        <is>
          <t>KALMAR LÄN</t>
        </is>
      </c>
      <c r="E742" t="inlineStr">
        <is>
          <t>VÄSTERVIK</t>
        </is>
      </c>
      <c r="G742" t="n">
        <v>3.2</v>
      </c>
      <c r="H742" t="n">
        <v>0</v>
      </c>
      <c r="I742" t="n">
        <v>0</v>
      </c>
      <c r="J742" t="n">
        <v>0</v>
      </c>
      <c r="K742" t="n">
        <v>0</v>
      </c>
      <c r="L742" t="n">
        <v>0</v>
      </c>
      <c r="M742" t="n">
        <v>0</v>
      </c>
      <c r="N742" t="n">
        <v>0</v>
      </c>
      <c r="O742" t="n">
        <v>0</v>
      </c>
      <c r="P742" t="n">
        <v>0</v>
      </c>
      <c r="Q742" t="n">
        <v>0</v>
      </c>
      <c r="R742" s="2" t="inlineStr"/>
    </row>
    <row r="743" ht="15" customHeight="1">
      <c r="A743" t="inlineStr">
        <is>
          <t>A 53885-2025</t>
        </is>
      </c>
      <c r="B743" s="1" t="n">
        <v>45961.40505787037</v>
      </c>
      <c r="C743" s="1" t="n">
        <v>46076</v>
      </c>
      <c r="D743" t="inlineStr">
        <is>
          <t>KALMAR LÄN</t>
        </is>
      </c>
      <c r="E743" t="inlineStr">
        <is>
          <t>VÄSTERVIK</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9042-2023</t>
        </is>
      </c>
      <c r="B744" s="1" t="n">
        <v>44979</v>
      </c>
      <c r="C744" s="1" t="n">
        <v>46076</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51883-2021</t>
        </is>
      </c>
      <c r="B745" s="1" t="n">
        <v>44462.80449074074</v>
      </c>
      <c r="C745" s="1" t="n">
        <v>46076</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51884-2021</t>
        </is>
      </c>
      <c r="B746" s="1" t="n">
        <v>44462.806875</v>
      </c>
      <c r="C746" s="1" t="n">
        <v>46076</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53854-2025</t>
        </is>
      </c>
      <c r="B747" s="1" t="n">
        <v>45961.37491898148</v>
      </c>
      <c r="C747" s="1" t="n">
        <v>46076</v>
      </c>
      <c r="D747" t="inlineStr">
        <is>
          <t>KALMAR LÄN</t>
        </is>
      </c>
      <c r="E747" t="inlineStr">
        <is>
          <t>VÄSTERVIK</t>
        </is>
      </c>
      <c r="F747" t="inlineStr">
        <is>
          <t>Sveaskog</t>
        </is>
      </c>
      <c r="G747" t="n">
        <v>3.9</v>
      </c>
      <c r="H747" t="n">
        <v>0</v>
      </c>
      <c r="I747" t="n">
        <v>0</v>
      </c>
      <c r="J747" t="n">
        <v>0</v>
      </c>
      <c r="K747" t="n">
        <v>0</v>
      </c>
      <c r="L747" t="n">
        <v>0</v>
      </c>
      <c r="M747" t="n">
        <v>0</v>
      </c>
      <c r="N747" t="n">
        <v>0</v>
      </c>
      <c r="O747" t="n">
        <v>0</v>
      </c>
      <c r="P747" t="n">
        <v>0</v>
      </c>
      <c r="Q747" t="n">
        <v>0</v>
      </c>
      <c r="R747" s="2" t="inlineStr"/>
    </row>
    <row r="748" ht="15" customHeight="1">
      <c r="A748" t="inlineStr">
        <is>
          <t>A 53872-2025</t>
        </is>
      </c>
      <c r="B748" s="1" t="n">
        <v>45961.39266203704</v>
      </c>
      <c r="C748" s="1" t="n">
        <v>46076</v>
      </c>
      <c r="D748" t="inlineStr">
        <is>
          <t>KALMAR LÄN</t>
        </is>
      </c>
      <c r="E748" t="inlineStr">
        <is>
          <t>VÄSTERVIK</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53884-2025</t>
        </is>
      </c>
      <c r="B749" s="1" t="n">
        <v>45961.4030787037</v>
      </c>
      <c r="C749" s="1" t="n">
        <v>46076</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54567-2025</t>
        </is>
      </c>
      <c r="B750" s="1" t="n">
        <v>45965.67274305555</v>
      </c>
      <c r="C750" s="1" t="n">
        <v>46076</v>
      </c>
      <c r="D750" t="inlineStr">
        <is>
          <t>KALMAR LÄN</t>
        </is>
      </c>
      <c r="E750" t="inlineStr">
        <is>
          <t>VÄSTERVIK</t>
        </is>
      </c>
      <c r="G750" t="n">
        <v>5.7</v>
      </c>
      <c r="H750" t="n">
        <v>0</v>
      </c>
      <c r="I750" t="n">
        <v>0</v>
      </c>
      <c r="J750" t="n">
        <v>0</v>
      </c>
      <c r="K750" t="n">
        <v>0</v>
      </c>
      <c r="L750" t="n">
        <v>0</v>
      </c>
      <c r="M750" t="n">
        <v>0</v>
      </c>
      <c r="N750" t="n">
        <v>0</v>
      </c>
      <c r="O750" t="n">
        <v>0</v>
      </c>
      <c r="P750" t="n">
        <v>0</v>
      </c>
      <c r="Q750" t="n">
        <v>0</v>
      </c>
      <c r="R750" s="2" t="inlineStr"/>
    </row>
    <row r="751" ht="15" customHeight="1">
      <c r="A751" t="inlineStr">
        <is>
          <t>A 59202-2022</t>
        </is>
      </c>
      <c r="B751" s="1" t="n">
        <v>44904</v>
      </c>
      <c r="C751" s="1" t="n">
        <v>46076</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54286-2025</t>
        </is>
      </c>
      <c r="B752" s="1" t="n">
        <v>45964.79894675926</v>
      </c>
      <c r="C752" s="1" t="n">
        <v>46076</v>
      </c>
      <c r="D752" t="inlineStr">
        <is>
          <t>KALMAR LÄN</t>
        </is>
      </c>
      <c r="E752" t="inlineStr">
        <is>
          <t>VÄSTERVIK</t>
        </is>
      </c>
      <c r="F752" t="inlineStr">
        <is>
          <t>Holmen skog AB</t>
        </is>
      </c>
      <c r="G752" t="n">
        <v>5.9</v>
      </c>
      <c r="H752" t="n">
        <v>0</v>
      </c>
      <c r="I752" t="n">
        <v>0</v>
      </c>
      <c r="J752" t="n">
        <v>0</v>
      </c>
      <c r="K752" t="n">
        <v>0</v>
      </c>
      <c r="L752" t="n">
        <v>0</v>
      </c>
      <c r="M752" t="n">
        <v>0</v>
      </c>
      <c r="N752" t="n">
        <v>0</v>
      </c>
      <c r="O752" t="n">
        <v>0</v>
      </c>
      <c r="P752" t="n">
        <v>0</v>
      </c>
      <c r="Q752" t="n">
        <v>0</v>
      </c>
      <c r="R752" s="2" t="inlineStr"/>
    </row>
    <row r="753" ht="15" customHeight="1">
      <c r="A753" t="inlineStr">
        <is>
          <t>A 54292-2025</t>
        </is>
      </c>
      <c r="B753" s="1" t="n">
        <v>45964.82712962963</v>
      </c>
      <c r="C753" s="1" t="n">
        <v>46076</v>
      </c>
      <c r="D753" t="inlineStr">
        <is>
          <t>KALMAR LÄN</t>
        </is>
      </c>
      <c r="E753" t="inlineStr">
        <is>
          <t>VÄSTERVIK</t>
        </is>
      </c>
      <c r="F753" t="inlineStr">
        <is>
          <t>Holmen skog AB</t>
        </is>
      </c>
      <c r="G753" t="n">
        <v>3.6</v>
      </c>
      <c r="H753" t="n">
        <v>0</v>
      </c>
      <c r="I753" t="n">
        <v>0</v>
      </c>
      <c r="J753" t="n">
        <v>0</v>
      </c>
      <c r="K753" t="n">
        <v>0</v>
      </c>
      <c r="L753" t="n">
        <v>0</v>
      </c>
      <c r="M753" t="n">
        <v>0</v>
      </c>
      <c r="N753" t="n">
        <v>0</v>
      </c>
      <c r="O753" t="n">
        <v>0</v>
      </c>
      <c r="P753" t="n">
        <v>0</v>
      </c>
      <c r="Q753" t="n">
        <v>0</v>
      </c>
      <c r="R753" s="2" t="inlineStr"/>
    </row>
    <row r="754" ht="15" customHeight="1">
      <c r="A754" t="inlineStr">
        <is>
          <t>A 14105-2025</t>
        </is>
      </c>
      <c r="B754" s="1" t="n">
        <v>45740.45425925926</v>
      </c>
      <c r="C754" s="1" t="n">
        <v>46076</v>
      </c>
      <c r="D754" t="inlineStr">
        <is>
          <t>KALMAR LÄN</t>
        </is>
      </c>
      <c r="E754" t="inlineStr">
        <is>
          <t>VÄSTERVIK</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14109-2025</t>
        </is>
      </c>
      <c r="B755" s="1" t="n">
        <v>45740.45748842593</v>
      </c>
      <c r="C755" s="1" t="n">
        <v>46076</v>
      </c>
      <c r="D755" t="inlineStr">
        <is>
          <t>KALMAR LÄN</t>
        </is>
      </c>
      <c r="E755" t="inlineStr">
        <is>
          <t>VÄSTERVIK</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54290-2025</t>
        </is>
      </c>
      <c r="B756" s="1" t="n">
        <v>45964.81896990741</v>
      </c>
      <c r="C756" s="1" t="n">
        <v>46076</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36400-2024</t>
        </is>
      </c>
      <c r="B757" s="1" t="n">
        <v>45535.67180555555</v>
      </c>
      <c r="C757" s="1" t="n">
        <v>46076</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row>
    <row r="758" ht="15" customHeight="1">
      <c r="A758" t="inlineStr">
        <is>
          <t>A 2866-2025</t>
        </is>
      </c>
      <c r="B758" s="1" t="n">
        <v>45677.67711805556</v>
      </c>
      <c r="C758" s="1" t="n">
        <v>46076</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54577-2025</t>
        </is>
      </c>
      <c r="B759" s="1" t="n">
        <v>45965.6815162037</v>
      </c>
      <c r="C759" s="1" t="n">
        <v>46076</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12386-2025</t>
        </is>
      </c>
      <c r="B760" s="1" t="n">
        <v>45730</v>
      </c>
      <c r="C760" s="1" t="n">
        <v>46076</v>
      </c>
      <c r="D760" t="inlineStr">
        <is>
          <t>KALMAR LÄN</t>
        </is>
      </c>
      <c r="E760" t="inlineStr">
        <is>
          <t>VÄSTERVIK</t>
        </is>
      </c>
      <c r="G760" t="n">
        <v>4.4</v>
      </c>
      <c r="H760" t="n">
        <v>0</v>
      </c>
      <c r="I760" t="n">
        <v>0</v>
      </c>
      <c r="J760" t="n">
        <v>0</v>
      </c>
      <c r="K760" t="n">
        <v>0</v>
      </c>
      <c r="L760" t="n">
        <v>0</v>
      </c>
      <c r="M760" t="n">
        <v>0</v>
      </c>
      <c r="N760" t="n">
        <v>0</v>
      </c>
      <c r="O760" t="n">
        <v>0</v>
      </c>
      <c r="P760" t="n">
        <v>0</v>
      </c>
      <c r="Q760" t="n">
        <v>0</v>
      </c>
      <c r="R760" s="2" t="inlineStr"/>
    </row>
    <row r="761" ht="15" customHeight="1">
      <c r="A761" t="inlineStr">
        <is>
          <t>A 5234-2024</t>
        </is>
      </c>
      <c r="B761" s="1" t="n">
        <v>45330.80729166666</v>
      </c>
      <c r="C761" s="1" t="n">
        <v>46076</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48446-2024</t>
        </is>
      </c>
      <c r="B762" s="1" t="n">
        <v>45590.69163194444</v>
      </c>
      <c r="C762" s="1" t="n">
        <v>46076</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38174-2023</t>
        </is>
      </c>
      <c r="B763" s="1" t="n">
        <v>45161</v>
      </c>
      <c r="C763" s="1" t="n">
        <v>46076</v>
      </c>
      <c r="D763" t="inlineStr">
        <is>
          <t>KALMAR LÄN</t>
        </is>
      </c>
      <c r="E763" t="inlineStr">
        <is>
          <t>VÄSTERVIK</t>
        </is>
      </c>
      <c r="G763" t="n">
        <v>3.4</v>
      </c>
      <c r="H763" t="n">
        <v>0</v>
      </c>
      <c r="I763" t="n">
        <v>0</v>
      </c>
      <c r="J763" t="n">
        <v>0</v>
      </c>
      <c r="K763" t="n">
        <v>0</v>
      </c>
      <c r="L763" t="n">
        <v>0</v>
      </c>
      <c r="M763" t="n">
        <v>0</v>
      </c>
      <c r="N763" t="n">
        <v>0</v>
      </c>
      <c r="O763" t="n">
        <v>0</v>
      </c>
      <c r="P763" t="n">
        <v>0</v>
      </c>
      <c r="Q763" t="n">
        <v>0</v>
      </c>
      <c r="R763" s="2" t="inlineStr"/>
    </row>
    <row r="764" ht="15" customHeight="1">
      <c r="A764" t="inlineStr">
        <is>
          <t>A 17214-2024</t>
        </is>
      </c>
      <c r="B764" s="1" t="n">
        <v>45414</v>
      </c>
      <c r="C764" s="1" t="n">
        <v>46076</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2543-2024</t>
        </is>
      </c>
      <c r="B765" s="1" t="n">
        <v>45313</v>
      </c>
      <c r="C765" s="1" t="n">
        <v>46076</v>
      </c>
      <c r="D765" t="inlineStr">
        <is>
          <t>KALMAR LÄN</t>
        </is>
      </c>
      <c r="E765" t="inlineStr">
        <is>
          <t>VÄSTERVIK</t>
        </is>
      </c>
      <c r="G765" t="n">
        <v>1.4</v>
      </c>
      <c r="H765" t="n">
        <v>0</v>
      </c>
      <c r="I765" t="n">
        <v>0</v>
      </c>
      <c r="J765" t="n">
        <v>0</v>
      </c>
      <c r="K765" t="n">
        <v>0</v>
      </c>
      <c r="L765" t="n">
        <v>0</v>
      </c>
      <c r="M765" t="n">
        <v>0</v>
      </c>
      <c r="N765" t="n">
        <v>0</v>
      </c>
      <c r="O765" t="n">
        <v>0</v>
      </c>
      <c r="P765" t="n">
        <v>0</v>
      </c>
      <c r="Q765" t="n">
        <v>0</v>
      </c>
      <c r="R765" s="2" t="inlineStr"/>
    </row>
    <row r="766" ht="15" customHeight="1">
      <c r="A766" t="inlineStr">
        <is>
          <t>A 60685-2024</t>
        </is>
      </c>
      <c r="B766" s="1" t="n">
        <v>45644.46804398148</v>
      </c>
      <c r="C766" s="1" t="n">
        <v>46076</v>
      </c>
      <c r="D766" t="inlineStr">
        <is>
          <t>KALMAR LÄN</t>
        </is>
      </c>
      <c r="E766" t="inlineStr">
        <is>
          <t>VÄSTERVIK</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55489-2025</t>
        </is>
      </c>
      <c r="B767" s="1" t="n">
        <v>45971</v>
      </c>
      <c r="C767" s="1" t="n">
        <v>46076</v>
      </c>
      <c r="D767" t="inlineStr">
        <is>
          <t>KALMAR LÄN</t>
        </is>
      </c>
      <c r="E767" t="inlineStr">
        <is>
          <t>VÄSTERVIK</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9220-2023</t>
        </is>
      </c>
      <c r="B768" s="1" t="n">
        <v>44980.52182870371</v>
      </c>
      <c r="C768" s="1" t="n">
        <v>46076</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52155-2021</t>
        </is>
      </c>
      <c r="B769" s="1" t="n">
        <v>44463</v>
      </c>
      <c r="C769" s="1" t="n">
        <v>46076</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55152-2025</t>
        </is>
      </c>
      <c r="B770" s="1" t="n">
        <v>45968.4571412037</v>
      </c>
      <c r="C770" s="1" t="n">
        <v>46076</v>
      </c>
      <c r="D770" t="inlineStr">
        <is>
          <t>KALMAR LÄN</t>
        </is>
      </c>
      <c r="E770" t="inlineStr">
        <is>
          <t>VÄSTERVIK</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55184-2025</t>
        </is>
      </c>
      <c r="B771" s="1" t="n">
        <v>45968.53612268518</v>
      </c>
      <c r="C771" s="1" t="n">
        <v>46076</v>
      </c>
      <c r="D771" t="inlineStr">
        <is>
          <t>KALMAR LÄN</t>
        </is>
      </c>
      <c r="E771" t="inlineStr">
        <is>
          <t>VÄSTERVIK</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46076</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39983-2024</t>
        </is>
      </c>
      <c r="B773" s="1" t="n">
        <v>45553.61674768518</v>
      </c>
      <c r="C773" s="1" t="n">
        <v>46076</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5060-2025</t>
        </is>
      </c>
      <c r="B774" s="1" t="n">
        <v>45691.47354166667</v>
      </c>
      <c r="C774" s="1" t="n">
        <v>46076</v>
      </c>
      <c r="D774" t="inlineStr">
        <is>
          <t>KALMAR LÄN</t>
        </is>
      </c>
      <c r="E774" t="inlineStr">
        <is>
          <t>VÄSTERVIK</t>
        </is>
      </c>
      <c r="F774" t="inlineStr">
        <is>
          <t>Holmen skog AB</t>
        </is>
      </c>
      <c r="G774" t="n">
        <v>2.9</v>
      </c>
      <c r="H774" t="n">
        <v>0</v>
      </c>
      <c r="I774" t="n">
        <v>0</v>
      </c>
      <c r="J774" t="n">
        <v>0</v>
      </c>
      <c r="K774" t="n">
        <v>0</v>
      </c>
      <c r="L774" t="n">
        <v>0</v>
      </c>
      <c r="M774" t="n">
        <v>0</v>
      </c>
      <c r="N774" t="n">
        <v>0</v>
      </c>
      <c r="O774" t="n">
        <v>0</v>
      </c>
      <c r="P774" t="n">
        <v>0</v>
      </c>
      <c r="Q774" t="n">
        <v>0</v>
      </c>
      <c r="R774" s="2" t="inlineStr"/>
    </row>
    <row r="775" ht="15" customHeight="1">
      <c r="A775" t="inlineStr">
        <is>
          <t>A 55737-2025</t>
        </is>
      </c>
      <c r="B775" s="1" t="n">
        <v>45972.56077546296</v>
      </c>
      <c r="C775" s="1" t="n">
        <v>46076</v>
      </c>
      <c r="D775" t="inlineStr">
        <is>
          <t>KALMAR LÄN</t>
        </is>
      </c>
      <c r="E775" t="inlineStr">
        <is>
          <t>VÄSTERVIK</t>
        </is>
      </c>
      <c r="G775" t="n">
        <v>3.7</v>
      </c>
      <c r="H775" t="n">
        <v>0</v>
      </c>
      <c r="I775" t="n">
        <v>0</v>
      </c>
      <c r="J775" t="n">
        <v>0</v>
      </c>
      <c r="K775" t="n">
        <v>0</v>
      </c>
      <c r="L775" t="n">
        <v>0</v>
      </c>
      <c r="M775" t="n">
        <v>0</v>
      </c>
      <c r="N775" t="n">
        <v>0</v>
      </c>
      <c r="O775" t="n">
        <v>0</v>
      </c>
      <c r="P775" t="n">
        <v>0</v>
      </c>
      <c r="Q775" t="n">
        <v>0</v>
      </c>
      <c r="R775" s="2" t="inlineStr"/>
    </row>
    <row r="776" ht="15" customHeight="1">
      <c r="A776" t="inlineStr">
        <is>
          <t>A 50086-2023</t>
        </is>
      </c>
      <c r="B776" s="1" t="n">
        <v>45215.59601851852</v>
      </c>
      <c r="C776" s="1" t="n">
        <v>46076</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2357-2025</t>
        </is>
      </c>
      <c r="B777" s="1" t="n">
        <v>45673.68859953704</v>
      </c>
      <c r="C777" s="1" t="n">
        <v>46076</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4583-2023</t>
        </is>
      </c>
      <c r="B778" s="1" t="n">
        <v>44956</v>
      </c>
      <c r="C778" s="1" t="n">
        <v>46076</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16692-2025</t>
        </is>
      </c>
      <c r="B779" s="1" t="n">
        <v>45754.4621412037</v>
      </c>
      <c r="C779" s="1" t="n">
        <v>46076</v>
      </c>
      <c r="D779" t="inlineStr">
        <is>
          <t>KALMAR LÄN</t>
        </is>
      </c>
      <c r="E779" t="inlineStr">
        <is>
          <t>VÄSTERVIK</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57171-2025</t>
        </is>
      </c>
      <c r="B780" s="1" t="n">
        <v>45979.54754629629</v>
      </c>
      <c r="C780" s="1" t="n">
        <v>46076</v>
      </c>
      <c r="D780" t="inlineStr">
        <is>
          <t>KALMAR LÄN</t>
        </is>
      </c>
      <c r="E780" t="inlineStr">
        <is>
          <t>VÄSTERVIK</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56857-2025</t>
        </is>
      </c>
      <c r="B781" s="1" t="n">
        <v>45978.49924768518</v>
      </c>
      <c r="C781" s="1" t="n">
        <v>46076</v>
      </c>
      <c r="D781" t="inlineStr">
        <is>
          <t>KALMAR LÄN</t>
        </is>
      </c>
      <c r="E781" t="inlineStr">
        <is>
          <t>VÄSTERVIK</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56967-2025</t>
        </is>
      </c>
      <c r="B782" s="1" t="n">
        <v>45978.67582175926</v>
      </c>
      <c r="C782" s="1" t="n">
        <v>46076</v>
      </c>
      <c r="D782" t="inlineStr">
        <is>
          <t>KALMAR LÄN</t>
        </is>
      </c>
      <c r="E782" t="inlineStr">
        <is>
          <t>VÄSTERVIK</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56972-2025</t>
        </is>
      </c>
      <c r="B783" s="1" t="n">
        <v>45978.68155092592</v>
      </c>
      <c r="C783" s="1" t="n">
        <v>46076</v>
      </c>
      <c r="D783" t="inlineStr">
        <is>
          <t>KALMAR LÄN</t>
        </is>
      </c>
      <c r="E783" t="inlineStr">
        <is>
          <t>VÄSTERVIK</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57688-2024</t>
        </is>
      </c>
      <c r="B784" s="1" t="n">
        <v>45630.65180555556</v>
      </c>
      <c r="C784" s="1" t="n">
        <v>46076</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56979-2025</t>
        </is>
      </c>
      <c r="B785" s="1" t="n">
        <v>45978.69274305556</v>
      </c>
      <c r="C785" s="1" t="n">
        <v>46076</v>
      </c>
      <c r="D785" t="inlineStr">
        <is>
          <t>KALMAR LÄN</t>
        </is>
      </c>
      <c r="E785" t="inlineStr">
        <is>
          <t>VÄSTERVIK</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51510-2024</t>
        </is>
      </c>
      <c r="B786" s="1" t="n">
        <v>45604.55837962963</v>
      </c>
      <c r="C786" s="1" t="n">
        <v>46076</v>
      </c>
      <c r="D786" t="inlineStr">
        <is>
          <t>KALMAR LÄN</t>
        </is>
      </c>
      <c r="E786" t="inlineStr">
        <is>
          <t>VÄSTERVIK</t>
        </is>
      </c>
      <c r="F786" t="inlineStr">
        <is>
          <t>Övriga Aktiebolag</t>
        </is>
      </c>
      <c r="G786" t="n">
        <v>1.5</v>
      </c>
      <c r="H786" t="n">
        <v>0</v>
      </c>
      <c r="I786" t="n">
        <v>0</v>
      </c>
      <c r="J786" t="n">
        <v>0</v>
      </c>
      <c r="K786" t="n">
        <v>0</v>
      </c>
      <c r="L786" t="n">
        <v>0</v>
      </c>
      <c r="M786" t="n">
        <v>0</v>
      </c>
      <c r="N786" t="n">
        <v>0</v>
      </c>
      <c r="O786" t="n">
        <v>0</v>
      </c>
      <c r="P786" t="n">
        <v>0</v>
      </c>
      <c r="Q786" t="n">
        <v>0</v>
      </c>
      <c r="R786" s="2" t="inlineStr"/>
    </row>
    <row r="787" ht="15" customHeight="1">
      <c r="A787" t="inlineStr">
        <is>
          <t>A 8440-2023</t>
        </is>
      </c>
      <c r="B787" s="1" t="n">
        <v>44977.46979166667</v>
      </c>
      <c r="C787" s="1" t="n">
        <v>46076</v>
      </c>
      <c r="D787" t="inlineStr">
        <is>
          <t>KALMAR LÄN</t>
        </is>
      </c>
      <c r="E787" t="inlineStr">
        <is>
          <t>VÄSTERVIK</t>
        </is>
      </c>
      <c r="G787" t="n">
        <v>5.5</v>
      </c>
      <c r="H787" t="n">
        <v>0</v>
      </c>
      <c r="I787" t="n">
        <v>0</v>
      </c>
      <c r="J787" t="n">
        <v>0</v>
      </c>
      <c r="K787" t="n">
        <v>0</v>
      </c>
      <c r="L787" t="n">
        <v>0</v>
      </c>
      <c r="M787" t="n">
        <v>0</v>
      </c>
      <c r="N787" t="n">
        <v>0</v>
      </c>
      <c r="O787" t="n">
        <v>0</v>
      </c>
      <c r="P787" t="n">
        <v>0</v>
      </c>
      <c r="Q787" t="n">
        <v>0</v>
      </c>
      <c r="R787" s="2" t="inlineStr"/>
    </row>
    <row r="788" ht="15" customHeight="1">
      <c r="A788" t="inlineStr">
        <is>
          <t>A 50127-2023</t>
        </is>
      </c>
      <c r="B788" s="1" t="n">
        <v>45215.65043981482</v>
      </c>
      <c r="C788" s="1" t="n">
        <v>46076</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10808-2025</t>
        </is>
      </c>
      <c r="B789" s="1" t="n">
        <v>45722.53427083333</v>
      </c>
      <c r="C789" s="1" t="n">
        <v>46076</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12652-2022</t>
        </is>
      </c>
      <c r="B790" s="1" t="n">
        <v>44641</v>
      </c>
      <c r="C790" s="1" t="n">
        <v>46076</v>
      </c>
      <c r="D790" t="inlineStr">
        <is>
          <t>KALMAR LÄN</t>
        </is>
      </c>
      <c r="E790" t="inlineStr">
        <is>
          <t>VÄSTERVIK</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55289-2023</t>
        </is>
      </c>
      <c r="B791" s="1" t="n">
        <v>45237.76106481482</v>
      </c>
      <c r="C791" s="1" t="n">
        <v>46076</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40050-2022</t>
        </is>
      </c>
      <c r="B792" s="1" t="n">
        <v>44820.44106481481</v>
      </c>
      <c r="C792" s="1" t="n">
        <v>46076</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34672-2022</t>
        </is>
      </c>
      <c r="B793" s="1" t="n">
        <v>44795.48444444445</v>
      </c>
      <c r="C793" s="1" t="n">
        <v>46076</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46561-2022</t>
        </is>
      </c>
      <c r="B794" s="1" t="n">
        <v>44848</v>
      </c>
      <c r="C794" s="1" t="n">
        <v>46076</v>
      </c>
      <c r="D794" t="inlineStr">
        <is>
          <t>KALMAR LÄN</t>
        </is>
      </c>
      <c r="E794" t="inlineStr">
        <is>
          <t>VÄSTERVIK</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4520-2024</t>
        </is>
      </c>
      <c r="B795" s="1" t="n">
        <v>45327</v>
      </c>
      <c r="C795" s="1" t="n">
        <v>46076</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35960-2023</t>
        </is>
      </c>
      <c r="B796" s="1" t="n">
        <v>45148.84990740741</v>
      </c>
      <c r="C796" s="1" t="n">
        <v>46076</v>
      </c>
      <c r="D796" t="inlineStr">
        <is>
          <t>KALMAR LÄN</t>
        </is>
      </c>
      <c r="E796" t="inlineStr">
        <is>
          <t>VÄSTERVIK</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57452-2025</t>
        </is>
      </c>
      <c r="B797" s="1" t="n">
        <v>45980.50665509259</v>
      </c>
      <c r="C797" s="1" t="n">
        <v>46076</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58170-2025</t>
        </is>
      </c>
      <c r="B798" s="1" t="n">
        <v>45982</v>
      </c>
      <c r="C798" s="1" t="n">
        <v>46076</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58360-2025</t>
        </is>
      </c>
      <c r="B799" s="1" t="n">
        <v>45985.51743055556</v>
      </c>
      <c r="C799" s="1" t="n">
        <v>46076</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58370-2025</t>
        </is>
      </c>
      <c r="B800" s="1" t="n">
        <v>45985.53002314815</v>
      </c>
      <c r="C800" s="1" t="n">
        <v>46076</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7090-2024</t>
        </is>
      </c>
      <c r="B801" s="1" t="n">
        <v>45343.80621527778</v>
      </c>
      <c r="C801" s="1" t="n">
        <v>46076</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58096-2025</t>
        </is>
      </c>
      <c r="B802" s="1" t="n">
        <v>45982.5784375</v>
      </c>
      <c r="C802" s="1" t="n">
        <v>46076</v>
      </c>
      <c r="D802" t="inlineStr">
        <is>
          <t>KALMAR LÄN</t>
        </is>
      </c>
      <c r="E802" t="inlineStr">
        <is>
          <t>VÄSTERVIK</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58118-2025</t>
        </is>
      </c>
      <c r="B803" s="1" t="n">
        <v>45982.60695601852</v>
      </c>
      <c r="C803" s="1" t="n">
        <v>46076</v>
      </c>
      <c r="D803" t="inlineStr">
        <is>
          <t>KALMAR LÄN</t>
        </is>
      </c>
      <c r="E803" t="inlineStr">
        <is>
          <t>VÄSTERVIK</t>
        </is>
      </c>
      <c r="F803" t="inlineStr">
        <is>
          <t>Holmen skog AB</t>
        </is>
      </c>
      <c r="G803" t="n">
        <v>6.7</v>
      </c>
      <c r="H803" t="n">
        <v>0</v>
      </c>
      <c r="I803" t="n">
        <v>0</v>
      </c>
      <c r="J803" t="n">
        <v>0</v>
      </c>
      <c r="K803" t="n">
        <v>0</v>
      </c>
      <c r="L803" t="n">
        <v>0</v>
      </c>
      <c r="M803" t="n">
        <v>0</v>
      </c>
      <c r="N803" t="n">
        <v>0</v>
      </c>
      <c r="O803" t="n">
        <v>0</v>
      </c>
      <c r="P803" t="n">
        <v>0</v>
      </c>
      <c r="Q803" t="n">
        <v>0</v>
      </c>
      <c r="R803" s="2" t="inlineStr"/>
    </row>
    <row r="804" ht="15" customHeight="1">
      <c r="A804" t="inlineStr">
        <is>
          <t>A 40977-2023</t>
        </is>
      </c>
      <c r="B804" s="1" t="n">
        <v>45173</v>
      </c>
      <c r="C804" s="1" t="n">
        <v>46076</v>
      </c>
      <c r="D804" t="inlineStr">
        <is>
          <t>KALMAR LÄN</t>
        </is>
      </c>
      <c r="E804" t="inlineStr">
        <is>
          <t>VÄSTERVIK</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58349-2025</t>
        </is>
      </c>
      <c r="B805" s="1" t="n">
        <v>45985.50574074074</v>
      </c>
      <c r="C805" s="1" t="n">
        <v>46076</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58367-2025</t>
        </is>
      </c>
      <c r="B806" s="1" t="n">
        <v>45985.52637731482</v>
      </c>
      <c r="C806" s="1" t="n">
        <v>46076</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58377-2025</t>
        </is>
      </c>
      <c r="B807" s="1" t="n">
        <v>45985.53223379629</v>
      </c>
      <c r="C807" s="1" t="n">
        <v>46076</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58338-2025</t>
        </is>
      </c>
      <c r="B808" s="1" t="n">
        <v>45985.48965277777</v>
      </c>
      <c r="C808" s="1" t="n">
        <v>46076</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46076</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61448-2023</t>
        </is>
      </c>
      <c r="B810" s="1" t="n">
        <v>45264.81439814815</v>
      </c>
      <c r="C810" s="1" t="n">
        <v>46076</v>
      </c>
      <c r="D810" t="inlineStr">
        <is>
          <t>KALMAR LÄN</t>
        </is>
      </c>
      <c r="E810" t="inlineStr">
        <is>
          <t>VÄSTERVIK</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61449-2023</t>
        </is>
      </c>
      <c r="B811" s="1" t="n">
        <v>45264.81490740741</v>
      </c>
      <c r="C811" s="1" t="n">
        <v>46076</v>
      </c>
      <c r="D811" t="inlineStr">
        <is>
          <t>KALMAR LÄN</t>
        </is>
      </c>
      <c r="E811" t="inlineStr">
        <is>
          <t>VÄSTERVIK</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46076</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55358-2024</t>
        </is>
      </c>
      <c r="B813" s="1" t="n">
        <v>45621.82039351852</v>
      </c>
      <c r="C813" s="1" t="n">
        <v>46076</v>
      </c>
      <c r="D813" t="inlineStr">
        <is>
          <t>KALMAR LÄN</t>
        </is>
      </c>
      <c r="E813" t="inlineStr">
        <is>
          <t>VÄSTERVIK</t>
        </is>
      </c>
      <c r="F813" t="inlineStr">
        <is>
          <t>Sveaskog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58778-2025</t>
        </is>
      </c>
      <c r="B814" s="1" t="n">
        <v>45986.70459490741</v>
      </c>
      <c r="C814" s="1" t="n">
        <v>46076</v>
      </c>
      <c r="D814" t="inlineStr">
        <is>
          <t>KALMAR LÄN</t>
        </is>
      </c>
      <c r="E814" t="inlineStr">
        <is>
          <t>VÄSTERVIK</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58677-2025</t>
        </is>
      </c>
      <c r="B815" s="1" t="n">
        <v>45986.56268518518</v>
      </c>
      <c r="C815" s="1" t="n">
        <v>46076</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11167-2024</t>
        </is>
      </c>
      <c r="B816" s="1" t="n">
        <v>45371.4966087963</v>
      </c>
      <c r="C816" s="1" t="n">
        <v>46076</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46076</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1699-2023</t>
        </is>
      </c>
      <c r="B818" s="1" t="n">
        <v>44935</v>
      </c>
      <c r="C818" s="1" t="n">
        <v>46076</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59216-2025</t>
        </is>
      </c>
      <c r="B819" s="1" t="n">
        <v>45988.61649305555</v>
      </c>
      <c r="C819" s="1" t="n">
        <v>46076</v>
      </c>
      <c r="D819" t="inlineStr">
        <is>
          <t>KALMAR LÄN</t>
        </is>
      </c>
      <c r="E819" t="inlineStr">
        <is>
          <t>VÄSTERVIK</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7883-2025</t>
        </is>
      </c>
      <c r="B820" s="1" t="n">
        <v>45706.8156712963</v>
      </c>
      <c r="C820" s="1" t="n">
        <v>46076</v>
      </c>
      <c r="D820" t="inlineStr">
        <is>
          <t>KALMAR LÄN</t>
        </is>
      </c>
      <c r="E820" t="inlineStr">
        <is>
          <t>VÄSTERVIK</t>
        </is>
      </c>
      <c r="G820" t="n">
        <v>0.2</v>
      </c>
      <c r="H820" t="n">
        <v>0</v>
      </c>
      <c r="I820" t="n">
        <v>0</v>
      </c>
      <c r="J820" t="n">
        <v>0</v>
      </c>
      <c r="K820" t="n">
        <v>0</v>
      </c>
      <c r="L820" t="n">
        <v>0</v>
      </c>
      <c r="M820" t="n">
        <v>0</v>
      </c>
      <c r="N820" t="n">
        <v>0</v>
      </c>
      <c r="O820" t="n">
        <v>0</v>
      </c>
      <c r="P820" t="n">
        <v>0</v>
      </c>
      <c r="Q820" t="n">
        <v>0</v>
      </c>
      <c r="R820" s="2" t="inlineStr"/>
    </row>
    <row r="821" ht="15" customHeight="1">
      <c r="A821" t="inlineStr">
        <is>
          <t>A 934-2024</t>
        </is>
      </c>
      <c r="B821" s="1" t="n">
        <v>45301.51439814815</v>
      </c>
      <c r="C821" s="1" t="n">
        <v>46076</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936-2024</t>
        </is>
      </c>
      <c r="B822" s="1" t="n">
        <v>45301.51950231481</v>
      </c>
      <c r="C822" s="1" t="n">
        <v>46076</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59189-2025</t>
        </is>
      </c>
      <c r="B823" s="1" t="n">
        <v>45988.5893287037</v>
      </c>
      <c r="C823" s="1" t="n">
        <v>46076</v>
      </c>
      <c r="D823" t="inlineStr">
        <is>
          <t>KALMAR LÄN</t>
        </is>
      </c>
      <c r="E823" t="inlineStr">
        <is>
          <t>VÄSTERVIK</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59187-2025</t>
        </is>
      </c>
      <c r="B824" s="1" t="n">
        <v>45988.58630787037</v>
      </c>
      <c r="C824" s="1" t="n">
        <v>46076</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59045-2025</t>
        </is>
      </c>
      <c r="B825" s="1" t="n">
        <v>45988.37289351852</v>
      </c>
      <c r="C825" s="1" t="n">
        <v>46076</v>
      </c>
      <c r="D825" t="inlineStr">
        <is>
          <t>KALMAR LÄN</t>
        </is>
      </c>
      <c r="E825" t="inlineStr">
        <is>
          <t>VÄSTERVIK</t>
        </is>
      </c>
      <c r="F825" t="inlineStr">
        <is>
          <t>Kyrkan</t>
        </is>
      </c>
      <c r="G825" t="n">
        <v>6.9</v>
      </c>
      <c r="H825" t="n">
        <v>0</v>
      </c>
      <c r="I825" t="n">
        <v>0</v>
      </c>
      <c r="J825" t="n">
        <v>0</v>
      </c>
      <c r="K825" t="n">
        <v>0</v>
      </c>
      <c r="L825" t="n">
        <v>0</v>
      </c>
      <c r="M825" t="n">
        <v>0</v>
      </c>
      <c r="N825" t="n">
        <v>0</v>
      </c>
      <c r="O825" t="n">
        <v>0</v>
      </c>
      <c r="P825" t="n">
        <v>0</v>
      </c>
      <c r="Q825" t="n">
        <v>0</v>
      </c>
      <c r="R825" s="2" t="inlineStr"/>
    </row>
    <row r="826" ht="15" customHeight="1">
      <c r="A826" t="inlineStr">
        <is>
          <t>A 8619-2024</t>
        </is>
      </c>
      <c r="B826" s="1" t="n">
        <v>45355.73599537037</v>
      </c>
      <c r="C826" s="1" t="n">
        <v>46076</v>
      </c>
      <c r="D826" t="inlineStr">
        <is>
          <t>KALMAR LÄN</t>
        </is>
      </c>
      <c r="E826" t="inlineStr">
        <is>
          <t>VÄSTERVIK</t>
        </is>
      </c>
      <c r="G826" t="n">
        <v>1.6</v>
      </c>
      <c r="H826" t="n">
        <v>0</v>
      </c>
      <c r="I826" t="n">
        <v>0</v>
      </c>
      <c r="J826" t="n">
        <v>0</v>
      </c>
      <c r="K826" t="n">
        <v>0</v>
      </c>
      <c r="L826" t="n">
        <v>0</v>
      </c>
      <c r="M826" t="n">
        <v>0</v>
      </c>
      <c r="N826" t="n">
        <v>0</v>
      </c>
      <c r="O826" t="n">
        <v>0</v>
      </c>
      <c r="P826" t="n">
        <v>0</v>
      </c>
      <c r="Q826" t="n">
        <v>0</v>
      </c>
      <c r="R826" s="2" t="inlineStr"/>
    </row>
    <row r="827" ht="15" customHeight="1">
      <c r="A827" t="inlineStr">
        <is>
          <t>A 4624-2023</t>
        </is>
      </c>
      <c r="B827" s="1" t="n">
        <v>44956</v>
      </c>
      <c r="C827" s="1" t="n">
        <v>46076</v>
      </c>
      <c r="D827" t="inlineStr">
        <is>
          <t>KALMAR LÄN</t>
        </is>
      </c>
      <c r="E827" t="inlineStr">
        <is>
          <t>VÄSTERVIK</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21824-2023</t>
        </is>
      </c>
      <c r="B828" s="1" t="n">
        <v>45068</v>
      </c>
      <c r="C828" s="1" t="n">
        <v>46076</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16691-2025</t>
        </is>
      </c>
      <c r="B829" s="1" t="n">
        <v>45754.46086805555</v>
      </c>
      <c r="C829" s="1" t="n">
        <v>46076</v>
      </c>
      <c r="D829" t="inlineStr">
        <is>
          <t>KALMAR LÄN</t>
        </is>
      </c>
      <c r="E829" t="inlineStr">
        <is>
          <t>VÄSTERVIK</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1488-2026</t>
        </is>
      </c>
      <c r="B830" s="1" t="n">
        <v>46034.26685185185</v>
      </c>
      <c r="C830" s="1" t="n">
        <v>46076</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1489-2026</t>
        </is>
      </c>
      <c r="B831" s="1" t="n">
        <v>46034.26715277778</v>
      </c>
      <c r="C831" s="1" t="n">
        <v>46076</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37986-2023</t>
        </is>
      </c>
      <c r="B832" s="1" t="n">
        <v>45160.60331018519</v>
      </c>
      <c r="C832" s="1" t="n">
        <v>46076</v>
      </c>
      <c r="D832" t="inlineStr">
        <is>
          <t>KALMAR LÄN</t>
        </is>
      </c>
      <c r="E832" t="inlineStr">
        <is>
          <t>VÄSTERVIK</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1873-2026</t>
        </is>
      </c>
      <c r="B833" s="1" t="n">
        <v>46035.46318287037</v>
      </c>
      <c r="C833" s="1" t="n">
        <v>46076</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1872-2026</t>
        </is>
      </c>
      <c r="B834" s="1" t="n">
        <v>46035.46219907407</v>
      </c>
      <c r="C834" s="1" t="n">
        <v>46076</v>
      </c>
      <c r="D834" t="inlineStr">
        <is>
          <t>KALMAR LÄN</t>
        </is>
      </c>
      <c r="E834" t="inlineStr">
        <is>
          <t>VÄSTERVIK</t>
        </is>
      </c>
      <c r="G834" t="n">
        <v>3</v>
      </c>
      <c r="H834" t="n">
        <v>0</v>
      </c>
      <c r="I834" t="n">
        <v>0</v>
      </c>
      <c r="J834" t="n">
        <v>0</v>
      </c>
      <c r="K834" t="n">
        <v>0</v>
      </c>
      <c r="L834" t="n">
        <v>0</v>
      </c>
      <c r="M834" t="n">
        <v>0</v>
      </c>
      <c r="N834" t="n">
        <v>0</v>
      </c>
      <c r="O834" t="n">
        <v>0</v>
      </c>
      <c r="P834" t="n">
        <v>0</v>
      </c>
      <c r="Q834" t="n">
        <v>0</v>
      </c>
      <c r="R834" s="2" t="inlineStr"/>
    </row>
    <row r="835" ht="15" customHeight="1">
      <c r="A835" t="inlineStr">
        <is>
          <t>A 1487-2026</t>
        </is>
      </c>
      <c r="B835" s="1" t="n">
        <v>46034.26645833333</v>
      </c>
      <c r="C835" s="1" t="n">
        <v>46076</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46076</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46076</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1486-2026</t>
        </is>
      </c>
      <c r="B838" s="1" t="n">
        <v>46034.26603009259</v>
      </c>
      <c r="C838" s="1" t="n">
        <v>46076</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53259-2021</t>
        </is>
      </c>
      <c r="B839" s="1" t="n">
        <v>44468.47153935185</v>
      </c>
      <c r="C839" s="1" t="n">
        <v>46076</v>
      </c>
      <c r="D839" t="inlineStr">
        <is>
          <t>KALMAR LÄN</t>
        </is>
      </c>
      <c r="E839" t="inlineStr">
        <is>
          <t>VÄSTERVIK</t>
        </is>
      </c>
      <c r="G839" t="n">
        <v>2.8</v>
      </c>
      <c r="H839" t="n">
        <v>0</v>
      </c>
      <c r="I839" t="n">
        <v>0</v>
      </c>
      <c r="J839" t="n">
        <v>0</v>
      </c>
      <c r="K839" t="n">
        <v>0</v>
      </c>
      <c r="L839" t="n">
        <v>0</v>
      </c>
      <c r="M839" t="n">
        <v>0</v>
      </c>
      <c r="N839" t="n">
        <v>0</v>
      </c>
      <c r="O839" t="n">
        <v>0</v>
      </c>
      <c r="P839" t="n">
        <v>0</v>
      </c>
      <c r="Q839" t="n">
        <v>0</v>
      </c>
      <c r="R839" s="2" t="inlineStr"/>
    </row>
    <row r="840" ht="15" customHeight="1">
      <c r="A840" t="inlineStr">
        <is>
          <t>A 53266-2021</t>
        </is>
      </c>
      <c r="B840" s="1" t="n">
        <v>44468.48255787037</v>
      </c>
      <c r="C840" s="1" t="n">
        <v>46076</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1874-2026</t>
        </is>
      </c>
      <c r="B841" s="1" t="n">
        <v>46035.46372685185</v>
      </c>
      <c r="C841" s="1" t="n">
        <v>46076</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60178-2025</t>
        </is>
      </c>
      <c r="B842" s="1" t="n">
        <v>45994.45673611111</v>
      </c>
      <c r="C842" s="1" t="n">
        <v>46076</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36888-2024</t>
        </is>
      </c>
      <c r="B843" s="1" t="n">
        <v>45538</v>
      </c>
      <c r="C843" s="1" t="n">
        <v>46076</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65-2023</t>
        </is>
      </c>
      <c r="B844" s="1" t="n">
        <v>44928.44431712963</v>
      </c>
      <c r="C844" s="1" t="n">
        <v>46076</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2631-2026</t>
        </is>
      </c>
      <c r="B845" s="1" t="n">
        <v>46037.60875</v>
      </c>
      <c r="C845" s="1" t="n">
        <v>46076</v>
      </c>
      <c r="D845" t="inlineStr">
        <is>
          <t>KALMAR LÄN</t>
        </is>
      </c>
      <c r="E845" t="inlineStr">
        <is>
          <t>VÄSTERVIK</t>
        </is>
      </c>
      <c r="G845" t="n">
        <v>2</v>
      </c>
      <c r="H845" t="n">
        <v>0</v>
      </c>
      <c r="I845" t="n">
        <v>0</v>
      </c>
      <c r="J845" t="n">
        <v>0</v>
      </c>
      <c r="K845" t="n">
        <v>0</v>
      </c>
      <c r="L845" t="n">
        <v>0</v>
      </c>
      <c r="M845" t="n">
        <v>0</v>
      </c>
      <c r="N845" t="n">
        <v>0</v>
      </c>
      <c r="O845" t="n">
        <v>0</v>
      </c>
      <c r="P845" t="n">
        <v>0</v>
      </c>
      <c r="Q845" t="n">
        <v>0</v>
      </c>
      <c r="R845" s="2" t="inlineStr"/>
    </row>
    <row r="846" ht="15" customHeight="1">
      <c r="A846" t="inlineStr">
        <is>
          <t>A 60785-2025</t>
        </is>
      </c>
      <c r="B846" s="1" t="n">
        <v>45999.40421296296</v>
      </c>
      <c r="C846" s="1" t="n">
        <v>46076</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23873-2024</t>
        </is>
      </c>
      <c r="B847" s="1" t="n">
        <v>45455</v>
      </c>
      <c r="C847" s="1" t="n">
        <v>46076</v>
      </c>
      <c r="D847" t="inlineStr">
        <is>
          <t>KALMAR LÄN</t>
        </is>
      </c>
      <c r="E847" t="inlineStr">
        <is>
          <t>VÄSTERVIK</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14068-2025</t>
        </is>
      </c>
      <c r="B848" s="1" t="n">
        <v>45740.42127314815</v>
      </c>
      <c r="C848" s="1" t="n">
        <v>46076</v>
      </c>
      <c r="D848" t="inlineStr">
        <is>
          <t>KALMAR LÄN</t>
        </is>
      </c>
      <c r="E848" t="inlineStr">
        <is>
          <t>VÄSTERVIK</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14071-2025</t>
        </is>
      </c>
      <c r="B849" s="1" t="n">
        <v>45740.42738425926</v>
      </c>
      <c r="C849" s="1" t="n">
        <v>46076</v>
      </c>
      <c r="D849" t="inlineStr">
        <is>
          <t>KALMAR LÄN</t>
        </is>
      </c>
      <c r="E849" t="inlineStr">
        <is>
          <t>VÄSTERVIK</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14092-2025</t>
        </is>
      </c>
      <c r="B850" s="1" t="n">
        <v>45740.44686342592</v>
      </c>
      <c r="C850" s="1" t="n">
        <v>46076</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61728-2023</t>
        </is>
      </c>
      <c r="B851" s="1" t="n">
        <v>45265</v>
      </c>
      <c r="C851" s="1" t="n">
        <v>46076</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36725-2024</t>
        </is>
      </c>
      <c r="B852" s="1" t="n">
        <v>45537.90300925926</v>
      </c>
      <c r="C852" s="1" t="n">
        <v>46076</v>
      </c>
      <c r="D852" t="inlineStr">
        <is>
          <t>KALMAR LÄN</t>
        </is>
      </c>
      <c r="E852" t="inlineStr">
        <is>
          <t>VÄSTERVIK</t>
        </is>
      </c>
      <c r="G852" t="n">
        <v>10.1</v>
      </c>
      <c r="H852" t="n">
        <v>0</v>
      </c>
      <c r="I852" t="n">
        <v>0</v>
      </c>
      <c r="J852" t="n">
        <v>0</v>
      </c>
      <c r="K852" t="n">
        <v>0</v>
      </c>
      <c r="L852" t="n">
        <v>0</v>
      </c>
      <c r="M852" t="n">
        <v>0</v>
      </c>
      <c r="N852" t="n">
        <v>0</v>
      </c>
      <c r="O852" t="n">
        <v>0</v>
      </c>
      <c r="P852" t="n">
        <v>0</v>
      </c>
      <c r="Q852" t="n">
        <v>0</v>
      </c>
      <c r="R852" s="2" t="inlineStr"/>
    </row>
    <row r="853" ht="15" customHeight="1">
      <c r="A853" t="inlineStr">
        <is>
          <t>A 55023-2021</t>
        </is>
      </c>
      <c r="B853" s="1" t="n">
        <v>44474</v>
      </c>
      <c r="C853" s="1" t="n">
        <v>46076</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19950-2025</t>
        </is>
      </c>
      <c r="B854" s="1" t="n">
        <v>45771.65724537037</v>
      </c>
      <c r="C854" s="1" t="n">
        <v>46076</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56617-2021</t>
        </is>
      </c>
      <c r="B855" s="1" t="n">
        <v>44480</v>
      </c>
      <c r="C855" s="1" t="n">
        <v>46076</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7255-2023</t>
        </is>
      </c>
      <c r="B856" s="1" t="n">
        <v>44970</v>
      </c>
      <c r="C856" s="1" t="n">
        <v>46076</v>
      </c>
      <c r="D856" t="inlineStr">
        <is>
          <t>KALMAR LÄN</t>
        </is>
      </c>
      <c r="E856" t="inlineStr">
        <is>
          <t>VÄSTERVIK</t>
        </is>
      </c>
      <c r="F856" t="inlineStr">
        <is>
          <t>Naturvårdsverket</t>
        </is>
      </c>
      <c r="G856" t="n">
        <v>0.6</v>
      </c>
      <c r="H856" t="n">
        <v>0</v>
      </c>
      <c r="I856" t="n">
        <v>0</v>
      </c>
      <c r="J856" t="n">
        <v>0</v>
      </c>
      <c r="K856" t="n">
        <v>0</v>
      </c>
      <c r="L856" t="n">
        <v>0</v>
      </c>
      <c r="M856" t="n">
        <v>0</v>
      </c>
      <c r="N856" t="n">
        <v>0</v>
      </c>
      <c r="O856" t="n">
        <v>0</v>
      </c>
      <c r="P856" t="n">
        <v>0</v>
      </c>
      <c r="Q856" t="n">
        <v>0</v>
      </c>
      <c r="R856" s="2" t="inlineStr"/>
      <c r="U856">
        <f>HYPERLINK("https://klasma.github.io/Logging_0883/knärot/A 7255-2023 karta knärot.png", "A 7255-2023")</f>
        <v/>
      </c>
      <c r="V856">
        <f>HYPERLINK("https://klasma.github.io/Logging_0883/klagomål/A 7255-2023 FSC-klagomål.docx", "A 7255-2023")</f>
        <v/>
      </c>
      <c r="W856">
        <f>HYPERLINK("https://klasma.github.io/Logging_0883/klagomålsmail/A 7255-2023 FSC-klagomål mail.docx", "A 7255-2023")</f>
        <v/>
      </c>
      <c r="X856">
        <f>HYPERLINK("https://klasma.github.io/Logging_0883/tillsyn/A 7255-2023 tillsynsbegäran.docx", "A 7255-2023")</f>
        <v/>
      </c>
      <c r="Y856">
        <f>HYPERLINK("https://klasma.github.io/Logging_0883/tillsynsmail/A 7255-2023 tillsynsbegäran mail.docx", "A 7255-2023")</f>
        <v/>
      </c>
    </row>
    <row r="857" ht="15" customHeight="1">
      <c r="A857" t="inlineStr">
        <is>
          <t>A 42746-2024</t>
        </is>
      </c>
      <c r="B857" s="1" t="n">
        <v>45566.48361111111</v>
      </c>
      <c r="C857" s="1" t="n">
        <v>46076</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24829-2022</t>
        </is>
      </c>
      <c r="B858" s="1" t="n">
        <v>44728.45674768519</v>
      </c>
      <c r="C858" s="1" t="n">
        <v>46076</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2098-2023</t>
        </is>
      </c>
      <c r="B859" s="1" t="n">
        <v>44939</v>
      </c>
      <c r="C859" s="1" t="n">
        <v>46076</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3623-2026</t>
        </is>
      </c>
      <c r="B860" s="1" t="n">
        <v>46043</v>
      </c>
      <c r="C860" s="1" t="n">
        <v>46076</v>
      </c>
      <c r="D860" t="inlineStr">
        <is>
          <t>KALMAR LÄN</t>
        </is>
      </c>
      <c r="E860" t="inlineStr">
        <is>
          <t>VÄSTERVIK</t>
        </is>
      </c>
      <c r="G860" t="n">
        <v>3.2</v>
      </c>
      <c r="H860" t="n">
        <v>0</v>
      </c>
      <c r="I860" t="n">
        <v>0</v>
      </c>
      <c r="J860" t="n">
        <v>0</v>
      </c>
      <c r="K860" t="n">
        <v>0</v>
      </c>
      <c r="L860" t="n">
        <v>0</v>
      </c>
      <c r="M860" t="n">
        <v>0</v>
      </c>
      <c r="N860" t="n">
        <v>0</v>
      </c>
      <c r="O860" t="n">
        <v>0</v>
      </c>
      <c r="P860" t="n">
        <v>0</v>
      </c>
      <c r="Q860" t="n">
        <v>0</v>
      </c>
      <c r="R860" s="2" t="inlineStr"/>
    </row>
    <row r="861" ht="15" customHeight="1">
      <c r="A861" t="inlineStr">
        <is>
          <t>A 7381-2025</t>
        </is>
      </c>
      <c r="B861" s="1" t="n">
        <v>45705.32234953704</v>
      </c>
      <c r="C861" s="1" t="n">
        <v>46076</v>
      </c>
      <c r="D861" t="inlineStr">
        <is>
          <t>KALMAR LÄN</t>
        </is>
      </c>
      <c r="E861" t="inlineStr">
        <is>
          <t>VÄSTERVIK</t>
        </is>
      </c>
      <c r="F861" t="inlineStr">
        <is>
          <t>Kyrkan</t>
        </is>
      </c>
      <c r="G861" t="n">
        <v>4.1</v>
      </c>
      <c r="H861" t="n">
        <v>0</v>
      </c>
      <c r="I861" t="n">
        <v>0</v>
      </c>
      <c r="J861" t="n">
        <v>0</v>
      </c>
      <c r="K861" t="n">
        <v>0</v>
      </c>
      <c r="L861" t="n">
        <v>0</v>
      </c>
      <c r="M861" t="n">
        <v>0</v>
      </c>
      <c r="N861" t="n">
        <v>0</v>
      </c>
      <c r="O861" t="n">
        <v>0</v>
      </c>
      <c r="P861" t="n">
        <v>0</v>
      </c>
      <c r="Q861" t="n">
        <v>0</v>
      </c>
      <c r="R861" s="2" t="inlineStr"/>
    </row>
    <row r="862" ht="15" customHeight="1">
      <c r="A862" t="inlineStr">
        <is>
          <t>A 3610-2026</t>
        </is>
      </c>
      <c r="B862" s="1" t="n">
        <v>46042.89953703704</v>
      </c>
      <c r="C862" s="1" t="n">
        <v>46076</v>
      </c>
      <c r="D862" t="inlineStr">
        <is>
          <t>KALMAR LÄN</t>
        </is>
      </c>
      <c r="E862" t="inlineStr">
        <is>
          <t>VÄSTERVIK</t>
        </is>
      </c>
      <c r="G862" t="n">
        <v>9.9</v>
      </c>
      <c r="H862" t="n">
        <v>0</v>
      </c>
      <c r="I862" t="n">
        <v>0</v>
      </c>
      <c r="J862" t="n">
        <v>0</v>
      </c>
      <c r="K862" t="n">
        <v>0</v>
      </c>
      <c r="L862" t="n">
        <v>0</v>
      </c>
      <c r="M862" t="n">
        <v>0</v>
      </c>
      <c r="N862" t="n">
        <v>0</v>
      </c>
      <c r="O862" t="n">
        <v>0</v>
      </c>
      <c r="P862" t="n">
        <v>0</v>
      </c>
      <c r="Q862" t="n">
        <v>0</v>
      </c>
      <c r="R862" s="2" t="inlineStr"/>
    </row>
    <row r="863" ht="15" customHeight="1">
      <c r="A863" t="inlineStr">
        <is>
          <t>A 61542-2025</t>
        </is>
      </c>
      <c r="B863" s="1" t="n">
        <v>46001.76293981481</v>
      </c>
      <c r="C863" s="1" t="n">
        <v>46076</v>
      </c>
      <c r="D863" t="inlineStr">
        <is>
          <t>KALMAR LÄN</t>
        </is>
      </c>
      <c r="E863" t="inlineStr">
        <is>
          <t>VÄSTERVIK</t>
        </is>
      </c>
      <c r="F863" t="inlineStr">
        <is>
          <t>Sveaskog</t>
        </is>
      </c>
      <c r="G863" t="n">
        <v>5.9</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46076</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4192-2026</t>
        </is>
      </c>
      <c r="B865" s="1" t="n">
        <v>46044.69368055555</v>
      </c>
      <c r="C865" s="1" t="n">
        <v>46076</v>
      </c>
      <c r="D865" t="inlineStr">
        <is>
          <t>KALMAR LÄN</t>
        </is>
      </c>
      <c r="E865" t="inlineStr">
        <is>
          <t>VÄSTERVIK</t>
        </is>
      </c>
      <c r="G865" t="n">
        <v>16.6</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46076</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4185-2026</t>
        </is>
      </c>
      <c r="B867" s="1" t="n">
        <v>46044.6917824074</v>
      </c>
      <c r="C867" s="1" t="n">
        <v>46076</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4188-2026</t>
        </is>
      </c>
      <c r="B868" s="1" t="n">
        <v>46044.69266203704</v>
      </c>
      <c r="C868" s="1" t="n">
        <v>46076</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44705-2023</t>
        </is>
      </c>
      <c r="B869" s="1" t="n">
        <v>45190</v>
      </c>
      <c r="C869" s="1" t="n">
        <v>46076</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48035-2024</t>
        </is>
      </c>
      <c r="B870" s="1" t="n">
        <v>45589.49168981481</v>
      </c>
      <c r="C870" s="1" t="n">
        <v>46076</v>
      </c>
      <c r="D870" t="inlineStr">
        <is>
          <t>KALMAR LÄN</t>
        </is>
      </c>
      <c r="E870" t="inlineStr">
        <is>
          <t>VÄSTERVIK</t>
        </is>
      </c>
      <c r="G870" t="n">
        <v>2.1</v>
      </c>
      <c r="H870" t="n">
        <v>0</v>
      </c>
      <c r="I870" t="n">
        <v>0</v>
      </c>
      <c r="J870" t="n">
        <v>0</v>
      </c>
      <c r="K870" t="n">
        <v>0</v>
      </c>
      <c r="L870" t="n">
        <v>0</v>
      </c>
      <c r="M870" t="n">
        <v>0</v>
      </c>
      <c r="N870" t="n">
        <v>0</v>
      </c>
      <c r="O870" t="n">
        <v>0</v>
      </c>
      <c r="P870" t="n">
        <v>0</v>
      </c>
      <c r="Q870" t="n">
        <v>0</v>
      </c>
      <c r="R870" s="2" t="inlineStr"/>
    </row>
    <row r="871" ht="15" customHeight="1">
      <c r="A871" t="inlineStr">
        <is>
          <t>A 4298-2026</t>
        </is>
      </c>
      <c r="B871" s="1" t="n">
        <v>46045.42090277778</v>
      </c>
      <c r="C871" s="1" t="n">
        <v>46076</v>
      </c>
      <c r="D871" t="inlineStr">
        <is>
          <t>KALMAR LÄN</t>
        </is>
      </c>
      <c r="E871" t="inlineStr">
        <is>
          <t>VÄSTERVIK</t>
        </is>
      </c>
      <c r="F871" t="inlineStr">
        <is>
          <t>Övriga Aktiebolag</t>
        </is>
      </c>
      <c r="G871" t="n">
        <v>1.6</v>
      </c>
      <c r="H871" t="n">
        <v>0</v>
      </c>
      <c r="I871" t="n">
        <v>0</v>
      </c>
      <c r="J871" t="n">
        <v>0</v>
      </c>
      <c r="K871" t="n">
        <v>0</v>
      </c>
      <c r="L871" t="n">
        <v>0</v>
      </c>
      <c r="M871" t="n">
        <v>0</v>
      </c>
      <c r="N871" t="n">
        <v>0</v>
      </c>
      <c r="O871" t="n">
        <v>0</v>
      </c>
      <c r="P871" t="n">
        <v>0</v>
      </c>
      <c r="Q871" t="n">
        <v>0</v>
      </c>
      <c r="R871" s="2" t="inlineStr"/>
    </row>
    <row r="872" ht="15" customHeight="1">
      <c r="A872" t="inlineStr">
        <is>
          <t>A 55359-2024</t>
        </is>
      </c>
      <c r="B872" s="1" t="n">
        <v>45621.82230324074</v>
      </c>
      <c r="C872" s="1" t="n">
        <v>46076</v>
      </c>
      <c r="D872" t="inlineStr">
        <is>
          <t>KALMAR LÄN</t>
        </is>
      </c>
      <c r="E872" t="inlineStr">
        <is>
          <t>VÄSTERVIK</t>
        </is>
      </c>
      <c r="F872" t="inlineStr">
        <is>
          <t>Sveaskog</t>
        </is>
      </c>
      <c r="G872" t="n">
        <v>6.8</v>
      </c>
      <c r="H872" t="n">
        <v>0</v>
      </c>
      <c r="I872" t="n">
        <v>0</v>
      </c>
      <c r="J872" t="n">
        <v>0</v>
      </c>
      <c r="K872" t="n">
        <v>0</v>
      </c>
      <c r="L872" t="n">
        <v>0</v>
      </c>
      <c r="M872" t="n">
        <v>0</v>
      </c>
      <c r="N872" t="n">
        <v>0</v>
      </c>
      <c r="O872" t="n">
        <v>0</v>
      </c>
      <c r="P872" t="n">
        <v>0</v>
      </c>
      <c r="Q872" t="n">
        <v>0</v>
      </c>
      <c r="R872" s="2" t="inlineStr"/>
    </row>
    <row r="873" ht="15" customHeight="1">
      <c r="A873" t="inlineStr">
        <is>
          <t>A 10116-2022</t>
        </is>
      </c>
      <c r="B873" s="1" t="n">
        <v>44621</v>
      </c>
      <c r="C873" s="1" t="n">
        <v>46076</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61543-2025</t>
        </is>
      </c>
      <c r="B874" s="1" t="n">
        <v>46001.76518518518</v>
      </c>
      <c r="C874" s="1" t="n">
        <v>46076</v>
      </c>
      <c r="D874" t="inlineStr">
        <is>
          <t>KALMAR LÄN</t>
        </is>
      </c>
      <c r="E874" t="inlineStr">
        <is>
          <t>VÄSTERVIK</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61544-2025</t>
        </is>
      </c>
      <c r="B875" s="1" t="n">
        <v>46001.76704861111</v>
      </c>
      <c r="C875" s="1" t="n">
        <v>46076</v>
      </c>
      <c r="D875" t="inlineStr">
        <is>
          <t>KALMAR LÄN</t>
        </is>
      </c>
      <c r="E875" t="inlineStr">
        <is>
          <t>VÄSTERVIK</t>
        </is>
      </c>
      <c r="F875" t="inlineStr">
        <is>
          <t>Sveaskog</t>
        </is>
      </c>
      <c r="G875" t="n">
        <v>17.8</v>
      </c>
      <c r="H875" t="n">
        <v>0</v>
      </c>
      <c r="I875" t="n">
        <v>0</v>
      </c>
      <c r="J875" t="n">
        <v>0</v>
      </c>
      <c r="K875" t="n">
        <v>0</v>
      </c>
      <c r="L875" t="n">
        <v>0</v>
      </c>
      <c r="M875" t="n">
        <v>0</v>
      </c>
      <c r="N875" t="n">
        <v>0</v>
      </c>
      <c r="O875" t="n">
        <v>0</v>
      </c>
      <c r="P875" t="n">
        <v>0</v>
      </c>
      <c r="Q875" t="n">
        <v>0</v>
      </c>
      <c r="R875" s="2" t="inlineStr"/>
    </row>
    <row r="876" ht="15" customHeight="1">
      <c r="A876" t="inlineStr">
        <is>
          <t>A 4309-2026</t>
        </is>
      </c>
      <c r="B876" s="1" t="n">
        <v>46045.44006944444</v>
      </c>
      <c r="C876" s="1" t="n">
        <v>46076</v>
      </c>
      <c r="D876" t="inlineStr">
        <is>
          <t>KALMAR LÄN</t>
        </is>
      </c>
      <c r="E876" t="inlineStr">
        <is>
          <t>VÄSTERVIK</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4189-2026</t>
        </is>
      </c>
      <c r="B877" s="1" t="n">
        <v>46044.69300925926</v>
      </c>
      <c r="C877" s="1" t="n">
        <v>46076</v>
      </c>
      <c r="D877" t="inlineStr">
        <is>
          <t>KALMAR LÄN</t>
        </is>
      </c>
      <c r="E877" t="inlineStr">
        <is>
          <t>VÄSTERVIK</t>
        </is>
      </c>
      <c r="G877" t="n">
        <v>3.4</v>
      </c>
      <c r="H877" t="n">
        <v>0</v>
      </c>
      <c r="I877" t="n">
        <v>0</v>
      </c>
      <c r="J877" t="n">
        <v>0</v>
      </c>
      <c r="K877" t="n">
        <v>0</v>
      </c>
      <c r="L877" t="n">
        <v>0</v>
      </c>
      <c r="M877" t="n">
        <v>0</v>
      </c>
      <c r="N877" t="n">
        <v>0</v>
      </c>
      <c r="O877" t="n">
        <v>0</v>
      </c>
      <c r="P877" t="n">
        <v>0</v>
      </c>
      <c r="Q877" t="n">
        <v>0</v>
      </c>
      <c r="R877" s="2" t="inlineStr"/>
    </row>
    <row r="878" ht="15" customHeight="1">
      <c r="A878" t="inlineStr">
        <is>
          <t>A 4289-2026</t>
        </is>
      </c>
      <c r="B878" s="1" t="n">
        <v>46045.40174768519</v>
      </c>
      <c r="C878" s="1" t="n">
        <v>46076</v>
      </c>
      <c r="D878" t="inlineStr">
        <is>
          <t>KALMAR LÄN</t>
        </is>
      </c>
      <c r="E878" t="inlineStr">
        <is>
          <t>VÄSTERVIK</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17652-2023</t>
        </is>
      </c>
      <c r="B879" s="1" t="n">
        <v>45036.70626157407</v>
      </c>
      <c r="C879" s="1" t="n">
        <v>46076</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4186-2026</t>
        </is>
      </c>
      <c r="B880" s="1" t="n">
        <v>46044.69216435185</v>
      </c>
      <c r="C880" s="1" t="n">
        <v>46076</v>
      </c>
      <c r="D880" t="inlineStr">
        <is>
          <t>KALMAR LÄN</t>
        </is>
      </c>
      <c r="E880" t="inlineStr">
        <is>
          <t>VÄSTERVIK</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4190-2026</t>
        </is>
      </c>
      <c r="B881" s="1" t="n">
        <v>46044.69321759259</v>
      </c>
      <c r="C881" s="1" t="n">
        <v>46076</v>
      </c>
      <c r="D881" t="inlineStr">
        <is>
          <t>KALMAR LÄN</t>
        </is>
      </c>
      <c r="E881" t="inlineStr">
        <is>
          <t>VÄSTERVIK</t>
        </is>
      </c>
      <c r="G881" t="n">
        <v>10.5</v>
      </c>
      <c r="H881" t="n">
        <v>0</v>
      </c>
      <c r="I881" t="n">
        <v>0</v>
      </c>
      <c r="J881" t="n">
        <v>0</v>
      </c>
      <c r="K881" t="n">
        <v>0</v>
      </c>
      <c r="L881" t="n">
        <v>0</v>
      </c>
      <c r="M881" t="n">
        <v>0</v>
      </c>
      <c r="N881" t="n">
        <v>0</v>
      </c>
      <c r="O881" t="n">
        <v>0</v>
      </c>
      <c r="P881" t="n">
        <v>0</v>
      </c>
      <c r="Q881" t="n">
        <v>0</v>
      </c>
      <c r="R881" s="2" t="inlineStr"/>
    </row>
    <row r="882" ht="15" customHeight="1">
      <c r="A882" t="inlineStr">
        <is>
          <t>A 62921-2023</t>
        </is>
      </c>
      <c r="B882" s="1" t="n">
        <v>45272</v>
      </c>
      <c r="C882" s="1" t="n">
        <v>46076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48753-2025</t>
        </is>
      </c>
      <c r="B883" s="1" t="n">
        <v>45936</v>
      </c>
      <c r="C883" s="1" t="n">
        <v>46076</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c r="U883">
        <f>HYPERLINK("https://klasma.github.io/Logging_0883/knärot/A 48753-2025 karta knärot.png", "A 48753-2025")</f>
        <v/>
      </c>
      <c r="V883">
        <f>HYPERLINK("https://klasma.github.io/Logging_0883/klagomål/A 48753-2025 FSC-klagomål.docx", "A 48753-2025")</f>
        <v/>
      </c>
      <c r="W883">
        <f>HYPERLINK("https://klasma.github.io/Logging_0883/klagomålsmail/A 48753-2025 FSC-klagomål mail.docx", "A 48753-2025")</f>
        <v/>
      </c>
      <c r="X883">
        <f>HYPERLINK("https://klasma.github.io/Logging_0883/tillsyn/A 48753-2025 tillsynsbegäran.docx", "A 48753-2025")</f>
        <v/>
      </c>
      <c r="Y883">
        <f>HYPERLINK("https://klasma.github.io/Logging_0883/tillsynsmail/A 48753-2025 tillsynsbegäran mail.docx", "A 48753-2025")</f>
        <v/>
      </c>
    </row>
    <row r="884" ht="15" customHeight="1">
      <c r="A884" t="inlineStr">
        <is>
          <t>A 2951-2025</t>
        </is>
      </c>
      <c r="B884" s="1" t="n">
        <v>45678</v>
      </c>
      <c r="C884" s="1" t="n">
        <v>46076</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4911-2026</t>
        </is>
      </c>
      <c r="B885" s="1" t="n">
        <v>46048.71017361111</v>
      </c>
      <c r="C885" s="1" t="n">
        <v>46076</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47939-2023</t>
        </is>
      </c>
      <c r="B886" s="1" t="n">
        <v>45204.56195601852</v>
      </c>
      <c r="C886" s="1" t="n">
        <v>46076</v>
      </c>
      <c r="D886" t="inlineStr">
        <is>
          <t>KALMAR LÄN</t>
        </is>
      </c>
      <c r="E886" t="inlineStr">
        <is>
          <t>VÄSTERVIK</t>
        </is>
      </c>
      <c r="G886" t="n">
        <v>3.7</v>
      </c>
      <c r="H886" t="n">
        <v>0</v>
      </c>
      <c r="I886" t="n">
        <v>0</v>
      </c>
      <c r="J886" t="n">
        <v>0</v>
      </c>
      <c r="K886" t="n">
        <v>0</v>
      </c>
      <c r="L886" t="n">
        <v>0</v>
      </c>
      <c r="M886" t="n">
        <v>0</v>
      </c>
      <c r="N886" t="n">
        <v>0</v>
      </c>
      <c r="O886" t="n">
        <v>0</v>
      </c>
      <c r="P886" t="n">
        <v>0</v>
      </c>
      <c r="Q886" t="n">
        <v>0</v>
      </c>
      <c r="R886" s="2" t="inlineStr"/>
    </row>
    <row r="887" ht="15" customHeight="1">
      <c r="A887" t="inlineStr">
        <is>
          <t>A 14055-2025</t>
        </is>
      </c>
      <c r="B887" s="1" t="n">
        <v>45740.39541666667</v>
      </c>
      <c r="C887" s="1" t="n">
        <v>46076</v>
      </c>
      <c r="D887" t="inlineStr">
        <is>
          <t>KALMAR LÄN</t>
        </is>
      </c>
      <c r="E887" t="inlineStr">
        <is>
          <t>VÄSTERVIK</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46718-2023</t>
        </is>
      </c>
      <c r="B888" s="1" t="n">
        <v>45198</v>
      </c>
      <c r="C888" s="1" t="n">
        <v>46076</v>
      </c>
      <c r="D888" t="inlineStr">
        <is>
          <t>KALMAR LÄN</t>
        </is>
      </c>
      <c r="E888" t="inlineStr">
        <is>
          <t>VÄSTERVIK</t>
        </is>
      </c>
      <c r="G888" t="n">
        <v>0.4</v>
      </c>
      <c r="H888" t="n">
        <v>0</v>
      </c>
      <c r="I888" t="n">
        <v>0</v>
      </c>
      <c r="J888" t="n">
        <v>0</v>
      </c>
      <c r="K888" t="n">
        <v>0</v>
      </c>
      <c r="L888" t="n">
        <v>0</v>
      </c>
      <c r="M888" t="n">
        <v>0</v>
      </c>
      <c r="N888" t="n">
        <v>0</v>
      </c>
      <c r="O888" t="n">
        <v>0</v>
      </c>
      <c r="P888" t="n">
        <v>0</v>
      </c>
      <c r="Q888" t="n">
        <v>0</v>
      </c>
      <c r="R888" s="2" t="inlineStr"/>
    </row>
    <row r="889" ht="15" customHeight="1">
      <c r="A889" t="inlineStr">
        <is>
          <t>A 62163-2025</t>
        </is>
      </c>
      <c r="B889" s="1" t="n">
        <v>46006.49480324074</v>
      </c>
      <c r="C889" s="1" t="n">
        <v>46076</v>
      </c>
      <c r="D889" t="inlineStr">
        <is>
          <t>KALMAR LÄN</t>
        </is>
      </c>
      <c r="E889" t="inlineStr">
        <is>
          <t>VÄSTERVIK</t>
        </is>
      </c>
      <c r="G889" t="n">
        <v>3.3</v>
      </c>
      <c r="H889" t="n">
        <v>0</v>
      </c>
      <c r="I889" t="n">
        <v>0</v>
      </c>
      <c r="J889" t="n">
        <v>0</v>
      </c>
      <c r="K889" t="n">
        <v>0</v>
      </c>
      <c r="L889" t="n">
        <v>0</v>
      </c>
      <c r="M889" t="n">
        <v>0</v>
      </c>
      <c r="N889" t="n">
        <v>0</v>
      </c>
      <c r="O889" t="n">
        <v>0</v>
      </c>
      <c r="P889" t="n">
        <v>0</v>
      </c>
      <c r="Q889" t="n">
        <v>0</v>
      </c>
      <c r="R889" s="2" t="inlineStr"/>
    </row>
    <row r="890" ht="15" customHeight="1">
      <c r="A890" t="inlineStr">
        <is>
          <t>A 13748-2024</t>
        </is>
      </c>
      <c r="B890" s="1" t="n">
        <v>45390</v>
      </c>
      <c r="C890" s="1" t="n">
        <v>46076</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1877-2025</t>
        </is>
      </c>
      <c r="B891" s="1" t="n">
        <v>45671.62141203704</v>
      </c>
      <c r="C891" s="1" t="n">
        <v>46076</v>
      </c>
      <c r="D891" t="inlineStr">
        <is>
          <t>KALMAR LÄN</t>
        </is>
      </c>
      <c r="E891" t="inlineStr">
        <is>
          <t>VÄSTERVIK</t>
        </is>
      </c>
      <c r="G891" t="n">
        <v>1.7</v>
      </c>
      <c r="H891" t="n">
        <v>0</v>
      </c>
      <c r="I891" t="n">
        <v>0</v>
      </c>
      <c r="J891" t="n">
        <v>0</v>
      </c>
      <c r="K891" t="n">
        <v>0</v>
      </c>
      <c r="L891" t="n">
        <v>0</v>
      </c>
      <c r="M891" t="n">
        <v>0</v>
      </c>
      <c r="N891" t="n">
        <v>0</v>
      </c>
      <c r="O891" t="n">
        <v>0</v>
      </c>
      <c r="P891" t="n">
        <v>0</v>
      </c>
      <c r="Q891" t="n">
        <v>0</v>
      </c>
      <c r="R891" s="2" t="inlineStr"/>
    </row>
    <row r="892" ht="15" customHeight="1">
      <c r="A892" t="inlineStr">
        <is>
          <t>A 5740-2026</t>
        </is>
      </c>
      <c r="B892" s="1" t="n">
        <v>46051.57940972222</v>
      </c>
      <c r="C892" s="1" t="n">
        <v>46076</v>
      </c>
      <c r="D892" t="inlineStr">
        <is>
          <t>KALMAR LÄN</t>
        </is>
      </c>
      <c r="E892" t="inlineStr">
        <is>
          <t>VÄSTERVIK</t>
        </is>
      </c>
      <c r="F892" t="inlineStr">
        <is>
          <t>Kyrkan</t>
        </is>
      </c>
      <c r="G892" t="n">
        <v>7.7</v>
      </c>
      <c r="H892" t="n">
        <v>0</v>
      </c>
      <c r="I892" t="n">
        <v>0</v>
      </c>
      <c r="J892" t="n">
        <v>0</v>
      </c>
      <c r="K892" t="n">
        <v>0</v>
      </c>
      <c r="L892" t="n">
        <v>0</v>
      </c>
      <c r="M892" t="n">
        <v>0</v>
      </c>
      <c r="N892" t="n">
        <v>0</v>
      </c>
      <c r="O892" t="n">
        <v>0</v>
      </c>
      <c r="P892" t="n">
        <v>0</v>
      </c>
      <c r="Q892" t="n">
        <v>0</v>
      </c>
      <c r="R892" s="2" t="inlineStr"/>
    </row>
    <row r="893" ht="15" customHeight="1">
      <c r="A893" t="inlineStr">
        <is>
          <t>A 35962-2023</t>
        </is>
      </c>
      <c r="B893" s="1" t="n">
        <v>45148</v>
      </c>
      <c r="C893" s="1" t="n">
        <v>46076</v>
      </c>
      <c r="D893" t="inlineStr">
        <is>
          <t>KALMAR LÄN</t>
        </is>
      </c>
      <c r="E893" t="inlineStr">
        <is>
          <t>VÄSTERVIK</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62756-2025</t>
        </is>
      </c>
      <c r="B894" s="1" t="n">
        <v>46008.59005787037</v>
      </c>
      <c r="C894" s="1" t="n">
        <v>46076</v>
      </c>
      <c r="D894" t="inlineStr">
        <is>
          <t>KALMAR LÄN</t>
        </is>
      </c>
      <c r="E894" t="inlineStr">
        <is>
          <t>VÄSTERVIK</t>
        </is>
      </c>
      <c r="G894" t="n">
        <v>3.1</v>
      </c>
      <c r="H894" t="n">
        <v>0</v>
      </c>
      <c r="I894" t="n">
        <v>0</v>
      </c>
      <c r="J894" t="n">
        <v>0</v>
      </c>
      <c r="K894" t="n">
        <v>0</v>
      </c>
      <c r="L894" t="n">
        <v>0</v>
      </c>
      <c r="M894" t="n">
        <v>0</v>
      </c>
      <c r="N894" t="n">
        <v>0</v>
      </c>
      <c r="O894" t="n">
        <v>0</v>
      </c>
      <c r="P894" t="n">
        <v>0</v>
      </c>
      <c r="Q894" t="n">
        <v>0</v>
      </c>
      <c r="R894" s="2" t="inlineStr"/>
    </row>
    <row r="895" ht="15" customHeight="1">
      <c r="A895" t="inlineStr">
        <is>
          <t>A 62770-2025</t>
        </is>
      </c>
      <c r="B895" s="1" t="n">
        <v>46008.60042824074</v>
      </c>
      <c r="C895" s="1" t="n">
        <v>46076</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62817-2025</t>
        </is>
      </c>
      <c r="B896" s="1" t="n">
        <v>46008.6546875</v>
      </c>
      <c r="C896" s="1" t="n">
        <v>46076</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29557-2024</t>
        </is>
      </c>
      <c r="B897" s="1" t="n">
        <v>45484.52023148148</v>
      </c>
      <c r="C897" s="1" t="n">
        <v>46076</v>
      </c>
      <c r="D897" t="inlineStr">
        <is>
          <t>KALMAR LÄN</t>
        </is>
      </c>
      <c r="E897" t="inlineStr">
        <is>
          <t>VÄSTERVIK</t>
        </is>
      </c>
      <c r="G897" t="n">
        <v>5.9</v>
      </c>
      <c r="H897" t="n">
        <v>0</v>
      </c>
      <c r="I897" t="n">
        <v>0</v>
      </c>
      <c r="J897" t="n">
        <v>0</v>
      </c>
      <c r="K897" t="n">
        <v>0</v>
      </c>
      <c r="L897" t="n">
        <v>0</v>
      </c>
      <c r="M897" t="n">
        <v>0</v>
      </c>
      <c r="N897" t="n">
        <v>0</v>
      </c>
      <c r="O897" t="n">
        <v>0</v>
      </c>
      <c r="P897" t="n">
        <v>0</v>
      </c>
      <c r="Q897" t="n">
        <v>0</v>
      </c>
      <c r="R897" s="2" t="inlineStr"/>
    </row>
    <row r="898" ht="15" customHeight="1">
      <c r="A898" t="inlineStr">
        <is>
          <t>A 42868-2025</t>
        </is>
      </c>
      <c r="B898" s="1" t="n">
        <v>45908</v>
      </c>
      <c r="C898" s="1" t="n">
        <v>46076</v>
      </c>
      <c r="D898" t="inlineStr">
        <is>
          <t>KALMAR LÄN</t>
        </is>
      </c>
      <c r="E898" t="inlineStr">
        <is>
          <t>VÄSTERVIK</t>
        </is>
      </c>
      <c r="F898" t="inlineStr">
        <is>
          <t>Holmen skog AB</t>
        </is>
      </c>
      <c r="G898" t="n">
        <v>3.7</v>
      </c>
      <c r="H898" t="n">
        <v>0</v>
      </c>
      <c r="I898" t="n">
        <v>0</v>
      </c>
      <c r="J898" t="n">
        <v>0</v>
      </c>
      <c r="K898" t="n">
        <v>0</v>
      </c>
      <c r="L898" t="n">
        <v>0</v>
      </c>
      <c r="M898" t="n">
        <v>0</v>
      </c>
      <c r="N898" t="n">
        <v>0</v>
      </c>
      <c r="O898" t="n">
        <v>0</v>
      </c>
      <c r="P898" t="n">
        <v>0</v>
      </c>
      <c r="Q898" t="n">
        <v>0</v>
      </c>
      <c r="R898" s="2" t="inlineStr"/>
      <c r="U898">
        <f>HYPERLINK("https://klasma.github.io/Logging_0883/knärot/A 42868-2025 karta knärot.png", "A 42868-2025")</f>
        <v/>
      </c>
      <c r="V898">
        <f>HYPERLINK("https://klasma.github.io/Logging_0883/klagomål/A 42868-2025 FSC-klagomål.docx", "A 42868-2025")</f>
        <v/>
      </c>
      <c r="W898">
        <f>HYPERLINK("https://klasma.github.io/Logging_0883/klagomålsmail/A 42868-2025 FSC-klagomål mail.docx", "A 42868-2025")</f>
        <v/>
      </c>
      <c r="X898">
        <f>HYPERLINK("https://klasma.github.io/Logging_0883/tillsyn/A 42868-2025 tillsynsbegäran.docx", "A 42868-2025")</f>
        <v/>
      </c>
      <c r="Y898">
        <f>HYPERLINK("https://klasma.github.io/Logging_0883/tillsynsmail/A 42868-2025 tillsynsbegäran mail.docx", "A 42868-2025")</f>
        <v/>
      </c>
    </row>
    <row r="899" ht="15" customHeight="1">
      <c r="A899" t="inlineStr">
        <is>
          <t>A 62750-2025</t>
        </is>
      </c>
      <c r="B899" s="1" t="n">
        <v>46008.57989583333</v>
      </c>
      <c r="C899" s="1" t="n">
        <v>46076</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62765-2025</t>
        </is>
      </c>
      <c r="B900" s="1" t="n">
        <v>46008.59494212963</v>
      </c>
      <c r="C900" s="1" t="n">
        <v>46076</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62815-2025</t>
        </is>
      </c>
      <c r="B901" s="1" t="n">
        <v>46008.654375</v>
      </c>
      <c r="C901" s="1" t="n">
        <v>46076</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13836-2024</t>
        </is>
      </c>
      <c r="B902" s="1" t="n">
        <v>45391.44385416667</v>
      </c>
      <c r="C902" s="1" t="n">
        <v>46076</v>
      </c>
      <c r="D902" t="inlineStr">
        <is>
          <t>KALMAR LÄN</t>
        </is>
      </c>
      <c r="E902" t="inlineStr">
        <is>
          <t>VÄSTERVIK</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4508-2023</t>
        </is>
      </c>
      <c r="B903" s="1" t="n">
        <v>44956</v>
      </c>
      <c r="C903" s="1" t="n">
        <v>46076</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62782-2025</t>
        </is>
      </c>
      <c r="B904" s="1" t="n">
        <v>46008</v>
      </c>
      <c r="C904" s="1" t="n">
        <v>46076</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62743-2025</t>
        </is>
      </c>
      <c r="B905" s="1" t="n">
        <v>46008.5749074074</v>
      </c>
      <c r="C905" s="1" t="n">
        <v>46076</v>
      </c>
      <c r="D905" t="inlineStr">
        <is>
          <t>KALMAR LÄN</t>
        </is>
      </c>
      <c r="E905" t="inlineStr">
        <is>
          <t>VÄSTERVIK</t>
        </is>
      </c>
      <c r="G905" t="n">
        <v>7.5</v>
      </c>
      <c r="H905" t="n">
        <v>0</v>
      </c>
      <c r="I905" t="n">
        <v>0</v>
      </c>
      <c r="J905" t="n">
        <v>0</v>
      </c>
      <c r="K905" t="n">
        <v>0</v>
      </c>
      <c r="L905" t="n">
        <v>0</v>
      </c>
      <c r="M905" t="n">
        <v>0</v>
      </c>
      <c r="N905" t="n">
        <v>0</v>
      </c>
      <c r="O905" t="n">
        <v>0</v>
      </c>
      <c r="P905" t="n">
        <v>0</v>
      </c>
      <c r="Q905" t="n">
        <v>0</v>
      </c>
      <c r="R905" s="2" t="inlineStr"/>
    </row>
    <row r="906" ht="15" customHeight="1">
      <c r="A906" t="inlineStr">
        <is>
          <t>A 62752-2025</t>
        </is>
      </c>
      <c r="B906" s="1" t="n">
        <v>46008.58653935185</v>
      </c>
      <c r="C906" s="1" t="n">
        <v>46076</v>
      </c>
      <c r="D906" t="inlineStr">
        <is>
          <t>KALMAR LÄN</t>
        </is>
      </c>
      <c r="E906" t="inlineStr">
        <is>
          <t>VÄSTERVIK</t>
        </is>
      </c>
      <c r="G906" t="n">
        <v>9.4</v>
      </c>
      <c r="H906" t="n">
        <v>0</v>
      </c>
      <c r="I906" t="n">
        <v>0</v>
      </c>
      <c r="J906" t="n">
        <v>0</v>
      </c>
      <c r="K906" t="n">
        <v>0</v>
      </c>
      <c r="L906" t="n">
        <v>0</v>
      </c>
      <c r="M906" t="n">
        <v>0</v>
      </c>
      <c r="N906" t="n">
        <v>0</v>
      </c>
      <c r="O906" t="n">
        <v>0</v>
      </c>
      <c r="P906" t="n">
        <v>0</v>
      </c>
      <c r="Q906" t="n">
        <v>0</v>
      </c>
      <c r="R906" s="2" t="inlineStr"/>
    </row>
    <row r="907" ht="15" customHeight="1">
      <c r="A907" t="inlineStr">
        <is>
          <t>A 62789-2025</t>
        </is>
      </c>
      <c r="B907" s="1" t="n">
        <v>46008</v>
      </c>
      <c r="C907" s="1" t="n">
        <v>46076</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24877-2023</t>
        </is>
      </c>
      <c r="B908" s="1" t="n">
        <v>45085.43271990741</v>
      </c>
      <c r="C908" s="1" t="n">
        <v>46076</v>
      </c>
      <c r="D908" t="inlineStr">
        <is>
          <t>KALMAR LÄN</t>
        </is>
      </c>
      <c r="E908" t="inlineStr">
        <is>
          <t>VÄSTERVIK</t>
        </is>
      </c>
      <c r="G908" t="n">
        <v>3.8</v>
      </c>
      <c r="H908" t="n">
        <v>0</v>
      </c>
      <c r="I908" t="n">
        <v>0</v>
      </c>
      <c r="J908" t="n">
        <v>0</v>
      </c>
      <c r="K908" t="n">
        <v>0</v>
      </c>
      <c r="L908" t="n">
        <v>0</v>
      </c>
      <c r="M908" t="n">
        <v>0</v>
      </c>
      <c r="N908" t="n">
        <v>0</v>
      </c>
      <c r="O908" t="n">
        <v>0</v>
      </c>
      <c r="P908" t="n">
        <v>0</v>
      </c>
      <c r="Q908" t="n">
        <v>0</v>
      </c>
      <c r="R908" s="2" t="inlineStr"/>
    </row>
    <row r="909" ht="15" customHeight="1">
      <c r="A909" t="inlineStr">
        <is>
          <t>A 25180-2023</t>
        </is>
      </c>
      <c r="B909" s="1" t="n">
        <v>45086</v>
      </c>
      <c r="C909" s="1" t="n">
        <v>46076</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46076</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61556-2023</t>
        </is>
      </c>
      <c r="B911" s="1" t="n">
        <v>45261</v>
      </c>
      <c r="C911" s="1" t="n">
        <v>46076</v>
      </c>
      <c r="D911" t="inlineStr">
        <is>
          <t>KALMAR LÄN</t>
        </is>
      </c>
      <c r="E911" t="inlineStr">
        <is>
          <t>VÄSTERVIK</t>
        </is>
      </c>
      <c r="F911" t="inlineStr">
        <is>
          <t>Övriga Aktiebolag</t>
        </is>
      </c>
      <c r="G911" t="n">
        <v>13.9</v>
      </c>
      <c r="H911" t="n">
        <v>0</v>
      </c>
      <c r="I911" t="n">
        <v>0</v>
      </c>
      <c r="J911" t="n">
        <v>0</v>
      </c>
      <c r="K911" t="n">
        <v>0</v>
      </c>
      <c r="L911" t="n">
        <v>0</v>
      </c>
      <c r="M911" t="n">
        <v>0</v>
      </c>
      <c r="N911" t="n">
        <v>0</v>
      </c>
      <c r="O911" t="n">
        <v>0</v>
      </c>
      <c r="P911" t="n">
        <v>0</v>
      </c>
      <c r="Q911" t="n">
        <v>0</v>
      </c>
      <c r="R911" s="2" t="inlineStr"/>
    </row>
    <row r="912" ht="15" customHeight="1">
      <c r="A912" t="inlineStr">
        <is>
          <t>A 29404-2024</t>
        </is>
      </c>
      <c r="B912" s="1" t="n">
        <v>45483</v>
      </c>
      <c r="C912" s="1" t="n">
        <v>46076</v>
      </c>
      <c r="D912" t="inlineStr">
        <is>
          <t>KALMAR LÄN</t>
        </is>
      </c>
      <c r="E912" t="inlineStr">
        <is>
          <t>VÄSTERVIK</t>
        </is>
      </c>
      <c r="G912" t="n">
        <v>2.2</v>
      </c>
      <c r="H912" t="n">
        <v>0</v>
      </c>
      <c r="I912" t="n">
        <v>0</v>
      </c>
      <c r="J912" t="n">
        <v>0</v>
      </c>
      <c r="K912" t="n">
        <v>0</v>
      </c>
      <c r="L912" t="n">
        <v>0</v>
      </c>
      <c r="M912" t="n">
        <v>0</v>
      </c>
      <c r="N912" t="n">
        <v>0</v>
      </c>
      <c r="O912" t="n">
        <v>0</v>
      </c>
      <c r="P912" t="n">
        <v>0</v>
      </c>
      <c r="Q912" t="n">
        <v>0</v>
      </c>
      <c r="R912" s="2" t="inlineStr"/>
    </row>
    <row r="913" ht="15" customHeight="1">
      <c r="A913" t="inlineStr">
        <is>
          <t>A 25561-2024</t>
        </is>
      </c>
      <c r="B913" s="1" t="n">
        <v>45463.58467592593</v>
      </c>
      <c r="C913" s="1" t="n">
        <v>46076</v>
      </c>
      <c r="D913" t="inlineStr">
        <is>
          <t>KALMAR LÄN</t>
        </is>
      </c>
      <c r="E913" t="inlineStr">
        <is>
          <t>VÄSTERVIK</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6315-2026</t>
        </is>
      </c>
      <c r="B914" s="1" t="n">
        <v>46055.58186342593</v>
      </c>
      <c r="C914" s="1" t="n">
        <v>46076</v>
      </c>
      <c r="D914" t="inlineStr">
        <is>
          <t>KALMAR LÄN</t>
        </is>
      </c>
      <c r="E914" t="inlineStr">
        <is>
          <t>VÄSTERVIK</t>
        </is>
      </c>
      <c r="G914" t="n">
        <v>2.6</v>
      </c>
      <c r="H914" t="n">
        <v>0</v>
      </c>
      <c r="I914" t="n">
        <v>0</v>
      </c>
      <c r="J914" t="n">
        <v>0</v>
      </c>
      <c r="K914" t="n">
        <v>0</v>
      </c>
      <c r="L914" t="n">
        <v>0</v>
      </c>
      <c r="M914" t="n">
        <v>0</v>
      </c>
      <c r="N914" t="n">
        <v>0</v>
      </c>
      <c r="O914" t="n">
        <v>0</v>
      </c>
      <c r="P914" t="n">
        <v>0</v>
      </c>
      <c r="Q914" t="n">
        <v>0</v>
      </c>
      <c r="R914" s="2" t="inlineStr"/>
    </row>
    <row r="915" ht="15" customHeight="1">
      <c r="A915" t="inlineStr">
        <is>
          <t>A 40674-2023</t>
        </is>
      </c>
      <c r="B915" s="1" t="n">
        <v>45170.59288194445</v>
      </c>
      <c r="C915" s="1" t="n">
        <v>46076</v>
      </c>
      <c r="D915" t="inlineStr">
        <is>
          <t>KALMAR LÄN</t>
        </is>
      </c>
      <c r="E915" t="inlineStr">
        <is>
          <t>VÄSTERVIK</t>
        </is>
      </c>
      <c r="G915" t="n">
        <v>4.2</v>
      </c>
      <c r="H915" t="n">
        <v>0</v>
      </c>
      <c r="I915" t="n">
        <v>0</v>
      </c>
      <c r="J915" t="n">
        <v>0</v>
      </c>
      <c r="K915" t="n">
        <v>0</v>
      </c>
      <c r="L915" t="n">
        <v>0</v>
      </c>
      <c r="M915" t="n">
        <v>0</v>
      </c>
      <c r="N915" t="n">
        <v>0</v>
      </c>
      <c r="O915" t="n">
        <v>0</v>
      </c>
      <c r="P915" t="n">
        <v>0</v>
      </c>
      <c r="Q915" t="n">
        <v>0</v>
      </c>
      <c r="R915" s="2" t="inlineStr"/>
    </row>
    <row r="916" ht="15" customHeight="1">
      <c r="A916" t="inlineStr">
        <is>
          <t>A 40677-2023</t>
        </is>
      </c>
      <c r="B916" s="1" t="n">
        <v>45170.59443287037</v>
      </c>
      <c r="C916" s="1" t="n">
        <v>46076</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32647-2023</t>
        </is>
      </c>
      <c r="B917" s="1" t="n">
        <v>45121</v>
      </c>
      <c r="C917" s="1" t="n">
        <v>46076</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5915-2026</t>
        </is>
      </c>
      <c r="B918" s="1" t="n">
        <v>46052.45144675926</v>
      </c>
      <c r="C918" s="1" t="n">
        <v>46076</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54629-2024</t>
        </is>
      </c>
      <c r="B919" s="1" t="n">
        <v>45617.85399305556</v>
      </c>
      <c r="C919" s="1" t="n">
        <v>46076</v>
      </c>
      <c r="D919" t="inlineStr">
        <is>
          <t>KALMAR LÄN</t>
        </is>
      </c>
      <c r="E919" t="inlineStr">
        <is>
          <t>VÄSTERVIK</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7164-2025</t>
        </is>
      </c>
      <c r="B920" s="1" t="n">
        <v>45702.39331018519</v>
      </c>
      <c r="C920" s="1" t="n">
        <v>46076</v>
      </c>
      <c r="D920" t="inlineStr">
        <is>
          <t>KALMAR LÄN</t>
        </is>
      </c>
      <c r="E920" t="inlineStr">
        <is>
          <t>VÄSTERVIK</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56610-2022</t>
        </is>
      </c>
      <c r="B921" s="1" t="n">
        <v>44893.5862037037</v>
      </c>
      <c r="C921" s="1" t="n">
        <v>46076</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63589-2025</t>
        </is>
      </c>
      <c r="B922" s="1" t="n">
        <v>46013.80627314815</v>
      </c>
      <c r="C922" s="1" t="n">
        <v>46076</v>
      </c>
      <c r="D922" t="inlineStr">
        <is>
          <t>KALMAR LÄN</t>
        </is>
      </c>
      <c r="E922" t="inlineStr">
        <is>
          <t>VÄSTERVIK</t>
        </is>
      </c>
      <c r="F922" t="inlineStr">
        <is>
          <t>Sveaskog</t>
        </is>
      </c>
      <c r="G922" t="n">
        <v>13.2</v>
      </c>
      <c r="H922" t="n">
        <v>0</v>
      </c>
      <c r="I922" t="n">
        <v>0</v>
      </c>
      <c r="J922" t="n">
        <v>0</v>
      </c>
      <c r="K922" t="n">
        <v>0</v>
      </c>
      <c r="L922" t="n">
        <v>0</v>
      </c>
      <c r="M922" t="n">
        <v>0</v>
      </c>
      <c r="N922" t="n">
        <v>0</v>
      </c>
      <c r="O922" t="n">
        <v>0</v>
      </c>
      <c r="P922" t="n">
        <v>0</v>
      </c>
      <c r="Q922" t="n">
        <v>0</v>
      </c>
      <c r="R922" s="2" t="inlineStr"/>
    </row>
    <row r="923" ht="15" customHeight="1">
      <c r="A923" t="inlineStr">
        <is>
          <t>A 63587-2025</t>
        </is>
      </c>
      <c r="B923" s="1" t="n">
        <v>46013.80384259259</v>
      </c>
      <c r="C923" s="1" t="n">
        <v>46076</v>
      </c>
      <c r="D923" t="inlineStr">
        <is>
          <t>KALMAR LÄN</t>
        </is>
      </c>
      <c r="E923" t="inlineStr">
        <is>
          <t>VÄSTERVIK</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28390-2024</t>
        </is>
      </c>
      <c r="B924" s="1" t="n">
        <v>45477</v>
      </c>
      <c r="C924" s="1" t="n">
        <v>46076</v>
      </c>
      <c r="D924" t="inlineStr">
        <is>
          <t>KALMAR LÄN</t>
        </is>
      </c>
      <c r="E924" t="inlineStr">
        <is>
          <t>VÄSTERVIK</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2314-2023</t>
        </is>
      </c>
      <c r="B925" s="1" t="n">
        <v>44942</v>
      </c>
      <c r="C925" s="1" t="n">
        <v>46076</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13838-2024</t>
        </is>
      </c>
      <c r="B926" s="1" t="n">
        <v>45391.44646990741</v>
      </c>
      <c r="C926" s="1" t="n">
        <v>46076</v>
      </c>
      <c r="D926" t="inlineStr">
        <is>
          <t>KALMAR LÄN</t>
        </is>
      </c>
      <c r="E926" t="inlineStr">
        <is>
          <t>VÄSTERVIK</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27568-2024</t>
        </is>
      </c>
      <c r="B927" s="1" t="n">
        <v>45474</v>
      </c>
      <c r="C927" s="1" t="n">
        <v>46076</v>
      </c>
      <c r="D927" t="inlineStr">
        <is>
          <t>KALMAR LÄN</t>
        </is>
      </c>
      <c r="E927" t="inlineStr">
        <is>
          <t>VÄSTERVIK</t>
        </is>
      </c>
      <c r="G927" t="n">
        <v>7.7</v>
      </c>
      <c r="H927" t="n">
        <v>0</v>
      </c>
      <c r="I927" t="n">
        <v>0</v>
      </c>
      <c r="J927" t="n">
        <v>0</v>
      </c>
      <c r="K927" t="n">
        <v>0</v>
      </c>
      <c r="L927" t="n">
        <v>0</v>
      </c>
      <c r="M927" t="n">
        <v>0</v>
      </c>
      <c r="N927" t="n">
        <v>0</v>
      </c>
      <c r="O927" t="n">
        <v>0</v>
      </c>
      <c r="P927" t="n">
        <v>0</v>
      </c>
      <c r="Q927" t="n">
        <v>0</v>
      </c>
      <c r="R927" s="2" t="inlineStr"/>
    </row>
    <row r="928" ht="15" customHeight="1">
      <c r="A928" t="inlineStr">
        <is>
          <t>A 47527-2021</t>
        </is>
      </c>
      <c r="B928" s="1" t="n">
        <v>44447</v>
      </c>
      <c r="C928" s="1" t="n">
        <v>46076</v>
      </c>
      <c r="D928" t="inlineStr">
        <is>
          <t>KALMAR LÄN</t>
        </is>
      </c>
      <c r="E928" t="inlineStr">
        <is>
          <t>VÄSTERVIK</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63588-2025</t>
        </is>
      </c>
      <c r="B929" s="1" t="n">
        <v>46013.80505787037</v>
      </c>
      <c r="C929" s="1" t="n">
        <v>46076</v>
      </c>
      <c r="D929" t="inlineStr">
        <is>
          <t>KALMAR LÄN</t>
        </is>
      </c>
      <c r="E929" t="inlineStr">
        <is>
          <t>VÄSTERVIK</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63590-2025</t>
        </is>
      </c>
      <c r="B930" s="1" t="n">
        <v>46013.8079050926</v>
      </c>
      <c r="C930" s="1" t="n">
        <v>46076</v>
      </c>
      <c r="D930" t="inlineStr">
        <is>
          <t>KALMAR LÄN</t>
        </is>
      </c>
      <c r="E930" t="inlineStr">
        <is>
          <t>VÄSTERVIK</t>
        </is>
      </c>
      <c r="F930" t="inlineStr">
        <is>
          <t>Sveaskog</t>
        </is>
      </c>
      <c r="G930" t="n">
        <v>3.9</v>
      </c>
      <c r="H930" t="n">
        <v>0</v>
      </c>
      <c r="I930" t="n">
        <v>0</v>
      </c>
      <c r="J930" t="n">
        <v>0</v>
      </c>
      <c r="K930" t="n">
        <v>0</v>
      </c>
      <c r="L930" t="n">
        <v>0</v>
      </c>
      <c r="M930" t="n">
        <v>0</v>
      </c>
      <c r="N930" t="n">
        <v>0</v>
      </c>
      <c r="O930" t="n">
        <v>0</v>
      </c>
      <c r="P930" t="n">
        <v>0</v>
      </c>
      <c r="Q930" t="n">
        <v>0</v>
      </c>
      <c r="R930" s="2" t="inlineStr"/>
    </row>
    <row r="931" ht="15" customHeight="1">
      <c r="A931" t="inlineStr">
        <is>
          <t>A 63591-2025</t>
        </is>
      </c>
      <c r="B931" s="1" t="n">
        <v>46013.80930555556</v>
      </c>
      <c r="C931" s="1" t="n">
        <v>46076</v>
      </c>
      <c r="D931" t="inlineStr">
        <is>
          <t>KALMAR LÄN</t>
        </is>
      </c>
      <c r="E931" t="inlineStr">
        <is>
          <t>VÄSTERVIK</t>
        </is>
      </c>
      <c r="F931" t="inlineStr">
        <is>
          <t>Sveaskog</t>
        </is>
      </c>
      <c r="G931" t="n">
        <v>13.7</v>
      </c>
      <c r="H931" t="n">
        <v>0</v>
      </c>
      <c r="I931" t="n">
        <v>0</v>
      </c>
      <c r="J931" t="n">
        <v>0</v>
      </c>
      <c r="K931" t="n">
        <v>0</v>
      </c>
      <c r="L931" t="n">
        <v>0</v>
      </c>
      <c r="M931" t="n">
        <v>0</v>
      </c>
      <c r="N931" t="n">
        <v>0</v>
      </c>
      <c r="O931" t="n">
        <v>0</v>
      </c>
      <c r="P931" t="n">
        <v>0</v>
      </c>
      <c r="Q931" t="n">
        <v>0</v>
      </c>
      <c r="R931" s="2" t="inlineStr"/>
    </row>
    <row r="932" ht="15" customHeight="1">
      <c r="A932" t="inlineStr">
        <is>
          <t>A 36418-2023</t>
        </is>
      </c>
      <c r="B932" s="1" t="n">
        <v>45152</v>
      </c>
      <c r="C932" s="1" t="n">
        <v>46076</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c r="U932">
        <f>HYPERLINK("https://klasma.github.io/Logging_0883/knärot/A 36418-2023 karta knärot.png", "A 36418-2023")</f>
        <v/>
      </c>
      <c r="V932">
        <f>HYPERLINK("https://klasma.github.io/Logging_0883/klagomål/A 36418-2023 FSC-klagomål.docx", "A 36418-2023")</f>
        <v/>
      </c>
      <c r="W932">
        <f>HYPERLINK("https://klasma.github.io/Logging_0883/klagomålsmail/A 36418-2023 FSC-klagomål mail.docx", "A 36418-2023")</f>
        <v/>
      </c>
      <c r="X932">
        <f>HYPERLINK("https://klasma.github.io/Logging_0883/tillsyn/A 36418-2023 tillsynsbegäran.docx", "A 36418-2023")</f>
        <v/>
      </c>
      <c r="Y932">
        <f>HYPERLINK("https://klasma.github.io/Logging_0883/tillsynsmail/A 36418-2023 tillsynsbegäran mail.docx", "A 36418-2023")</f>
        <v/>
      </c>
    </row>
    <row r="933" ht="15" customHeight="1">
      <c r="A933" t="inlineStr">
        <is>
          <t>A 35959-2023</t>
        </is>
      </c>
      <c r="B933" s="1" t="n">
        <v>45148.84875</v>
      </c>
      <c r="C933" s="1" t="n">
        <v>46076</v>
      </c>
      <c r="D933" t="inlineStr">
        <is>
          <t>KALMAR LÄN</t>
        </is>
      </c>
      <c r="E933" t="inlineStr">
        <is>
          <t>VÄSTERVIK</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7934-2023</t>
        </is>
      </c>
      <c r="B934" s="1" t="n">
        <v>44973.65422453704</v>
      </c>
      <c r="C934" s="1" t="n">
        <v>46076</v>
      </c>
      <c r="D934" t="inlineStr">
        <is>
          <t>KALMAR LÄN</t>
        </is>
      </c>
      <c r="E934" t="inlineStr">
        <is>
          <t>VÄSTERVIK</t>
        </is>
      </c>
      <c r="G934" t="n">
        <v>4.1</v>
      </c>
      <c r="H934" t="n">
        <v>0</v>
      </c>
      <c r="I934" t="n">
        <v>0</v>
      </c>
      <c r="J934" t="n">
        <v>0</v>
      </c>
      <c r="K934" t="n">
        <v>0</v>
      </c>
      <c r="L934" t="n">
        <v>0</v>
      </c>
      <c r="M934" t="n">
        <v>0</v>
      </c>
      <c r="N934" t="n">
        <v>0</v>
      </c>
      <c r="O934" t="n">
        <v>0</v>
      </c>
      <c r="P934" t="n">
        <v>0</v>
      </c>
      <c r="Q934" t="n">
        <v>0</v>
      </c>
      <c r="R934" s="2" t="inlineStr"/>
    </row>
    <row r="935" ht="15" customHeight="1">
      <c r="A935" t="inlineStr">
        <is>
          <t>A 27094-2024</t>
        </is>
      </c>
      <c r="B935" s="1" t="n">
        <v>45471</v>
      </c>
      <c r="C935" s="1" t="n">
        <v>46076</v>
      </c>
      <c r="D935" t="inlineStr">
        <is>
          <t>KALMAR LÄN</t>
        </is>
      </c>
      <c r="E935" t="inlineStr">
        <is>
          <t>VÄSTERVIK</t>
        </is>
      </c>
      <c r="F935" t="inlineStr">
        <is>
          <t>Holmen skog AB</t>
        </is>
      </c>
      <c r="G935" t="n">
        <v>2.4</v>
      </c>
      <c r="H935" t="n">
        <v>0</v>
      </c>
      <c r="I935" t="n">
        <v>0</v>
      </c>
      <c r="J935" t="n">
        <v>0</v>
      </c>
      <c r="K935" t="n">
        <v>0</v>
      </c>
      <c r="L935" t="n">
        <v>0</v>
      </c>
      <c r="M935" t="n">
        <v>0</v>
      </c>
      <c r="N935" t="n">
        <v>0</v>
      </c>
      <c r="O935" t="n">
        <v>0</v>
      </c>
      <c r="P935" t="n">
        <v>0</v>
      </c>
      <c r="Q935" t="n">
        <v>0</v>
      </c>
      <c r="R935" s="2" t="inlineStr"/>
      <c r="U935">
        <f>HYPERLINK("https://klasma.github.io/Logging_0883/knärot/A 27094-2024 karta knärot.png", "A 27094-2024")</f>
        <v/>
      </c>
      <c r="V935">
        <f>HYPERLINK("https://klasma.github.io/Logging_0883/klagomål/A 27094-2024 FSC-klagomål.docx", "A 27094-2024")</f>
        <v/>
      </c>
      <c r="W935">
        <f>HYPERLINK("https://klasma.github.io/Logging_0883/klagomålsmail/A 27094-2024 FSC-klagomål mail.docx", "A 27094-2024")</f>
        <v/>
      </c>
      <c r="X935">
        <f>HYPERLINK("https://klasma.github.io/Logging_0883/tillsyn/A 27094-2024 tillsynsbegäran.docx", "A 27094-2024")</f>
        <v/>
      </c>
      <c r="Y935">
        <f>HYPERLINK("https://klasma.github.io/Logging_0883/tillsynsmail/A 27094-2024 tillsynsbegäran mail.docx", "A 27094-2024")</f>
        <v/>
      </c>
    </row>
    <row r="936" ht="15" customHeight="1">
      <c r="A936" t="inlineStr">
        <is>
          <t>A 49286-2022</t>
        </is>
      </c>
      <c r="B936" s="1" t="n">
        <v>44861.45876157407</v>
      </c>
      <c r="C936" s="1" t="n">
        <v>46076</v>
      </c>
      <c r="D936" t="inlineStr">
        <is>
          <t>KALMAR LÄN</t>
        </is>
      </c>
      <c r="E936" t="inlineStr">
        <is>
          <t>VÄSTERVIK</t>
        </is>
      </c>
      <c r="G936" t="n">
        <v>2.6</v>
      </c>
      <c r="H936" t="n">
        <v>0</v>
      </c>
      <c r="I936" t="n">
        <v>0</v>
      </c>
      <c r="J936" t="n">
        <v>0</v>
      </c>
      <c r="K936" t="n">
        <v>0</v>
      </c>
      <c r="L936" t="n">
        <v>0</v>
      </c>
      <c r="M936" t="n">
        <v>0</v>
      </c>
      <c r="N936" t="n">
        <v>0</v>
      </c>
      <c r="O936" t="n">
        <v>0</v>
      </c>
      <c r="P936" t="n">
        <v>0</v>
      </c>
      <c r="Q936" t="n">
        <v>0</v>
      </c>
      <c r="R936" s="2" t="inlineStr"/>
    </row>
    <row r="937" ht="15" customHeight="1">
      <c r="A937" t="inlineStr">
        <is>
          <t>A 57366-2023</t>
        </is>
      </c>
      <c r="B937" s="1" t="n">
        <v>45245</v>
      </c>
      <c r="C937" s="1" t="n">
        <v>46076</v>
      </c>
      <c r="D937" t="inlineStr">
        <is>
          <t>KALMAR LÄN</t>
        </is>
      </c>
      <c r="E937" t="inlineStr">
        <is>
          <t>VÄSTERVIK</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7520-2026</t>
        </is>
      </c>
      <c r="B938" s="1" t="n">
        <v>46059.60134259259</v>
      </c>
      <c r="C938" s="1" t="n">
        <v>46076</v>
      </c>
      <c r="D938" t="inlineStr">
        <is>
          <t>KALMAR LÄN</t>
        </is>
      </c>
      <c r="E938" t="inlineStr">
        <is>
          <t>VÄSTERVIK</t>
        </is>
      </c>
      <c r="G938" t="n">
        <v>3.4</v>
      </c>
      <c r="H938" t="n">
        <v>0</v>
      </c>
      <c r="I938" t="n">
        <v>0</v>
      </c>
      <c r="J938" t="n">
        <v>0</v>
      </c>
      <c r="K938" t="n">
        <v>0</v>
      </c>
      <c r="L938" t="n">
        <v>0</v>
      </c>
      <c r="M938" t="n">
        <v>0</v>
      </c>
      <c r="N938" t="n">
        <v>0</v>
      </c>
      <c r="O938" t="n">
        <v>0</v>
      </c>
      <c r="P938" t="n">
        <v>0</v>
      </c>
      <c r="Q938" t="n">
        <v>0</v>
      </c>
      <c r="R938" s="2" t="inlineStr"/>
    </row>
    <row r="939" ht="15" customHeight="1">
      <c r="A939" t="inlineStr">
        <is>
          <t>A 8005-2023</t>
        </is>
      </c>
      <c r="B939" s="1" t="n">
        <v>44973.88452546296</v>
      </c>
      <c r="C939" s="1" t="n">
        <v>46076</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45721-2022</t>
        </is>
      </c>
      <c r="B940" s="1" t="n">
        <v>44845</v>
      </c>
      <c r="C940" s="1" t="n">
        <v>46076</v>
      </c>
      <c r="D940" t="inlineStr">
        <is>
          <t>KALMAR LÄN</t>
        </is>
      </c>
      <c r="E940" t="inlineStr">
        <is>
          <t>VÄSTERVIK</t>
        </is>
      </c>
      <c r="F940" t="inlineStr">
        <is>
          <t>Holmen skog AB</t>
        </is>
      </c>
      <c r="G940" t="n">
        <v>3.3</v>
      </c>
      <c r="H940" t="n">
        <v>0</v>
      </c>
      <c r="I940" t="n">
        <v>0</v>
      </c>
      <c r="J940" t="n">
        <v>0</v>
      </c>
      <c r="K940" t="n">
        <v>0</v>
      </c>
      <c r="L940" t="n">
        <v>0</v>
      </c>
      <c r="M940" t="n">
        <v>0</v>
      </c>
      <c r="N940" t="n">
        <v>0</v>
      </c>
      <c r="O940" t="n">
        <v>0</v>
      </c>
      <c r="P940" t="n">
        <v>0</v>
      </c>
      <c r="Q940" t="n">
        <v>0</v>
      </c>
      <c r="R940" s="2" t="inlineStr"/>
      <c r="U940">
        <f>HYPERLINK("https://klasma.github.io/Logging_0883/knärot/A 45721-2022 karta knärot.png", "A 45721-2022")</f>
        <v/>
      </c>
      <c r="V940">
        <f>HYPERLINK("https://klasma.github.io/Logging_0883/klagomål/A 45721-2022 FSC-klagomål.docx", "A 45721-2022")</f>
        <v/>
      </c>
      <c r="W940">
        <f>HYPERLINK("https://klasma.github.io/Logging_0883/klagomålsmail/A 45721-2022 FSC-klagomål mail.docx", "A 45721-2022")</f>
        <v/>
      </c>
      <c r="X940">
        <f>HYPERLINK("https://klasma.github.io/Logging_0883/tillsyn/A 45721-2022 tillsynsbegäran.docx", "A 45721-2022")</f>
        <v/>
      </c>
      <c r="Y940">
        <f>HYPERLINK("https://klasma.github.io/Logging_0883/tillsynsmail/A 45721-2022 tillsynsbegäran mail.docx", "A 45721-2022")</f>
        <v/>
      </c>
    </row>
    <row r="941" ht="15" customHeight="1">
      <c r="A941" t="inlineStr">
        <is>
          <t>A 7521-2026</t>
        </is>
      </c>
      <c r="B941" s="1" t="n">
        <v>46059.60282407407</v>
      </c>
      <c r="C941" s="1" t="n">
        <v>46076</v>
      </c>
      <c r="D941" t="inlineStr">
        <is>
          <t>KALMAR LÄN</t>
        </is>
      </c>
      <c r="E941" t="inlineStr">
        <is>
          <t>VÄSTERVIK</t>
        </is>
      </c>
      <c r="G941" t="n">
        <v>1.8</v>
      </c>
      <c r="H941" t="n">
        <v>0</v>
      </c>
      <c r="I941" t="n">
        <v>0</v>
      </c>
      <c r="J941" t="n">
        <v>0</v>
      </c>
      <c r="K941" t="n">
        <v>0</v>
      </c>
      <c r="L941" t="n">
        <v>0</v>
      </c>
      <c r="M941" t="n">
        <v>0</v>
      </c>
      <c r="N941" t="n">
        <v>0</v>
      </c>
      <c r="O941" t="n">
        <v>0</v>
      </c>
      <c r="P941" t="n">
        <v>0</v>
      </c>
      <c r="Q941" t="n">
        <v>0</v>
      </c>
      <c r="R941" s="2" t="inlineStr"/>
    </row>
    <row r="942" ht="15" customHeight="1">
      <c r="A942" t="inlineStr">
        <is>
          <t>A 47267-2023</t>
        </is>
      </c>
      <c r="B942" s="1" t="n">
        <v>45202.42667824074</v>
      </c>
      <c r="C942" s="1" t="n">
        <v>46076</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33814-2023</t>
        </is>
      </c>
      <c r="B943" s="1" t="n">
        <v>45133.59230324074</v>
      </c>
      <c r="C943" s="1" t="n">
        <v>46076</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8382-2023</t>
        </is>
      </c>
      <c r="B944" s="1" t="n">
        <v>44977.40112268519</v>
      </c>
      <c r="C944" s="1" t="n">
        <v>46076</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55565-2024</t>
        </is>
      </c>
      <c r="B945" s="1" t="n">
        <v>45622.54515046296</v>
      </c>
      <c r="C945" s="1" t="n">
        <v>46076</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10515-2024</t>
        </is>
      </c>
      <c r="B946" s="1" t="n">
        <v>45366</v>
      </c>
      <c r="C946" s="1" t="n">
        <v>46076</v>
      </c>
      <c r="D946" t="inlineStr">
        <is>
          <t>KALMAR LÄN</t>
        </is>
      </c>
      <c r="E946" t="inlineStr">
        <is>
          <t>VÄSTERVIK</t>
        </is>
      </c>
      <c r="F946" t="inlineStr">
        <is>
          <t>Kyrkan</t>
        </is>
      </c>
      <c r="G946" t="n">
        <v>3.5</v>
      </c>
      <c r="H946" t="n">
        <v>0</v>
      </c>
      <c r="I946" t="n">
        <v>0</v>
      </c>
      <c r="J946" t="n">
        <v>0</v>
      </c>
      <c r="K946" t="n">
        <v>0</v>
      </c>
      <c r="L946" t="n">
        <v>0</v>
      </c>
      <c r="M946" t="n">
        <v>0</v>
      </c>
      <c r="N946" t="n">
        <v>0</v>
      </c>
      <c r="O946" t="n">
        <v>0</v>
      </c>
      <c r="P946" t="n">
        <v>0</v>
      </c>
      <c r="Q946" t="n">
        <v>0</v>
      </c>
      <c r="R946" s="2" t="inlineStr"/>
    </row>
    <row r="947" ht="15" customHeight="1">
      <c r="A947" t="inlineStr">
        <is>
          <t>A 29786-2024</t>
        </is>
      </c>
      <c r="B947" s="1" t="n">
        <v>45485.46388888889</v>
      </c>
      <c r="C947" s="1" t="n">
        <v>46076</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8066-2026</t>
        </is>
      </c>
      <c r="B948" s="1" t="n">
        <v>46063.63578703703</v>
      </c>
      <c r="C948" s="1" t="n">
        <v>46076</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63835-2025</t>
        </is>
      </c>
      <c r="B949" s="1" t="n">
        <v>46020.40302083334</v>
      </c>
      <c r="C949" s="1" t="n">
        <v>46076</v>
      </c>
      <c r="D949" t="inlineStr">
        <is>
          <t>KALMAR LÄN</t>
        </is>
      </c>
      <c r="E949" t="inlineStr">
        <is>
          <t>VÄSTERVIK</t>
        </is>
      </c>
      <c r="G949" t="n">
        <v>2.8</v>
      </c>
      <c r="H949" t="n">
        <v>0</v>
      </c>
      <c r="I949" t="n">
        <v>0</v>
      </c>
      <c r="J949" t="n">
        <v>0</v>
      </c>
      <c r="K949" t="n">
        <v>0</v>
      </c>
      <c r="L949" t="n">
        <v>0</v>
      </c>
      <c r="M949" t="n">
        <v>0</v>
      </c>
      <c r="N949" t="n">
        <v>0</v>
      </c>
      <c r="O949" t="n">
        <v>0</v>
      </c>
      <c r="P949" t="n">
        <v>0</v>
      </c>
      <c r="Q949" t="n">
        <v>0</v>
      </c>
      <c r="R949" s="2" t="inlineStr"/>
    </row>
    <row r="950" ht="15" customHeight="1">
      <c r="A950" t="inlineStr">
        <is>
          <t>A 2859-2025</t>
        </is>
      </c>
      <c r="B950" s="1" t="n">
        <v>45677.67003472222</v>
      </c>
      <c r="C950" s="1" t="n">
        <v>46076</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2870-2025</t>
        </is>
      </c>
      <c r="B951" s="1" t="n">
        <v>45677.68149305556</v>
      </c>
      <c r="C951" s="1" t="n">
        <v>46076</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60710-2022</t>
        </is>
      </c>
      <c r="B952" s="1" t="n">
        <v>44912</v>
      </c>
      <c r="C952" s="1" t="n">
        <v>46076</v>
      </c>
      <c r="D952" t="inlineStr">
        <is>
          <t>KALMAR LÄN</t>
        </is>
      </c>
      <c r="E952" t="inlineStr">
        <is>
          <t>VÄSTERVIK</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55047-2024</t>
        </is>
      </c>
      <c r="B953" s="1" t="n">
        <v>45621.39516203704</v>
      </c>
      <c r="C953" s="1" t="n">
        <v>46076</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5769-2023</t>
        </is>
      </c>
      <c r="B954" s="1" t="n">
        <v>44963.37194444444</v>
      </c>
      <c r="C954" s="1" t="n">
        <v>46076</v>
      </c>
      <c r="D954" t="inlineStr">
        <is>
          <t>KALMAR LÄN</t>
        </is>
      </c>
      <c r="E954" t="inlineStr">
        <is>
          <t>VÄSTERVIK</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33842-2025</t>
        </is>
      </c>
      <c r="B955" s="1" t="n">
        <v>45842</v>
      </c>
      <c r="C955" s="1" t="n">
        <v>46076</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46076</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34471-2024</t>
        </is>
      </c>
      <c r="B957" s="1" t="n">
        <v>45525.59111111111</v>
      </c>
      <c r="C957" s="1" t="n">
        <v>46076</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60263-2022</t>
        </is>
      </c>
      <c r="B958" s="1" t="n">
        <v>44910.48520833333</v>
      </c>
      <c r="C958" s="1" t="n">
        <v>46076</v>
      </c>
      <c r="D958" t="inlineStr">
        <is>
          <t>KALMAR LÄN</t>
        </is>
      </c>
      <c r="E958" t="inlineStr">
        <is>
          <t>VÄSTERVIK</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31691-2023</t>
        </is>
      </c>
      <c r="B959" s="1" t="n">
        <v>45117.72543981481</v>
      </c>
      <c r="C959" s="1" t="n">
        <v>46076</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5348-2024</t>
        </is>
      </c>
      <c r="B960" s="1" t="n">
        <v>45331</v>
      </c>
      <c r="C960" s="1" t="n">
        <v>46076</v>
      </c>
      <c r="D960" t="inlineStr">
        <is>
          <t>KALMAR LÄN</t>
        </is>
      </c>
      <c r="E960" t="inlineStr">
        <is>
          <t>VÄSTERVIK</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9040-2026</t>
        </is>
      </c>
      <c r="B961" s="1" t="n">
        <v>46069.54521990741</v>
      </c>
      <c r="C961" s="1" t="n">
        <v>46076</v>
      </c>
      <c r="D961" t="inlineStr">
        <is>
          <t>KALMAR LÄN</t>
        </is>
      </c>
      <c r="E961" t="inlineStr">
        <is>
          <t>VÄSTERVIK</t>
        </is>
      </c>
      <c r="G961" t="n">
        <v>4.4</v>
      </c>
      <c r="H961" t="n">
        <v>0</v>
      </c>
      <c r="I961" t="n">
        <v>0</v>
      </c>
      <c r="J961" t="n">
        <v>0</v>
      </c>
      <c r="K961" t="n">
        <v>0</v>
      </c>
      <c r="L961" t="n">
        <v>0</v>
      </c>
      <c r="M961" t="n">
        <v>0</v>
      </c>
      <c r="N961" t="n">
        <v>0</v>
      </c>
      <c r="O961" t="n">
        <v>0</v>
      </c>
      <c r="P961" t="n">
        <v>0</v>
      </c>
      <c r="Q961" t="n">
        <v>0</v>
      </c>
      <c r="R961" s="2" t="inlineStr"/>
    </row>
    <row r="962" ht="15" customHeight="1">
      <c r="A962" t="inlineStr">
        <is>
          <t>A 8654-2026</t>
        </is>
      </c>
      <c r="B962" s="1" t="n">
        <v>46066.3687037037</v>
      </c>
      <c r="C962" s="1" t="n">
        <v>46076</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10807-2023</t>
        </is>
      </c>
      <c r="B963" s="1" t="n">
        <v>44989.64261574074</v>
      </c>
      <c r="C963" s="1" t="n">
        <v>46076</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30035-2023</t>
        </is>
      </c>
      <c r="B964" s="1" t="n">
        <v>45110</v>
      </c>
      <c r="C964" s="1" t="n">
        <v>46076</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32822-2021</t>
        </is>
      </c>
      <c r="B965" s="1" t="n">
        <v>44375</v>
      </c>
      <c r="C965" s="1" t="n">
        <v>46076</v>
      </c>
      <c r="D965" t="inlineStr">
        <is>
          <t>KALMAR LÄN</t>
        </is>
      </c>
      <c r="E965" t="inlineStr">
        <is>
          <t>VÄSTERVIK</t>
        </is>
      </c>
      <c r="G965" t="n">
        <v>5.1</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44916.62880787037</v>
      </c>
      <c r="C966" s="1" t="n">
        <v>46076</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21255-2021</t>
        </is>
      </c>
      <c r="B967" s="1" t="n">
        <v>44320.5672337963</v>
      </c>
      <c r="C967" s="1" t="n">
        <v>46076</v>
      </c>
      <c r="D967" t="inlineStr">
        <is>
          <t>KALMAR LÄN</t>
        </is>
      </c>
      <c r="E967" t="inlineStr">
        <is>
          <t>VÄSTERVIK</t>
        </is>
      </c>
      <c r="G967" t="n">
        <v>0.6</v>
      </c>
      <c r="H967" t="n">
        <v>0</v>
      </c>
      <c r="I967" t="n">
        <v>0</v>
      </c>
      <c r="J967" t="n">
        <v>0</v>
      </c>
      <c r="K967" t="n">
        <v>0</v>
      </c>
      <c r="L967" t="n">
        <v>0</v>
      </c>
      <c r="M967" t="n">
        <v>0</v>
      </c>
      <c r="N967" t="n">
        <v>0</v>
      </c>
      <c r="O967" t="n">
        <v>0</v>
      </c>
      <c r="P967" t="n">
        <v>0</v>
      </c>
      <c r="Q967" t="n">
        <v>0</v>
      </c>
      <c r="R967" s="2" t="inlineStr"/>
    </row>
    <row r="968" ht="15" customHeight="1">
      <c r="A968" t="inlineStr">
        <is>
          <t>A 59695-2023</t>
        </is>
      </c>
      <c r="B968" s="1" t="n">
        <v>45256.85107638889</v>
      </c>
      <c r="C968" s="1" t="n">
        <v>46076</v>
      </c>
      <c r="D968" t="inlineStr">
        <is>
          <t>KALMAR LÄN</t>
        </is>
      </c>
      <c r="E968" t="inlineStr">
        <is>
          <t>VÄSTERVIK</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742-2026</t>
        </is>
      </c>
      <c r="B969" s="1" t="n">
        <v>46029.6646875</v>
      </c>
      <c r="C969" s="1" t="n">
        <v>46076</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440-2026</t>
        </is>
      </c>
      <c r="B970" s="1" t="n">
        <v>46029.34443287037</v>
      </c>
      <c r="C970" s="1" t="n">
        <v>46076</v>
      </c>
      <c r="D970" t="inlineStr">
        <is>
          <t>KALMAR LÄN</t>
        </is>
      </c>
      <c r="E970" t="inlineStr">
        <is>
          <t>VÄSTERVIK</t>
        </is>
      </c>
      <c r="G970" t="n">
        <v>3.9</v>
      </c>
      <c r="H970" t="n">
        <v>0</v>
      </c>
      <c r="I970" t="n">
        <v>0</v>
      </c>
      <c r="J970" t="n">
        <v>0</v>
      </c>
      <c r="K970" t="n">
        <v>0</v>
      </c>
      <c r="L970" t="n">
        <v>0</v>
      </c>
      <c r="M970" t="n">
        <v>0</v>
      </c>
      <c r="N970" t="n">
        <v>0</v>
      </c>
      <c r="O970" t="n">
        <v>0</v>
      </c>
      <c r="P970" t="n">
        <v>0</v>
      </c>
      <c r="Q970" t="n">
        <v>0</v>
      </c>
      <c r="R970" s="2" t="inlineStr"/>
    </row>
    <row r="971" ht="15" customHeight="1">
      <c r="A971" t="inlineStr">
        <is>
          <t>A 445-2026</t>
        </is>
      </c>
      <c r="B971" s="1" t="n">
        <v>46029.34517361111</v>
      </c>
      <c r="C971" s="1" t="n">
        <v>46076</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71114-2021</t>
        </is>
      </c>
      <c r="B972" s="1" t="n">
        <v>44539.37123842593</v>
      </c>
      <c r="C972" s="1" t="n">
        <v>46076</v>
      </c>
      <c r="D972" t="inlineStr">
        <is>
          <t>KALMAR LÄN</t>
        </is>
      </c>
      <c r="E972" t="inlineStr">
        <is>
          <t>VÄSTERVIK</t>
        </is>
      </c>
      <c r="G972" t="n">
        <v>1.9</v>
      </c>
      <c r="H972" t="n">
        <v>0</v>
      </c>
      <c r="I972" t="n">
        <v>0</v>
      </c>
      <c r="J972" t="n">
        <v>0</v>
      </c>
      <c r="K972" t="n">
        <v>0</v>
      </c>
      <c r="L972" t="n">
        <v>0</v>
      </c>
      <c r="M972" t="n">
        <v>0</v>
      </c>
      <c r="N972" t="n">
        <v>0</v>
      </c>
      <c r="O972" t="n">
        <v>0</v>
      </c>
      <c r="P972" t="n">
        <v>0</v>
      </c>
      <c r="Q972" t="n">
        <v>0</v>
      </c>
      <c r="R972" s="2" t="inlineStr"/>
    </row>
    <row r="973" ht="15" customHeight="1">
      <c r="A973" t="inlineStr">
        <is>
          <t>A 408-2026</t>
        </is>
      </c>
      <c r="B973" s="1" t="n">
        <v>46028.6896412037</v>
      </c>
      <c r="C973" s="1" t="n">
        <v>46076</v>
      </c>
      <c r="D973" t="inlineStr">
        <is>
          <t>KALMAR LÄN</t>
        </is>
      </c>
      <c r="E973" t="inlineStr">
        <is>
          <t>VÄSTERVIK</t>
        </is>
      </c>
      <c r="G973" t="n">
        <v>4.7</v>
      </c>
      <c r="H973" t="n">
        <v>0</v>
      </c>
      <c r="I973" t="n">
        <v>0</v>
      </c>
      <c r="J973" t="n">
        <v>0</v>
      </c>
      <c r="K973" t="n">
        <v>0</v>
      </c>
      <c r="L973" t="n">
        <v>0</v>
      </c>
      <c r="M973" t="n">
        <v>0</v>
      </c>
      <c r="N973" t="n">
        <v>0</v>
      </c>
      <c r="O973" t="n">
        <v>0</v>
      </c>
      <c r="P973" t="n">
        <v>0</v>
      </c>
      <c r="Q973" t="n">
        <v>0</v>
      </c>
      <c r="R973" s="2" t="inlineStr"/>
    </row>
    <row r="974" ht="15" customHeight="1">
      <c r="A974" t="inlineStr">
        <is>
          <t>A 949-2024</t>
        </is>
      </c>
      <c r="B974" s="1" t="n">
        <v>45301</v>
      </c>
      <c r="C974" s="1" t="n">
        <v>46076</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407-2026</t>
        </is>
      </c>
      <c r="B975" s="1" t="n">
        <v>46028.68821759259</v>
      </c>
      <c r="C975" s="1" t="n">
        <v>46076</v>
      </c>
      <c r="D975" t="inlineStr">
        <is>
          <t>KALMAR LÄN</t>
        </is>
      </c>
      <c r="E975" t="inlineStr">
        <is>
          <t>VÄSTERVIK</t>
        </is>
      </c>
      <c r="G975" t="n">
        <v>4.6</v>
      </c>
      <c r="H975" t="n">
        <v>0</v>
      </c>
      <c r="I975" t="n">
        <v>0</v>
      </c>
      <c r="J975" t="n">
        <v>0</v>
      </c>
      <c r="K975" t="n">
        <v>0</v>
      </c>
      <c r="L975" t="n">
        <v>0</v>
      </c>
      <c r="M975" t="n">
        <v>0</v>
      </c>
      <c r="N975" t="n">
        <v>0</v>
      </c>
      <c r="O975" t="n">
        <v>0</v>
      </c>
      <c r="P975" t="n">
        <v>0</v>
      </c>
      <c r="Q975" t="n">
        <v>0</v>
      </c>
      <c r="R975" s="2" t="inlineStr"/>
    </row>
    <row r="976" ht="15" customHeight="1">
      <c r="A976" t="inlineStr">
        <is>
          <t>A 59212-2022</t>
        </is>
      </c>
      <c r="B976" s="1" t="n">
        <v>44904.52560185185</v>
      </c>
      <c r="C976" s="1" t="n">
        <v>46076</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59227-2022</t>
        </is>
      </c>
      <c r="B977" s="1" t="n">
        <v>44904</v>
      </c>
      <c r="C977" s="1" t="n">
        <v>46076</v>
      </c>
      <c r="D977" t="inlineStr">
        <is>
          <t>KALMAR LÄN</t>
        </is>
      </c>
      <c r="E977" t="inlineStr">
        <is>
          <t>VÄSTERVIK</t>
        </is>
      </c>
      <c r="G977" t="n">
        <v>6</v>
      </c>
      <c r="H977" t="n">
        <v>0</v>
      </c>
      <c r="I977" t="n">
        <v>0</v>
      </c>
      <c r="J977" t="n">
        <v>0</v>
      </c>
      <c r="K977" t="n">
        <v>0</v>
      </c>
      <c r="L977" t="n">
        <v>0</v>
      </c>
      <c r="M977" t="n">
        <v>0</v>
      </c>
      <c r="N977" t="n">
        <v>0</v>
      </c>
      <c r="O977" t="n">
        <v>0</v>
      </c>
      <c r="P977" t="n">
        <v>0</v>
      </c>
      <c r="Q977" t="n">
        <v>0</v>
      </c>
      <c r="R977" s="2" t="inlineStr"/>
    </row>
    <row r="978" ht="15" customHeight="1">
      <c r="A978" t="inlineStr">
        <is>
          <t>A 47945-2023</t>
        </is>
      </c>
      <c r="B978" s="1" t="n">
        <v>45204.5684837963</v>
      </c>
      <c r="C978" s="1" t="n">
        <v>46076</v>
      </c>
      <c r="D978" t="inlineStr">
        <is>
          <t>KALMAR LÄN</t>
        </is>
      </c>
      <c r="E978" t="inlineStr">
        <is>
          <t>VÄSTERVIK</t>
        </is>
      </c>
      <c r="G978" t="n">
        <v>2</v>
      </c>
      <c r="H978" t="n">
        <v>0</v>
      </c>
      <c r="I978" t="n">
        <v>0</v>
      </c>
      <c r="J978" t="n">
        <v>0</v>
      </c>
      <c r="K978" t="n">
        <v>0</v>
      </c>
      <c r="L978" t="n">
        <v>0</v>
      </c>
      <c r="M978" t="n">
        <v>0</v>
      </c>
      <c r="N978" t="n">
        <v>0</v>
      </c>
      <c r="O978" t="n">
        <v>0</v>
      </c>
      <c r="P978" t="n">
        <v>0</v>
      </c>
      <c r="Q978" t="n">
        <v>0</v>
      </c>
      <c r="R978" s="2" t="inlineStr"/>
    </row>
    <row r="979" ht="15" customHeight="1">
      <c r="A979" t="inlineStr">
        <is>
          <t>A 12520-2021</t>
        </is>
      </c>
      <c r="B979" s="1" t="n">
        <v>44269</v>
      </c>
      <c r="C979" s="1" t="n">
        <v>46076</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447-2026</t>
        </is>
      </c>
      <c r="B980" s="1" t="n">
        <v>46029.345625</v>
      </c>
      <c r="C980" s="1" t="n">
        <v>46076</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35652-2023</t>
        </is>
      </c>
      <c r="B981" s="1" t="n">
        <v>45147.59215277778</v>
      </c>
      <c r="C981" s="1" t="n">
        <v>46076</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719-2026</t>
        </is>
      </c>
      <c r="B982" s="1" t="n">
        <v>46029.6319212963</v>
      </c>
      <c r="C982" s="1" t="n">
        <v>46076</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740-2026</t>
        </is>
      </c>
      <c r="B983" s="1" t="n">
        <v>46029.66045138889</v>
      </c>
      <c r="C983" s="1" t="n">
        <v>46076</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18068-2023</t>
        </is>
      </c>
      <c r="B984" s="1" t="n">
        <v>45040</v>
      </c>
      <c r="C984" s="1" t="n">
        <v>46076</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55958-2023</t>
        </is>
      </c>
      <c r="B985" s="1" t="n">
        <v>45240.34900462963</v>
      </c>
      <c r="C985" s="1" t="n">
        <v>46076</v>
      </c>
      <c r="D985" t="inlineStr">
        <is>
          <t>KALMAR LÄN</t>
        </is>
      </c>
      <c r="E985" t="inlineStr">
        <is>
          <t>VÄSTERVIK</t>
        </is>
      </c>
      <c r="G985" t="n">
        <v>1.6</v>
      </c>
      <c r="H985" t="n">
        <v>0</v>
      </c>
      <c r="I985" t="n">
        <v>0</v>
      </c>
      <c r="J985" t="n">
        <v>0</v>
      </c>
      <c r="K985" t="n">
        <v>0</v>
      </c>
      <c r="L985" t="n">
        <v>0</v>
      </c>
      <c r="M985" t="n">
        <v>0</v>
      </c>
      <c r="N985" t="n">
        <v>0</v>
      </c>
      <c r="O985" t="n">
        <v>0</v>
      </c>
      <c r="P985" t="n">
        <v>0</v>
      </c>
      <c r="Q985" t="n">
        <v>0</v>
      </c>
      <c r="R985" s="2" t="inlineStr"/>
    </row>
    <row r="986" ht="15" customHeight="1">
      <c r="A986" t="inlineStr">
        <is>
          <t>A 18143-2024</t>
        </is>
      </c>
      <c r="B986" s="1" t="n">
        <v>45420</v>
      </c>
      <c r="C986" s="1" t="n">
        <v>46076</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895-2026</t>
        </is>
      </c>
      <c r="B987" s="1" t="n">
        <v>46030.45925925926</v>
      </c>
      <c r="C987" s="1" t="n">
        <v>46076</v>
      </c>
      <c r="D987" t="inlineStr">
        <is>
          <t>KALMAR LÄN</t>
        </is>
      </c>
      <c r="E987" t="inlineStr">
        <is>
          <t>VÄSTERVIK</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21942-2023</t>
        </is>
      </c>
      <c r="B988" s="1" t="n">
        <v>45068</v>
      </c>
      <c r="C988" s="1" t="n">
        <v>46076</v>
      </c>
      <c r="D988" t="inlineStr">
        <is>
          <t>KALMAR LÄN</t>
        </is>
      </c>
      <c r="E988" t="inlineStr">
        <is>
          <t>VÄSTERVIK</t>
        </is>
      </c>
      <c r="G988" t="n">
        <v>1.3</v>
      </c>
      <c r="H988" t="n">
        <v>0</v>
      </c>
      <c r="I988" t="n">
        <v>0</v>
      </c>
      <c r="J988" t="n">
        <v>0</v>
      </c>
      <c r="K988" t="n">
        <v>0</v>
      </c>
      <c r="L988" t="n">
        <v>0</v>
      </c>
      <c r="M988" t="n">
        <v>0</v>
      </c>
      <c r="N988" t="n">
        <v>0</v>
      </c>
      <c r="O988" t="n">
        <v>0</v>
      </c>
      <c r="P988" t="n">
        <v>0</v>
      </c>
      <c r="Q988" t="n">
        <v>0</v>
      </c>
      <c r="R988" s="2" t="inlineStr"/>
    </row>
    <row r="989" ht="15" customHeight="1">
      <c r="A989" t="inlineStr">
        <is>
          <t>A 58216-2022</t>
        </is>
      </c>
      <c r="B989" s="1" t="n">
        <v>44901.36292824074</v>
      </c>
      <c r="C989" s="1" t="n">
        <v>46076</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15379-2025</t>
        </is>
      </c>
      <c r="B990" s="1" t="n">
        <v>45747.40813657407</v>
      </c>
      <c r="C990" s="1" t="n">
        <v>46076</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11189-2024</t>
        </is>
      </c>
      <c r="B991" s="1" t="n">
        <v>45371</v>
      </c>
      <c r="C991" s="1" t="n">
        <v>46076</v>
      </c>
      <c r="D991" t="inlineStr">
        <is>
          <t>KALMAR LÄN</t>
        </is>
      </c>
      <c r="E991" t="inlineStr">
        <is>
          <t>VÄSTERVIK</t>
        </is>
      </c>
      <c r="G991" t="n">
        <v>5.2</v>
      </c>
      <c r="H991" t="n">
        <v>0</v>
      </c>
      <c r="I991" t="n">
        <v>0</v>
      </c>
      <c r="J991" t="n">
        <v>0</v>
      </c>
      <c r="K991" t="n">
        <v>0</v>
      </c>
      <c r="L991" t="n">
        <v>0</v>
      </c>
      <c r="M991" t="n">
        <v>0</v>
      </c>
      <c r="N991" t="n">
        <v>0</v>
      </c>
      <c r="O991" t="n">
        <v>0</v>
      </c>
      <c r="P991" t="n">
        <v>0</v>
      </c>
      <c r="Q991" t="n">
        <v>0</v>
      </c>
      <c r="R991" s="2" t="inlineStr"/>
    </row>
    <row r="992" ht="15" customHeight="1">
      <c r="A992" t="inlineStr">
        <is>
          <t>A 11791-2024</t>
        </is>
      </c>
      <c r="B992" s="1" t="n">
        <v>45374.97038194445</v>
      </c>
      <c r="C992" s="1" t="n">
        <v>46076</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6938-2025</t>
        </is>
      </c>
      <c r="B993" s="1" t="n">
        <v>45701.46288194445</v>
      </c>
      <c r="C993" s="1" t="n">
        <v>46076</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58764-2024</t>
        </is>
      </c>
      <c r="B994" s="1" t="n">
        <v>45635.72293981481</v>
      </c>
      <c r="C994" s="1" t="n">
        <v>46076</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925-2024</t>
        </is>
      </c>
      <c r="B995" s="1" t="n">
        <v>45301</v>
      </c>
      <c r="C995" s="1" t="n">
        <v>46076</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24881-2023</t>
        </is>
      </c>
      <c r="B996" s="1" t="n">
        <v>45085</v>
      </c>
      <c r="C996" s="1" t="n">
        <v>46076</v>
      </c>
      <c r="D996" t="inlineStr">
        <is>
          <t>KALMAR LÄN</t>
        </is>
      </c>
      <c r="E996" t="inlineStr">
        <is>
          <t>VÄSTERVIK</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39982-2024</t>
        </is>
      </c>
      <c r="B997" s="1" t="n">
        <v>45553.61355324074</v>
      </c>
      <c r="C997" s="1" t="n">
        <v>46076</v>
      </c>
      <c r="D997" t="inlineStr">
        <is>
          <t>KALMAR LÄN</t>
        </is>
      </c>
      <c r="E997" t="inlineStr">
        <is>
          <t>VÄSTERVIK</t>
        </is>
      </c>
      <c r="G997" t="n">
        <v>2.1</v>
      </c>
      <c r="H997" t="n">
        <v>0</v>
      </c>
      <c r="I997" t="n">
        <v>0</v>
      </c>
      <c r="J997" t="n">
        <v>0</v>
      </c>
      <c r="K997" t="n">
        <v>0</v>
      </c>
      <c r="L997" t="n">
        <v>0</v>
      </c>
      <c r="M997" t="n">
        <v>0</v>
      </c>
      <c r="N997" t="n">
        <v>0</v>
      </c>
      <c r="O997" t="n">
        <v>0</v>
      </c>
      <c r="P997" t="n">
        <v>0</v>
      </c>
      <c r="Q997" t="n">
        <v>0</v>
      </c>
      <c r="R997" s="2" t="inlineStr"/>
    </row>
    <row r="998" ht="15" customHeight="1">
      <c r="A998" t="inlineStr">
        <is>
          <t>A 28895-2023</t>
        </is>
      </c>
      <c r="B998" s="1" t="n">
        <v>45104</v>
      </c>
      <c r="C998" s="1" t="n">
        <v>46076</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25488-2023</t>
        </is>
      </c>
      <c r="B999" s="1" t="n">
        <v>45089</v>
      </c>
      <c r="C999" s="1" t="n">
        <v>46076</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15875-2023</t>
        </is>
      </c>
      <c r="B1000" s="1" t="n">
        <v>45022.41916666667</v>
      </c>
      <c r="C1000" s="1" t="n">
        <v>46076</v>
      </c>
      <c r="D1000" t="inlineStr">
        <is>
          <t>KALMAR LÄN</t>
        </is>
      </c>
      <c r="E1000" t="inlineStr">
        <is>
          <t>VÄSTERVIK</t>
        </is>
      </c>
      <c r="F1000" t="inlineStr">
        <is>
          <t>Kyrkan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58090-2021</t>
        </is>
      </c>
      <c r="B1001" s="1" t="n">
        <v>44487.50277777778</v>
      </c>
      <c r="C1001" s="1" t="n">
        <v>46076</v>
      </c>
      <c r="D1001" t="inlineStr">
        <is>
          <t>KALMAR LÄN</t>
        </is>
      </c>
      <c r="E1001" t="inlineStr">
        <is>
          <t>VÄSTERVIK</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17052-2025</t>
        </is>
      </c>
      <c r="B1002" s="1" t="n">
        <v>45755.60236111111</v>
      </c>
      <c r="C1002" s="1" t="n">
        <v>46076</v>
      </c>
      <c r="D1002" t="inlineStr">
        <is>
          <t>KALMAR LÄN</t>
        </is>
      </c>
      <c r="E1002" t="inlineStr">
        <is>
          <t>VÄSTERVIK</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17054-2025</t>
        </is>
      </c>
      <c r="B1003" s="1" t="n">
        <v>45755.60278935185</v>
      </c>
      <c r="C1003" s="1" t="n">
        <v>46076</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23743-2022</t>
        </is>
      </c>
      <c r="B1004" s="1" t="n">
        <v>44722.35611111111</v>
      </c>
      <c r="C1004" s="1" t="n">
        <v>46076</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37326-2024</t>
        </is>
      </c>
      <c r="B1005" s="1" t="n">
        <v>45540</v>
      </c>
      <c r="C1005" s="1" t="n">
        <v>46076</v>
      </c>
      <c r="D1005" t="inlineStr">
        <is>
          <t>KALMAR LÄN</t>
        </is>
      </c>
      <c r="E1005" t="inlineStr">
        <is>
          <t>VÄSTERVIK</t>
        </is>
      </c>
      <c r="F1005" t="inlineStr">
        <is>
          <t>Holmen skog AB</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29789-2024</t>
        </is>
      </c>
      <c r="B1006" s="1" t="n">
        <v>45485.46721064814</v>
      </c>
      <c r="C1006" s="1" t="n">
        <v>46076</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59675-2022</t>
        </is>
      </c>
      <c r="B1007" s="1" t="n">
        <v>44908</v>
      </c>
      <c r="C1007" s="1" t="n">
        <v>46076</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50911-2022</t>
        </is>
      </c>
      <c r="B1008" s="1" t="n">
        <v>44867.62262731481</v>
      </c>
      <c r="C1008" s="1" t="n">
        <v>46076</v>
      </c>
      <c r="D1008" t="inlineStr">
        <is>
          <t>KALMAR LÄN</t>
        </is>
      </c>
      <c r="E1008" t="inlineStr">
        <is>
          <t>VÄSTERVIK</t>
        </is>
      </c>
      <c r="F1008" t="inlineStr">
        <is>
          <t>Sveaskog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26061-2024</t>
        </is>
      </c>
      <c r="B1009" s="1" t="n">
        <v>45468.35030092593</v>
      </c>
      <c r="C1009" s="1" t="n">
        <v>46076</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26066-2024</t>
        </is>
      </c>
      <c r="B1010" s="1" t="n">
        <v>45468.35390046296</v>
      </c>
      <c r="C1010" s="1" t="n">
        <v>46076</v>
      </c>
      <c r="D1010" t="inlineStr">
        <is>
          <t>KALMAR LÄN</t>
        </is>
      </c>
      <c r="E1010" t="inlineStr">
        <is>
          <t>VÄSTERVIK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54951-2023</t>
        </is>
      </c>
      <c r="B1011" s="1" t="n">
        <v>45236.82902777778</v>
      </c>
      <c r="C1011" s="1" t="n">
        <v>46076</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23411-2022</t>
        </is>
      </c>
      <c r="B1012" s="1" t="n">
        <v>44720.70361111111</v>
      </c>
      <c r="C1012" s="1" t="n">
        <v>46076</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14080-2025</t>
        </is>
      </c>
      <c r="B1013" s="1" t="n">
        <v>45740.43785879629</v>
      </c>
      <c r="C1013" s="1" t="n">
        <v>46076</v>
      </c>
      <c r="D1013" t="inlineStr">
        <is>
          <t>KALMAR LÄN</t>
        </is>
      </c>
      <c r="E1013" t="inlineStr">
        <is>
          <t>VÄSTERVIK</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4496-2022</t>
        </is>
      </c>
      <c r="B1014" s="1" t="n">
        <v>44589.67060185185</v>
      </c>
      <c r="C1014" s="1" t="n">
        <v>46076</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9037-2023</t>
        </is>
      </c>
      <c r="B1015" s="1" t="n">
        <v>44979.65015046296</v>
      </c>
      <c r="C1015" s="1" t="n">
        <v>46076</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1798-2023</t>
        </is>
      </c>
      <c r="B1016" s="1" t="n">
        <v>44938</v>
      </c>
      <c r="C1016" s="1" t="n">
        <v>46076</v>
      </c>
      <c r="D1016" t="inlineStr">
        <is>
          <t>KALMAR LÄN</t>
        </is>
      </c>
      <c r="E1016" t="inlineStr">
        <is>
          <t>VÄSTERVIK</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28291-2024</t>
        </is>
      </c>
      <c r="B1017" s="1" t="n">
        <v>45477</v>
      </c>
      <c r="C1017" s="1" t="n">
        <v>46076</v>
      </c>
      <c r="D1017" t="inlineStr">
        <is>
          <t>KALMAR LÄN</t>
        </is>
      </c>
      <c r="E1017" t="inlineStr">
        <is>
          <t>VÄSTERVIK</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56440-2024</t>
        </is>
      </c>
      <c r="B1018" s="1" t="n">
        <v>45625.41949074074</v>
      </c>
      <c r="C1018" s="1" t="n">
        <v>46076</v>
      </c>
      <c r="D1018" t="inlineStr">
        <is>
          <t>KALMAR LÄN</t>
        </is>
      </c>
      <c r="E1018" t="inlineStr">
        <is>
          <t>VÄSTERVIK</t>
        </is>
      </c>
      <c r="F1018" t="inlineStr">
        <is>
          <t>Övriga Aktiebolag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28344-2024</t>
        </is>
      </c>
      <c r="B1019" s="1" t="n">
        <v>45477.55280092593</v>
      </c>
      <c r="C1019" s="1" t="n">
        <v>46076</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9269-2025</t>
        </is>
      </c>
      <c r="B1020" s="1" t="n">
        <v>45714.61543981481</v>
      </c>
      <c r="C1020" s="1" t="n">
        <v>46076</v>
      </c>
      <c r="D1020" t="inlineStr">
        <is>
          <t>KALMAR LÄN</t>
        </is>
      </c>
      <c r="E1020" t="inlineStr">
        <is>
          <t>VÄSTERVIK</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12433-2024</t>
        </is>
      </c>
      <c r="B1021" s="1" t="n">
        <v>45379.44450231481</v>
      </c>
      <c r="C1021" s="1" t="n">
        <v>46076</v>
      </c>
      <c r="D1021" t="inlineStr">
        <is>
          <t>KALMAR LÄN</t>
        </is>
      </c>
      <c r="E1021" t="inlineStr">
        <is>
          <t>VÄSTERVIK</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10441-2022</t>
        </is>
      </c>
      <c r="B1022" s="1" t="n">
        <v>44623</v>
      </c>
      <c r="C1022" s="1" t="n">
        <v>46076</v>
      </c>
      <c r="D1022" t="inlineStr">
        <is>
          <t>KALMAR LÄN</t>
        </is>
      </c>
      <c r="E1022" t="inlineStr">
        <is>
          <t>VÄSTERVIK</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16689-2025</t>
        </is>
      </c>
      <c r="B1023" s="1" t="n">
        <v>45754.45739583333</v>
      </c>
      <c r="C1023" s="1" t="n">
        <v>46076</v>
      </c>
      <c r="D1023" t="inlineStr">
        <is>
          <t>KALMAR LÄN</t>
        </is>
      </c>
      <c r="E1023" t="inlineStr">
        <is>
          <t>VÄSTERVIK</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16693-2025</t>
        </is>
      </c>
      <c r="B1024" s="1" t="n">
        <v>45754.4644675926</v>
      </c>
      <c r="C1024" s="1" t="n">
        <v>46076</v>
      </c>
      <c r="D1024" t="inlineStr">
        <is>
          <t>KALMAR LÄN</t>
        </is>
      </c>
      <c r="E1024" t="inlineStr">
        <is>
          <t>VÄSTERVIK</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46070-2023</t>
        </is>
      </c>
      <c r="B1025" s="1" t="n">
        <v>45196</v>
      </c>
      <c r="C1025" s="1" t="n">
        <v>46076</v>
      </c>
      <c r="D1025" t="inlineStr">
        <is>
          <t>KALMAR LÄN</t>
        </is>
      </c>
      <c r="E1025" t="inlineStr">
        <is>
          <t>VÄSTERVIK</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63361-2023</t>
        </is>
      </c>
      <c r="B1026" s="1" t="n">
        <v>45274.46324074074</v>
      </c>
      <c r="C1026" s="1" t="n">
        <v>46076</v>
      </c>
      <c r="D1026" t="inlineStr">
        <is>
          <t>KALMAR LÄN</t>
        </is>
      </c>
      <c r="E1026" t="inlineStr">
        <is>
          <t>VÄSTERVIK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35961-2023</t>
        </is>
      </c>
      <c r="B1027" s="1" t="n">
        <v>45148.85041666667</v>
      </c>
      <c r="C1027" s="1" t="n">
        <v>46076</v>
      </c>
      <c r="D1027" t="inlineStr">
        <is>
          <t>KALMAR LÄN</t>
        </is>
      </c>
      <c r="E1027" t="inlineStr">
        <is>
          <t>VÄSTERVIK</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28952-2023</t>
        </is>
      </c>
      <c r="B1028" s="1" t="n">
        <v>45104</v>
      </c>
      <c r="C1028" s="1" t="n">
        <v>46076</v>
      </c>
      <c r="D1028" t="inlineStr">
        <is>
          <t>KALMAR LÄN</t>
        </is>
      </c>
      <c r="E1028" t="inlineStr">
        <is>
          <t>VÄSTERVIK</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23992-2021</t>
        </is>
      </c>
      <c r="B1029" s="1" t="n">
        <v>44335</v>
      </c>
      <c r="C1029" s="1" t="n">
        <v>46076</v>
      </c>
      <c r="D1029" t="inlineStr">
        <is>
          <t>KALMAR LÄN</t>
        </is>
      </c>
      <c r="E1029" t="inlineStr">
        <is>
          <t>VÄSTERVIK</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7925-2023</t>
        </is>
      </c>
      <c r="B1030" s="1" t="n">
        <v>44973.64606481481</v>
      </c>
      <c r="C1030" s="1" t="n">
        <v>46076</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28222-2024</t>
        </is>
      </c>
      <c r="B1031" s="1" t="n">
        <v>45477.36993055556</v>
      </c>
      <c r="C1031" s="1" t="n">
        <v>46076</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15553-2024</t>
        </is>
      </c>
      <c r="B1032" s="1" t="n">
        <v>45401.63736111111</v>
      </c>
      <c r="C1032" s="1" t="n">
        <v>46076</v>
      </c>
      <c r="D1032" t="inlineStr">
        <is>
          <t>KALMAR LÄN</t>
        </is>
      </c>
      <c r="E1032" t="inlineStr">
        <is>
          <t>VÄSTERVIK</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38045-2023</t>
        </is>
      </c>
      <c r="B1033" s="1" t="n">
        <v>45160.67251157408</v>
      </c>
      <c r="C1033" s="1" t="n">
        <v>46076</v>
      </c>
      <c r="D1033" t="inlineStr">
        <is>
          <t>KALMAR LÄN</t>
        </is>
      </c>
      <c r="E1033" t="inlineStr">
        <is>
          <t>VÄSTERVIK</t>
        </is>
      </c>
      <c r="F1033" t="inlineStr">
        <is>
          <t>Sveaskog</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46076</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62422-2022</t>
        </is>
      </c>
      <c r="B1035" s="1" t="n">
        <v>44924</v>
      </c>
      <c r="C1035" s="1" t="n">
        <v>46076</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24567-2024</t>
        </is>
      </c>
      <c r="B1036" s="1" t="n">
        <v>45460.44732638889</v>
      </c>
      <c r="C1036" s="1" t="n">
        <v>46076</v>
      </c>
      <c r="D1036" t="inlineStr">
        <is>
          <t>KALMAR LÄN</t>
        </is>
      </c>
      <c r="E1036" t="inlineStr">
        <is>
          <t>VÄSTERVIK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23316-2023</t>
        </is>
      </c>
      <c r="B1037" s="1" t="n">
        <v>45076.02563657407</v>
      </c>
      <c r="C1037" s="1" t="n">
        <v>46076</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16680-2025</t>
        </is>
      </c>
      <c r="B1038" s="1" t="n">
        <v>45754.44952546297</v>
      </c>
      <c r="C1038" s="1" t="n">
        <v>46076</v>
      </c>
      <c r="D1038" t="inlineStr">
        <is>
          <t>KALMAR LÄN</t>
        </is>
      </c>
      <c r="E1038" t="inlineStr">
        <is>
          <t>VÄSTERVIK</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16683-2025</t>
        </is>
      </c>
      <c r="B1039" s="1" t="n">
        <v>45754.45234953704</v>
      </c>
      <c r="C1039" s="1" t="n">
        <v>46076</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16686-2025</t>
        </is>
      </c>
      <c r="B1040" s="1" t="n">
        <v>45754.45355324074</v>
      </c>
      <c r="C1040" s="1" t="n">
        <v>46076</v>
      </c>
      <c r="D1040" t="inlineStr">
        <is>
          <t>KALMAR LÄN</t>
        </is>
      </c>
      <c r="E1040" t="inlineStr">
        <is>
          <t>VÄSTERVIK</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46130-2023</t>
        </is>
      </c>
      <c r="B1041" s="1" t="n">
        <v>45196.55849537037</v>
      </c>
      <c r="C1041" s="1" t="n">
        <v>46076</v>
      </c>
      <c r="D1041" t="inlineStr">
        <is>
          <t>KALMAR LÄN</t>
        </is>
      </c>
      <c r="E1041" t="inlineStr">
        <is>
          <t>VÄSTERVIK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56033-2023</t>
        </is>
      </c>
      <c r="B1042" s="1" t="n">
        <v>45240.43778935185</v>
      </c>
      <c r="C1042" s="1" t="n">
        <v>46076</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46076</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60056-2023</t>
        </is>
      </c>
      <c r="B1044" s="1" t="n">
        <v>45258</v>
      </c>
      <c r="C1044" s="1" t="n">
        <v>46076</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59196-2024</t>
        </is>
      </c>
      <c r="B1045" s="1" t="n">
        <v>45637.54589120371</v>
      </c>
      <c r="C1045" s="1" t="n">
        <v>46076</v>
      </c>
      <c r="D1045" t="inlineStr">
        <is>
          <t>KALMAR LÄN</t>
        </is>
      </c>
      <c r="E1045" t="inlineStr">
        <is>
          <t>VÄSTERVIK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944-2024</t>
        </is>
      </c>
      <c r="B1046" s="1" t="n">
        <v>45301.54230324074</v>
      </c>
      <c r="C1046" s="1" t="n">
        <v>46076</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946-2024</t>
        </is>
      </c>
      <c r="B1047" s="1" t="n">
        <v>45301.54412037037</v>
      </c>
      <c r="C1047" s="1" t="n">
        <v>46076</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5982-2023</t>
        </is>
      </c>
      <c r="B1048" s="1" t="n">
        <v>44964.35730324074</v>
      </c>
      <c r="C1048" s="1" t="n">
        <v>46076</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39980-2024</t>
        </is>
      </c>
      <c r="B1049" s="1" t="n">
        <v>45553.61098379629</v>
      </c>
      <c r="C1049" s="1" t="n">
        <v>46076</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3467-2025</t>
        </is>
      </c>
      <c r="B1050" s="1" t="n">
        <v>45680.50885416667</v>
      </c>
      <c r="C1050" s="1" t="n">
        <v>46076</v>
      </c>
      <c r="D1050" t="inlineStr">
        <is>
          <t>KALMAR LÄN</t>
        </is>
      </c>
      <c r="E1050" t="inlineStr">
        <is>
          <t>VÄSTERVIK</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3776-2024</t>
        </is>
      </c>
      <c r="B1051" s="1" t="n">
        <v>45321.58569444445</v>
      </c>
      <c r="C1051" s="1" t="n">
        <v>46076</v>
      </c>
      <c r="D1051" t="inlineStr">
        <is>
          <t>KALMAR LÄN</t>
        </is>
      </c>
      <c r="E1051" t="inlineStr">
        <is>
          <t>VÄSTERVIK</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3828-2024</t>
        </is>
      </c>
      <c r="B1052" s="1" t="n">
        <v>45321</v>
      </c>
      <c r="C1052" s="1" t="n">
        <v>46076</v>
      </c>
      <c r="D1052" t="inlineStr">
        <is>
          <t>KALMAR LÄN</t>
        </is>
      </c>
      <c r="E1052" t="inlineStr">
        <is>
          <t>VÄSTERVIK</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13837-2024</t>
        </is>
      </c>
      <c r="B1053" s="1" t="n">
        <v>45391.4450462963</v>
      </c>
      <c r="C1053" s="1" t="n">
        <v>46076</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13839-2024</t>
        </is>
      </c>
      <c r="B1054" s="1" t="n">
        <v>45391.44789351852</v>
      </c>
      <c r="C1054" s="1" t="n">
        <v>46076</v>
      </c>
      <c r="D1054" t="inlineStr">
        <is>
          <t>KALMAR LÄN</t>
        </is>
      </c>
      <c r="E1054" t="inlineStr">
        <is>
          <t>VÄSTERVIK</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13843-2024</t>
        </is>
      </c>
      <c r="B1055" s="1" t="n">
        <v>45391.45087962963</v>
      </c>
      <c r="C1055" s="1" t="n">
        <v>46076</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25714-2023</t>
        </is>
      </c>
      <c r="B1056" s="1" t="n">
        <v>45089</v>
      </c>
      <c r="C1056" s="1" t="n">
        <v>46076</v>
      </c>
      <c r="D1056" t="inlineStr">
        <is>
          <t>KALMAR LÄN</t>
        </is>
      </c>
      <c r="E1056" t="inlineStr">
        <is>
          <t>VÄSTERVIK</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52035-2023</t>
        </is>
      </c>
      <c r="B1057" s="1" t="n">
        <v>45216</v>
      </c>
      <c r="C1057" s="1" t="n">
        <v>46076</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49708-2024</t>
        </is>
      </c>
      <c r="B1058" s="1" t="n">
        <v>45596.69846064815</v>
      </c>
      <c r="C1058" s="1" t="n">
        <v>46076</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10803-2025</t>
        </is>
      </c>
      <c r="B1059" s="1" t="n">
        <v>45722.52284722222</v>
      </c>
      <c r="C1059" s="1" t="n">
        <v>46076</v>
      </c>
      <c r="D1059" t="inlineStr">
        <is>
          <t>KALMAR LÄN</t>
        </is>
      </c>
      <c r="E1059" t="inlineStr">
        <is>
          <t>VÄSTERVIK</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54569-2023</t>
        </is>
      </c>
      <c r="B1060" s="1" t="n">
        <v>45233.65532407408</v>
      </c>
      <c r="C1060" s="1" t="n">
        <v>46076</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12435-2024</t>
        </is>
      </c>
      <c r="B1061" s="1" t="n">
        <v>45379.4459375</v>
      </c>
      <c r="C1061" s="1" t="n">
        <v>46076</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14529-2022</t>
        </is>
      </c>
      <c r="B1062" s="1" t="n">
        <v>44655</v>
      </c>
      <c r="C1062" s="1" t="n">
        <v>46076</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9792-2023</t>
        </is>
      </c>
      <c r="B1063" s="1" t="n">
        <v>44984.64269675926</v>
      </c>
      <c r="C1063" s="1" t="n">
        <v>46076</v>
      </c>
      <c r="D1063" t="inlineStr">
        <is>
          <t>KALMAR LÄN</t>
        </is>
      </c>
      <c r="E1063" t="inlineStr">
        <is>
          <t>VÄSTERVIK</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37033-2021</t>
        </is>
      </c>
      <c r="B1064" s="1" t="n">
        <v>44393</v>
      </c>
      <c r="C1064" s="1" t="n">
        <v>46076</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21831-2023</t>
        </is>
      </c>
      <c r="B1065" s="1" t="n">
        <v>45068</v>
      </c>
      <c r="C1065" s="1" t="n">
        <v>46076</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10419-2023</t>
        </is>
      </c>
      <c r="B1066" s="1" t="n">
        <v>44987</v>
      </c>
      <c r="C1066" s="1" t="n">
        <v>46076</v>
      </c>
      <c r="D1066" t="inlineStr">
        <is>
          <t>KALMAR LÄN</t>
        </is>
      </c>
      <c r="E1066" t="inlineStr">
        <is>
          <t>VÄSTERVIK</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46560-2022</t>
        </is>
      </c>
      <c r="B1067" s="1" t="n">
        <v>44848</v>
      </c>
      <c r="C1067" s="1" t="n">
        <v>46076</v>
      </c>
      <c r="D1067" t="inlineStr">
        <is>
          <t>KALMAR LÄN</t>
        </is>
      </c>
      <c r="E1067" t="inlineStr">
        <is>
          <t>VÄSTERVIK</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170-2022</t>
        </is>
      </c>
      <c r="B1068" s="1" t="n">
        <v>44564.62540509259</v>
      </c>
      <c r="C1068" s="1" t="n">
        <v>46076</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174-2022</t>
        </is>
      </c>
      <c r="B1069" s="1" t="n">
        <v>44564.62763888889</v>
      </c>
      <c r="C1069" s="1" t="n">
        <v>46076</v>
      </c>
      <c r="D1069" t="inlineStr">
        <is>
          <t>KALMAR LÄN</t>
        </is>
      </c>
      <c r="E1069" t="inlineStr">
        <is>
          <t>VÄSTERVIK</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31318-2021</t>
        </is>
      </c>
      <c r="B1070" s="1" t="n">
        <v>44368</v>
      </c>
      <c r="C1070" s="1" t="n">
        <v>46076</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14685-2025</t>
        </is>
      </c>
      <c r="B1071" s="1" t="n">
        <v>45742.57653935185</v>
      </c>
      <c r="C1071" s="1" t="n">
        <v>46076</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19333-2023</t>
        </is>
      </c>
      <c r="B1072" s="1" t="n">
        <v>45049.566875</v>
      </c>
      <c r="C1072" s="1" t="n">
        <v>46076</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32388-2024</t>
        </is>
      </c>
      <c r="B1073" s="1" t="n">
        <v>45512.63465277778</v>
      </c>
      <c r="C1073" s="1" t="n">
        <v>46076</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32389-2024</t>
        </is>
      </c>
      <c r="B1074" s="1" t="n">
        <v>45512.63642361111</v>
      </c>
      <c r="C1074" s="1" t="n">
        <v>46076</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45035.54475694444</v>
      </c>
      <c r="C1075" s="1" t="n">
        <v>46076</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9110-2023</t>
        </is>
      </c>
      <c r="B1076" s="1" t="n">
        <v>44979</v>
      </c>
      <c r="C1076" s="1" t="n">
        <v>46076</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9112-2023</t>
        </is>
      </c>
      <c r="B1077" s="1" t="n">
        <v>44979</v>
      </c>
      <c r="C1077" s="1" t="n">
        <v>46076</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46076</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52049-2023</t>
        </is>
      </c>
      <c r="B1079" s="1" t="n">
        <v>45216</v>
      </c>
      <c r="C1079" s="1" t="n">
        <v>46076</v>
      </c>
      <c r="D1079" t="inlineStr">
        <is>
          <t>KALMAR LÄN</t>
        </is>
      </c>
      <c r="E1079" t="inlineStr">
        <is>
          <t>VÄSTERVIK</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34646-2023</t>
        </is>
      </c>
      <c r="B1080" s="1" t="n">
        <v>45140</v>
      </c>
      <c r="C1080" s="1" t="n">
        <v>46076</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14212-2022</t>
        </is>
      </c>
      <c r="B1081" s="1" t="n">
        <v>44651</v>
      </c>
      <c r="C1081" s="1" t="n">
        <v>46076</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21752-2024</t>
        </is>
      </c>
      <c r="B1082" s="1" t="n">
        <v>45442.58048611111</v>
      </c>
      <c r="C1082" s="1" t="n">
        <v>46076</v>
      </c>
      <c r="D1082" t="inlineStr">
        <is>
          <t>KALMAR LÄN</t>
        </is>
      </c>
      <c r="E1082" t="inlineStr">
        <is>
          <t>VÄSTERVIK</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46076</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9263-2025</t>
        </is>
      </c>
      <c r="B1084" s="1" t="n">
        <v>45714.60927083333</v>
      </c>
      <c r="C1084" s="1" t="n">
        <v>46076</v>
      </c>
      <c r="D1084" t="inlineStr">
        <is>
          <t>KALMAR LÄN</t>
        </is>
      </c>
      <c r="E1084" t="inlineStr">
        <is>
          <t>VÄSTERVIK</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33210-2022</t>
        </is>
      </c>
      <c r="B1085" s="1" t="n">
        <v>44785.74811342593</v>
      </c>
      <c r="C1085" s="1" t="n">
        <v>46076</v>
      </c>
      <c r="D1085" t="inlineStr">
        <is>
          <t>KALMAR LÄN</t>
        </is>
      </c>
      <c r="E1085" t="inlineStr">
        <is>
          <t>VÄSTERVIK</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352-2023</t>
        </is>
      </c>
      <c r="B1086" s="1" t="n">
        <v>44929.51619212963</v>
      </c>
      <c r="C1086" s="1" t="n">
        <v>46076</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25238-2021</t>
        </is>
      </c>
      <c r="B1087" s="1" t="n">
        <v>44342</v>
      </c>
      <c r="C1087" s="1" t="n">
        <v>46076</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63812-2021</t>
        </is>
      </c>
      <c r="B1088" s="1" t="n">
        <v>44509.56346064815</v>
      </c>
      <c r="C1088" s="1" t="n">
        <v>46076</v>
      </c>
      <c r="D1088" t="inlineStr">
        <is>
          <t>KALMAR LÄN</t>
        </is>
      </c>
      <c r="E1088" t="inlineStr">
        <is>
          <t>VÄSTERVIK</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10771-2025</t>
        </is>
      </c>
      <c r="B1089" s="1" t="n">
        <v>45722.46953703704</v>
      </c>
      <c r="C1089" s="1" t="n">
        <v>46076</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14072-2025</t>
        </is>
      </c>
      <c r="B1090" s="1" t="n">
        <v>45740.42978009259</v>
      </c>
      <c r="C1090" s="1" t="n">
        <v>46076</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14075-2025</t>
        </is>
      </c>
      <c r="B1091" s="1" t="n">
        <v>45740.43222222223</v>
      </c>
      <c r="C1091" s="1" t="n">
        <v>46076</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15097-2023</t>
        </is>
      </c>
      <c r="B1092" s="1" t="n">
        <v>45016</v>
      </c>
      <c r="C1092" s="1" t="n">
        <v>46076</v>
      </c>
      <c r="D1092" t="inlineStr">
        <is>
          <t>KALMAR LÄN</t>
        </is>
      </c>
      <c r="E1092" t="inlineStr">
        <is>
          <t>VÄSTERVIK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56077-2024</t>
        </is>
      </c>
      <c r="B1093" s="1" t="n">
        <v>45624.38690972222</v>
      </c>
      <c r="C1093" s="1" t="n">
        <v>46076</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29952-2022</t>
        </is>
      </c>
      <c r="B1094" s="1" t="n">
        <v>44756.62649305556</v>
      </c>
      <c r="C1094" s="1" t="n">
        <v>46076</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22740-2024</t>
        </is>
      </c>
      <c r="B1095" s="1" t="n">
        <v>45448.39869212963</v>
      </c>
      <c r="C1095" s="1" t="n">
        <v>46076</v>
      </c>
      <c r="D1095" t="inlineStr">
        <is>
          <t>KALMAR LÄN</t>
        </is>
      </c>
      <c r="E1095" t="inlineStr">
        <is>
          <t>VÄSTERVIK</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1874-2025</t>
        </is>
      </c>
      <c r="B1096" s="1" t="n">
        <v>45671.61953703704</v>
      </c>
      <c r="C1096" s="1" t="n">
        <v>46076</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4463-2022</t>
        </is>
      </c>
      <c r="B1097" s="1" t="n">
        <v>44589</v>
      </c>
      <c r="C1097" s="1" t="n">
        <v>46076</v>
      </c>
      <c r="D1097" t="inlineStr">
        <is>
          <t>KALMAR LÄN</t>
        </is>
      </c>
      <c r="E1097" t="inlineStr">
        <is>
          <t>VÄSTERVIK</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46790-2022</t>
        </is>
      </c>
      <c r="B1098" s="1" t="n">
        <v>44851</v>
      </c>
      <c r="C1098" s="1" t="n">
        <v>46076</v>
      </c>
      <c r="D1098" t="inlineStr">
        <is>
          <t>KALMAR LÄN</t>
        </is>
      </c>
      <c r="E1098" t="inlineStr">
        <is>
          <t>VÄSTERVIK</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32764-2022</t>
        </is>
      </c>
      <c r="B1099" s="1" t="n">
        <v>44783</v>
      </c>
      <c r="C1099" s="1" t="n">
        <v>46076</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55828-2022</t>
        </is>
      </c>
      <c r="B1100" s="1" t="n">
        <v>44888</v>
      </c>
      <c r="C1100" s="1" t="n">
        <v>46076</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43759-2023</t>
        </is>
      </c>
      <c r="B1101" s="1" t="n">
        <v>45187</v>
      </c>
      <c r="C1101" s="1" t="n">
        <v>46076</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28588-2022</t>
        </is>
      </c>
      <c r="B1102" s="1" t="n">
        <v>44748</v>
      </c>
      <c r="C1102" s="1" t="n">
        <v>46076</v>
      </c>
      <c r="D1102" t="inlineStr">
        <is>
          <t>KALMAR LÄN</t>
        </is>
      </c>
      <c r="E1102" t="inlineStr">
        <is>
          <t>VÄSTERVIK</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64920-2021</t>
        </is>
      </c>
      <c r="B1103" s="1" t="n">
        <v>44512</v>
      </c>
      <c r="C1103" s="1" t="n">
        <v>46076</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c r="U1103">
        <f>HYPERLINK("https://klasma.github.io/Logging_0883/knärot/A 64920-2021 karta knärot.png", "A 64920-2021")</f>
        <v/>
      </c>
      <c r="V1103">
        <f>HYPERLINK("https://klasma.github.io/Logging_0883/klagomål/A 64920-2021 FSC-klagomål.docx", "A 64920-2021")</f>
        <v/>
      </c>
      <c r="W1103">
        <f>HYPERLINK("https://klasma.github.io/Logging_0883/klagomålsmail/A 64920-2021 FSC-klagomål mail.docx", "A 64920-2021")</f>
        <v/>
      </c>
      <c r="X1103">
        <f>HYPERLINK("https://klasma.github.io/Logging_0883/tillsyn/A 64920-2021 tillsynsbegäran.docx", "A 64920-2021")</f>
        <v/>
      </c>
      <c r="Y1103">
        <f>HYPERLINK("https://klasma.github.io/Logging_0883/tillsynsmail/A 64920-2021 tillsynsbegäran mail.docx", "A 64920-2021")</f>
        <v/>
      </c>
    </row>
    <row r="1104" ht="15" customHeight="1">
      <c r="A1104" t="inlineStr">
        <is>
          <t>A 29420-2024</t>
        </is>
      </c>
      <c r="B1104" s="1" t="n">
        <v>45483</v>
      </c>
      <c r="C1104" s="1" t="n">
        <v>46076</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52774-2024</t>
        </is>
      </c>
      <c r="B1105" s="1" t="n">
        <v>45610.53413194444</v>
      </c>
      <c r="C1105" s="1" t="n">
        <v>46076</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11120-2025</t>
        </is>
      </c>
      <c r="B1106" s="1" t="n">
        <v>45723.63655092593</v>
      </c>
      <c r="C1106" s="1" t="n">
        <v>46076</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11122-2025</t>
        </is>
      </c>
      <c r="B1107" s="1" t="n">
        <v>45723.63827546296</v>
      </c>
      <c r="C1107" s="1" t="n">
        <v>46076</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6042-2023</t>
        </is>
      </c>
      <c r="B1108" s="1" t="n">
        <v>44964</v>
      </c>
      <c r="C1108" s="1" t="n">
        <v>46076</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36643-2023</t>
        </is>
      </c>
      <c r="B1109" s="1" t="n">
        <v>45153</v>
      </c>
      <c r="C1109" s="1" t="n">
        <v>46076</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16586-2022</t>
        </is>
      </c>
      <c r="B1110" s="1" t="n">
        <v>44672.47105324074</v>
      </c>
      <c r="C1110" s="1" t="n">
        <v>46076</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23580-2023</t>
        </is>
      </c>
      <c r="B1111" s="1" t="n">
        <v>45077</v>
      </c>
      <c r="C1111" s="1" t="n">
        <v>46076</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1568-2024</t>
        </is>
      </c>
      <c r="B1112" s="1" t="n">
        <v>45306.53221064815</v>
      </c>
      <c r="C1112" s="1" t="n">
        <v>46076</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1572-2024</t>
        </is>
      </c>
      <c r="B1113" s="1" t="n">
        <v>45306</v>
      </c>
      <c r="C1113" s="1" t="n">
        <v>46076</v>
      </c>
      <c r="D1113" t="inlineStr">
        <is>
          <t>KALMAR LÄN</t>
        </is>
      </c>
      <c r="E1113" t="inlineStr">
        <is>
          <t>VÄSTERVIK</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11183-2024</t>
        </is>
      </c>
      <c r="B1114" s="1" t="n">
        <v>45371.53141203704</v>
      </c>
      <c r="C1114" s="1" t="n">
        <v>46076</v>
      </c>
      <c r="D1114" t="inlineStr">
        <is>
          <t>KALMAR LÄN</t>
        </is>
      </c>
      <c r="E1114" t="inlineStr">
        <is>
          <t>VÄSTERVIK</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3185-2023</t>
        </is>
      </c>
      <c r="B1115" s="1" t="n">
        <v>44946.60753472222</v>
      </c>
      <c r="C1115" s="1" t="n">
        <v>46076</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36555-2024</t>
        </is>
      </c>
      <c r="B1116" s="1" t="n">
        <v>45537</v>
      </c>
      <c r="C1116" s="1" t="n">
        <v>46076</v>
      </c>
      <c r="D1116" t="inlineStr">
        <is>
          <t>KALMAR LÄN</t>
        </is>
      </c>
      <c r="E1116" t="inlineStr">
        <is>
          <t>VÄSTERVIK</t>
        </is>
      </c>
      <c r="F1116" t="inlineStr">
        <is>
          <t>Kommuner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32394-2021</t>
        </is>
      </c>
      <c r="B1117" s="1" t="n">
        <v>44371.63414351852</v>
      </c>
      <c r="C1117" s="1" t="n">
        <v>46076</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942-2024</t>
        </is>
      </c>
      <c r="B1118" s="1" t="n">
        <v>45301.53930555555</v>
      </c>
      <c r="C1118" s="1" t="n">
        <v>46076</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43828-2021</t>
        </is>
      </c>
      <c r="B1119" s="1" t="n">
        <v>44433</v>
      </c>
      <c r="C1119" s="1" t="n">
        <v>46076</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17650-2023</t>
        </is>
      </c>
      <c r="B1120" s="1" t="n">
        <v>45036.70215277778</v>
      </c>
      <c r="C1120" s="1" t="n">
        <v>46076</v>
      </c>
      <c r="D1120" t="inlineStr">
        <is>
          <t>KALMAR LÄN</t>
        </is>
      </c>
      <c r="E1120" t="inlineStr">
        <is>
          <t>VÄSTERVIK</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59210-2022</t>
        </is>
      </c>
      <c r="B1121" s="1" t="n">
        <v>44904.51767361111</v>
      </c>
      <c r="C1121" s="1" t="n">
        <v>46076</v>
      </c>
      <c r="D1121" t="inlineStr">
        <is>
          <t>KALMAR LÄN</t>
        </is>
      </c>
      <c r="E1121" t="inlineStr">
        <is>
          <t>VÄSTERVIK</t>
        </is>
      </c>
      <c r="G1121" t="n">
        <v>21.2</v>
      </c>
      <c r="H1121" t="n">
        <v>0</v>
      </c>
      <c r="I1121" t="n">
        <v>0</v>
      </c>
      <c r="J1121" t="n">
        <v>0</v>
      </c>
      <c r="K1121" t="n">
        <v>0</v>
      </c>
      <c r="L1121" t="n">
        <v>0</v>
      </c>
      <c r="M1121" t="n">
        <v>0</v>
      </c>
      <c r="N1121" t="n">
        <v>0</v>
      </c>
      <c r="O1121" t="n">
        <v>0</v>
      </c>
      <c r="P1121" t="n">
        <v>0</v>
      </c>
      <c r="Q1121" t="n">
        <v>0</v>
      </c>
      <c r="R1121" s="2" t="inlineStr"/>
    </row>
    <row r="1122" ht="15" customHeight="1">
      <c r="A1122" t="inlineStr">
        <is>
          <t>A 59220-2022</t>
        </is>
      </c>
      <c r="B1122" s="1" t="n">
        <v>44904.53423611111</v>
      </c>
      <c r="C1122" s="1" t="n">
        <v>46076</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45450-2023</t>
        </is>
      </c>
      <c r="B1123" s="1" t="n">
        <v>45194</v>
      </c>
      <c r="C1123" s="1" t="n">
        <v>46076</v>
      </c>
      <c r="D1123" t="inlineStr">
        <is>
          <t>KALMAR LÄN</t>
        </is>
      </c>
      <c r="E1123" t="inlineStr">
        <is>
          <t>VÄSTERVIK</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45474-2023</t>
        </is>
      </c>
      <c r="B1124" s="1" t="n">
        <v>45194</v>
      </c>
      <c r="C1124" s="1" t="n">
        <v>46076</v>
      </c>
      <c r="D1124" t="inlineStr">
        <is>
          <t>KALMAR LÄN</t>
        </is>
      </c>
      <c r="E1124" t="inlineStr">
        <is>
          <t>VÄSTERVIK</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21015-2025</t>
        </is>
      </c>
      <c r="B1125" s="1" t="n">
        <v>45777.50200231482</v>
      </c>
      <c r="C1125" s="1" t="n">
        <v>46076</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39278-2024</t>
        </is>
      </c>
      <c r="B1126" s="1" t="n">
        <v>45551.35216435185</v>
      </c>
      <c r="C1126" s="1" t="n">
        <v>46076</v>
      </c>
      <c r="D1126" t="inlineStr">
        <is>
          <t>KALMAR LÄN</t>
        </is>
      </c>
      <c r="E1126" t="inlineStr">
        <is>
          <t>VÄSTERVIK</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21503-2025</t>
        </is>
      </c>
      <c r="B1127" s="1" t="n">
        <v>45782.61456018518</v>
      </c>
      <c r="C1127" s="1" t="n">
        <v>46076</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21657-2025</t>
        </is>
      </c>
      <c r="B1128" s="1" t="n">
        <v>45783.45325231482</v>
      </c>
      <c r="C1128" s="1" t="n">
        <v>46076</v>
      </c>
      <c r="D1128" t="inlineStr">
        <is>
          <t>KALMAR LÄN</t>
        </is>
      </c>
      <c r="E1128" t="inlineStr">
        <is>
          <t>VÄSTERVIK</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21991-2025</t>
        </is>
      </c>
      <c r="B1129" s="1" t="n">
        <v>45784.6615625</v>
      </c>
      <c r="C1129" s="1" t="n">
        <v>46076</v>
      </c>
      <c r="D1129" t="inlineStr">
        <is>
          <t>KALMAR LÄN</t>
        </is>
      </c>
      <c r="E1129" t="inlineStr">
        <is>
          <t>VÄSTERVIK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28037-2024</t>
        </is>
      </c>
      <c r="B1130" s="1" t="n">
        <v>45476</v>
      </c>
      <c r="C1130" s="1" t="n">
        <v>46076</v>
      </c>
      <c r="D1130" t="inlineStr">
        <is>
          <t>KALMAR LÄN</t>
        </is>
      </c>
      <c r="E1130" t="inlineStr">
        <is>
          <t>VÄSTERVIK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46076</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46076</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ht="15" customHeight="1">
      <c r="A1133" t="inlineStr">
        <is>
          <t>A 6731-2024</t>
        </is>
      </c>
      <c r="B1133" s="1" t="n">
        <v>45342.38787037037</v>
      </c>
      <c r="C1133" s="1" t="n">
        <v>46076</v>
      </c>
      <c r="D1133" t="inlineStr">
        <is>
          <t>KALMAR LÄN</t>
        </is>
      </c>
      <c r="E1133" t="inlineStr">
        <is>
          <t>VÄSTERVIK</t>
        </is>
      </c>
      <c r="F1133" t="inlineStr">
        <is>
          <t>Holmen skog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56377-2024</t>
        </is>
      </c>
      <c r="B1134" s="1" t="n">
        <v>45625.33342592593</v>
      </c>
      <c r="C1134" s="1" t="n">
        <v>46076</v>
      </c>
      <c r="D1134" t="inlineStr">
        <is>
          <t>KALMAR LÄN</t>
        </is>
      </c>
      <c r="E1134" t="inlineStr">
        <is>
          <t>VÄSTERVIK</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8402-2025</t>
        </is>
      </c>
      <c r="B1135" s="1" t="n">
        <v>45709.38065972222</v>
      </c>
      <c r="C1135" s="1" t="n">
        <v>46076</v>
      </c>
      <c r="D1135" t="inlineStr">
        <is>
          <t>KALMAR LÄN</t>
        </is>
      </c>
      <c r="E1135" t="inlineStr">
        <is>
          <t>VÄSTERVIK</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23042-2025</t>
        </is>
      </c>
      <c r="B1136" s="1" t="n">
        <v>45790.67273148148</v>
      </c>
      <c r="C1136" s="1" t="n">
        <v>46076</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23745-2025</t>
        </is>
      </c>
      <c r="B1137" s="1" t="n">
        <v>45793.44484953704</v>
      </c>
      <c r="C1137" s="1" t="n">
        <v>46076</v>
      </c>
      <c r="D1137" t="inlineStr">
        <is>
          <t>KALMAR LÄN</t>
        </is>
      </c>
      <c r="E1137" t="inlineStr">
        <is>
          <t>VÄSTERVIK</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23739-2025</t>
        </is>
      </c>
      <c r="B1138" s="1" t="n">
        <v>45793.42939814815</v>
      </c>
      <c r="C1138" s="1" t="n">
        <v>46076</v>
      </c>
      <c r="D1138" t="inlineStr">
        <is>
          <t>KALMAR LÄN</t>
        </is>
      </c>
      <c r="E1138" t="inlineStr">
        <is>
          <t>VÄSTERVIK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23859-2025</t>
        </is>
      </c>
      <c r="B1139" s="1" t="n">
        <v>45793.65996527778</v>
      </c>
      <c r="C1139" s="1" t="n">
        <v>46076</v>
      </c>
      <c r="D1139" t="inlineStr">
        <is>
          <t>KALMAR LÄN</t>
        </is>
      </c>
      <c r="E1139" t="inlineStr">
        <is>
          <t>VÄSTERVIK</t>
        </is>
      </c>
      <c r="F1139" t="inlineStr">
        <is>
          <t>Holmen skog AB</t>
        </is>
      </c>
      <c r="G1139" t="n">
        <v>17.7</v>
      </c>
      <c r="H1139" t="n">
        <v>0</v>
      </c>
      <c r="I1139" t="n">
        <v>0</v>
      </c>
      <c r="J1139" t="n">
        <v>0</v>
      </c>
      <c r="K1139" t="n">
        <v>0</v>
      </c>
      <c r="L1139" t="n">
        <v>0</v>
      </c>
      <c r="M1139" t="n">
        <v>0</v>
      </c>
      <c r="N1139" t="n">
        <v>0</v>
      </c>
      <c r="O1139" t="n">
        <v>0</v>
      </c>
      <c r="P1139" t="n">
        <v>0</v>
      </c>
      <c r="Q1139" t="n">
        <v>0</v>
      </c>
      <c r="R1139" s="2" t="inlineStr"/>
    </row>
    <row r="1140" ht="15" customHeight="1">
      <c r="A1140" t="inlineStr">
        <is>
          <t>A 23022-2025</t>
        </is>
      </c>
      <c r="B1140" s="1" t="n">
        <v>45790.65489583334</v>
      </c>
      <c r="C1140" s="1" t="n">
        <v>46076</v>
      </c>
      <c r="D1140" t="inlineStr">
        <is>
          <t>KALMAR LÄN</t>
        </is>
      </c>
      <c r="E1140" t="inlineStr">
        <is>
          <t>VÄSTERVIK</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16080-2025</t>
        </is>
      </c>
      <c r="B1141" s="1" t="n">
        <v>45749.72953703703</v>
      </c>
      <c r="C1141" s="1" t="n">
        <v>46076</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41926-2024</t>
        </is>
      </c>
      <c r="B1142" s="1" t="n">
        <v>45561</v>
      </c>
      <c r="C1142" s="1" t="n">
        <v>46076</v>
      </c>
      <c r="D1142" t="inlineStr">
        <is>
          <t>KALMAR LÄN</t>
        </is>
      </c>
      <c r="E1142" t="inlineStr">
        <is>
          <t>VÄSTERVIK</t>
        </is>
      </c>
      <c r="F1142" t="inlineStr">
        <is>
          <t>Kyrkan</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24819-2025</t>
        </is>
      </c>
      <c r="B1143" s="1" t="n">
        <v>45799.45109953704</v>
      </c>
      <c r="C1143" s="1" t="n">
        <v>46076</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7840-2025</t>
        </is>
      </c>
      <c r="B1144" s="1" t="n">
        <v>45706.65895833333</v>
      </c>
      <c r="C1144" s="1" t="n">
        <v>46076</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14237-2024</t>
        </is>
      </c>
      <c r="B1145" s="1" t="n">
        <v>45393.47158564815</v>
      </c>
      <c r="C1145" s="1" t="n">
        <v>46076</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65059-2023</t>
        </is>
      </c>
      <c r="B1146" s="1" t="n">
        <v>45287</v>
      </c>
      <c r="C1146" s="1" t="n">
        <v>46076</v>
      </c>
      <c r="D1146" t="inlineStr">
        <is>
          <t>KALMAR LÄN</t>
        </is>
      </c>
      <c r="E1146" t="inlineStr">
        <is>
          <t>VÄSTERVIK</t>
        </is>
      </c>
      <c r="F1146" t="inlineStr">
        <is>
          <t>Holmen skog AB</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4579-2023</t>
        </is>
      </c>
      <c r="B1147" s="1" t="n">
        <v>44956.72383101852</v>
      </c>
      <c r="C1147" s="1" t="n">
        <v>46076</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25819-2025</t>
        </is>
      </c>
      <c r="B1148" s="1" t="n">
        <v>45804.43547453704</v>
      </c>
      <c r="C1148" s="1" t="n">
        <v>46076</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25827-2025</t>
        </is>
      </c>
      <c r="B1149" s="1" t="n">
        <v>45804.443125</v>
      </c>
      <c r="C1149" s="1" t="n">
        <v>46076</v>
      </c>
      <c r="D1149" t="inlineStr">
        <is>
          <t>KALMAR LÄN</t>
        </is>
      </c>
      <c r="E1149" t="inlineStr">
        <is>
          <t>VÄSTERVIK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26568-2025</t>
        </is>
      </c>
      <c r="B1150" s="1" t="n">
        <v>45807.67447916666</v>
      </c>
      <c r="C1150" s="1" t="n">
        <v>46076</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26571-2025</t>
        </is>
      </c>
      <c r="B1151" s="1" t="n">
        <v>45807.6794212963</v>
      </c>
      <c r="C1151" s="1" t="n">
        <v>46076</v>
      </c>
      <c r="D1151" t="inlineStr">
        <is>
          <t>KALMAR LÄN</t>
        </is>
      </c>
      <c r="E1151" t="inlineStr">
        <is>
          <t>VÄSTERVIK</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26566-2025</t>
        </is>
      </c>
      <c r="B1152" s="1" t="n">
        <v>45807.66685185185</v>
      </c>
      <c r="C1152" s="1" t="n">
        <v>46076</v>
      </c>
      <c r="D1152" t="inlineStr">
        <is>
          <t>KALMAR LÄN</t>
        </is>
      </c>
      <c r="E1152" t="inlineStr">
        <is>
          <t>VÄSTERVIK</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26569-2025</t>
        </is>
      </c>
      <c r="B1153" s="1" t="n">
        <v>45807.67638888889</v>
      </c>
      <c r="C1153" s="1" t="n">
        <v>46076</v>
      </c>
      <c r="D1153" t="inlineStr">
        <is>
          <t>KALMAR LÄN</t>
        </is>
      </c>
      <c r="E1153" t="inlineStr">
        <is>
          <t>VÄSTERVIK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26572-2025</t>
        </is>
      </c>
      <c r="B1154" s="1" t="n">
        <v>45807.68232638889</v>
      </c>
      <c r="C1154" s="1" t="n">
        <v>46076</v>
      </c>
      <c r="D1154" t="inlineStr">
        <is>
          <t>KALMAR LÄN</t>
        </is>
      </c>
      <c r="E1154" t="inlineStr">
        <is>
          <t>VÄSTERVIK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26633-2025</t>
        </is>
      </c>
      <c r="B1155" s="1" t="n">
        <v>45810.35262731482</v>
      </c>
      <c r="C1155" s="1" t="n">
        <v>46076</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27446-2025</t>
        </is>
      </c>
      <c r="B1156" s="1" t="n">
        <v>45813.32667824074</v>
      </c>
      <c r="C1156" s="1" t="n">
        <v>46076</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c r="A1157" t="inlineStr">
        <is>
          <t>A 27980-2025</t>
        </is>
      </c>
      <c r="B1157" s="1" t="n">
        <v>45817.57395833333</v>
      </c>
      <c r="C1157" s="1" t="n">
        <v>46076</v>
      </c>
      <c r="D1157" t="inlineStr">
        <is>
          <t>KALMAR LÄN</t>
        </is>
      </c>
      <c r="E1157" t="inlineStr">
        <is>
          <t>VÄSTERVIK</t>
        </is>
      </c>
      <c r="F1157" t="inlineStr">
        <is>
          <t>Sveaskog</t>
        </is>
      </c>
      <c r="G1157" t="n">
        <v>7.2</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2026-02-23T11:10:43Z</dcterms:created>
  <dcterms:modified xmlns:dcterms="http://purl.org/dc/terms/" xmlns:xsi="http://www.w3.org/2001/XMLSchema-instance" xsi:type="dcterms:W3CDTF">2026-02-23T11:10:44Z</dcterms:modified>
</cp:coreProperties>
</file>