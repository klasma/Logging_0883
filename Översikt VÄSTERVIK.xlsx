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45831</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45831</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45831</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45831</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45831</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45831</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45831</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45831</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45831</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45831</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45831</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45831</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45831</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45831</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45831</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45831</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45831</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45831</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45831</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45831</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45831</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45831</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45831</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45831</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45831</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45831</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45831</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45831</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45831</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45831</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45831</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45831</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45831</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45831</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45831</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45831</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45831</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45831</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45831</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45831</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45831</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45831</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45831</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45831</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45831</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45831</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45831</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45831</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45831</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45831</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45831</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45831</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45831</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45831</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45831</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45831</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45831</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13353-2025</t>
        </is>
      </c>
      <c r="B62" s="1" t="n">
        <v>45735</v>
      </c>
      <c r="C62" s="1" t="n">
        <v>45831</v>
      </c>
      <c r="D62" t="inlineStr">
        <is>
          <t>KALMAR LÄN</t>
        </is>
      </c>
      <c r="E62" t="inlineStr">
        <is>
          <t>VÄSTERVIK</t>
        </is>
      </c>
      <c r="G62" t="n">
        <v>1.9</v>
      </c>
      <c r="H62" t="n">
        <v>5</v>
      </c>
      <c r="I62" t="n">
        <v>1</v>
      </c>
      <c r="J62" t="n">
        <v>2</v>
      </c>
      <c r="K62" t="n">
        <v>1</v>
      </c>
      <c r="L62" t="n">
        <v>0</v>
      </c>
      <c r="M62" t="n">
        <v>0</v>
      </c>
      <c r="N62" t="n">
        <v>0</v>
      </c>
      <c r="O62" t="n">
        <v>3</v>
      </c>
      <c r="P62" t="n">
        <v>1</v>
      </c>
      <c r="Q62" t="n">
        <v>6</v>
      </c>
      <c r="R62" s="2" t="inlineStr">
        <is>
          <t>Knärot
Spillkråka
Talltita
Dropptaggsvamp
Järnsparv
Kungsfågel</t>
        </is>
      </c>
      <c r="S62">
        <f>HYPERLINK("https://klasma.github.io/Logging_080883/artfynd/A 13353-2025 artfynd.xlsx", "A 13353-2025")</f>
        <v/>
      </c>
      <c r="T62">
        <f>HYPERLINK("https://klasma.github.io/Logging_080883/kartor/A 13353-2025 karta.png", "A 13353-2025")</f>
        <v/>
      </c>
      <c r="U62">
        <f>HYPERLINK("https://klasma.github.io/Logging_080883/knärot/A 13353-2025 karta knärot.png", "A 13353-2025")</f>
        <v/>
      </c>
      <c r="V62">
        <f>HYPERLINK("https://klasma.github.io/Logging_080883/klagomål/A 13353-2025 FSC-klagomål.docx", "A 13353-2025")</f>
        <v/>
      </c>
      <c r="W62">
        <f>HYPERLINK("https://klasma.github.io/Logging_080883/klagomålsmail/A 13353-2025 FSC-klagomål mail.docx", "A 13353-2025")</f>
        <v/>
      </c>
      <c r="X62">
        <f>HYPERLINK("https://klasma.github.io/Logging_080883/tillsyn/A 13353-2025 tillsynsbegäran.docx", "A 13353-2025")</f>
        <v/>
      </c>
      <c r="Y62">
        <f>HYPERLINK("https://klasma.github.io/Logging_080883/tillsynsmail/A 13353-2025 tillsynsbegäran mail.docx", "A 13353-2025")</f>
        <v/>
      </c>
      <c r="Z62">
        <f>HYPERLINK("https://klasma.github.io/Logging_080883/fåglar/A 13353-2025 prioriterade fågelarter.docx", "A 13353-2025")</f>
        <v/>
      </c>
    </row>
    <row r="63" ht="15" customHeight="1">
      <c r="A63" t="inlineStr">
        <is>
          <t>A 15280-2025</t>
        </is>
      </c>
      <c r="B63" s="1" t="n">
        <v>45744</v>
      </c>
      <c r="C63" s="1" t="n">
        <v>45831</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45831</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45831</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45831</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45831</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45831</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45831</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45831</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45831</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45831</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45831</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45831</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45831</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45831</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45831</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45831</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45831</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45831</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45831</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45831</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45831</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45831</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45831</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45831</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45831</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45831</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45831</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45831</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45831</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45831</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45831</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45831</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45831</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45831</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45831</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45831</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45831</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45831</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45831</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45831</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45831</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45831</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45831</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45831</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45831</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45831</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45831</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45831</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45831</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45831</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45831</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45831</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45831</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45831</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45831</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45831</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45831</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45831</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45831</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45831</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45831</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45831</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45831</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45831</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45831</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45831</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45831</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45831</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45831</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45831</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45831</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45831</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45831</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45831</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45831</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45831</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45831</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45831</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45831</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45831</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45831</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45831</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45831</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45831</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45831</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45831</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45831</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45831</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45831</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45831</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45831</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45831</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45831</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45831</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45831</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45831</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45831</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45831</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45831</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45831</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45831</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45831</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45831</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45831</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45831</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45831</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45831</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45831</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45831</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45831</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45831</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45831</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45831</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45831</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45831</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45831</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45831</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45831</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45831</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45831</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45831</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45831</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45831</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45831</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45831</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45831</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45831</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45831</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45831</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45831</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45831</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45831</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45831</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45831</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45831</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45831</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45831</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45831</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45831</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45831</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45831</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45831</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45831</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45831</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45831</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45831</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45831</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45831</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45831</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45831</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45831</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45831</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45831</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45831</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45831</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45831</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45831</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45831</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45831</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45831</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45831</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45831</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45831</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45831</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45831</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45831</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45831</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45831</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45831</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45831</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45831</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45831</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45831</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45831</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45831</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45831</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45831</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45831</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45831</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45831</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45831</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45831</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45831</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45831</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45831</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45831</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45831</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45831</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45831</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45831</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45831</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45831</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45831</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45831</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45831</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45831</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45831</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45831</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45831</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45831</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45831</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45831</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5575-2021</t>
        </is>
      </c>
      <c r="B265" s="1" t="n">
        <v>44230</v>
      </c>
      <c r="C265" s="1" t="n">
        <v>45831</v>
      </c>
      <c r="D265" t="inlineStr">
        <is>
          <t>KALMAR LÄN</t>
        </is>
      </c>
      <c r="E265" t="inlineStr">
        <is>
          <t>VÄSTERVIK</t>
        </is>
      </c>
      <c r="G265" t="n">
        <v>2.6</v>
      </c>
      <c r="H265" t="n">
        <v>1</v>
      </c>
      <c r="I265" t="n">
        <v>1</v>
      </c>
      <c r="J265" t="n">
        <v>0</v>
      </c>
      <c r="K265" t="n">
        <v>0</v>
      </c>
      <c r="L265" t="n">
        <v>0</v>
      </c>
      <c r="M265" t="n">
        <v>0</v>
      </c>
      <c r="N265" t="n">
        <v>0</v>
      </c>
      <c r="O265" t="n">
        <v>0</v>
      </c>
      <c r="P265" t="n">
        <v>0</v>
      </c>
      <c r="Q265" t="n">
        <v>1</v>
      </c>
      <c r="R265" s="2" t="inlineStr">
        <is>
          <t>Ekoxe</t>
        </is>
      </c>
      <c r="S265">
        <f>HYPERLINK("https://klasma.github.io/Logging_0883/artfynd/A 5575-2021 artfynd.xlsx", "A 5575-2021")</f>
        <v/>
      </c>
      <c r="T265">
        <f>HYPERLINK("https://klasma.github.io/Logging_0883/kartor/A 5575-2021 karta.png", "A 5575-2021")</f>
        <v/>
      </c>
      <c r="V265">
        <f>HYPERLINK("https://klasma.github.io/Logging_0883/klagomål/A 5575-2021 FSC-klagomål.docx", "A 5575-2021")</f>
        <v/>
      </c>
      <c r="W265">
        <f>HYPERLINK("https://klasma.github.io/Logging_0883/klagomålsmail/A 5575-2021 FSC-klagomål mail.docx", "A 5575-2021")</f>
        <v/>
      </c>
      <c r="X265">
        <f>HYPERLINK("https://klasma.github.io/Logging_0883/tillsyn/A 5575-2021 tillsynsbegäran.docx", "A 5575-2021")</f>
        <v/>
      </c>
      <c r="Y265">
        <f>HYPERLINK("https://klasma.github.io/Logging_0883/tillsynsmail/A 5575-2021 tillsynsbegäran mail.docx", "A 5575-2021")</f>
        <v/>
      </c>
    </row>
    <row r="266" ht="15" customHeight="1">
      <c r="A266" t="inlineStr">
        <is>
          <t>A 20233-2021</t>
        </is>
      </c>
      <c r="B266" s="1" t="n">
        <v>44314</v>
      </c>
      <c r="C266" s="1" t="n">
        <v>45831</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24048-2021</t>
        </is>
      </c>
      <c r="B267" s="1" t="n">
        <v>44336</v>
      </c>
      <c r="C267" s="1" t="n">
        <v>45831</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25447-2021</t>
        </is>
      </c>
      <c r="B268" s="1" t="n">
        <v>44342</v>
      </c>
      <c r="C268" s="1" t="n">
        <v>45831</v>
      </c>
      <c r="D268" t="inlineStr">
        <is>
          <t>KALMAR LÄN</t>
        </is>
      </c>
      <c r="E268" t="inlineStr">
        <is>
          <t>VÄSTERVIK</t>
        </is>
      </c>
      <c r="F268" t="inlineStr">
        <is>
          <t>Holmen skog AB</t>
        </is>
      </c>
      <c r="G268" t="n">
        <v>9</v>
      </c>
      <c r="H268" t="n">
        <v>1</v>
      </c>
      <c r="I268" t="n">
        <v>0</v>
      </c>
      <c r="J268" t="n">
        <v>0</v>
      </c>
      <c r="K268" t="n">
        <v>1</v>
      </c>
      <c r="L268" t="n">
        <v>0</v>
      </c>
      <c r="M268" t="n">
        <v>0</v>
      </c>
      <c r="N268" t="n">
        <v>0</v>
      </c>
      <c r="O268" t="n">
        <v>1</v>
      </c>
      <c r="P268" t="n">
        <v>1</v>
      </c>
      <c r="Q268" t="n">
        <v>1</v>
      </c>
      <c r="R268" s="2" t="inlineStr">
        <is>
          <t>Knärot</t>
        </is>
      </c>
      <c r="S268">
        <f>HYPERLINK("https://klasma.github.io/Logging_0883/artfynd/A 25447-2021 artfynd.xlsx", "A 25447-2021")</f>
        <v/>
      </c>
      <c r="T268">
        <f>HYPERLINK("https://klasma.github.io/Logging_0883/kartor/A 25447-2021 karta.png", "A 25447-2021")</f>
        <v/>
      </c>
      <c r="U268">
        <f>HYPERLINK("https://klasma.github.io/Logging_0883/knärot/A 25447-2021 karta knärot.png", "A 25447-2021")</f>
        <v/>
      </c>
      <c r="V268">
        <f>HYPERLINK("https://klasma.github.io/Logging_0883/klagomål/A 25447-2021 FSC-klagomål.docx", "A 25447-2021")</f>
        <v/>
      </c>
      <c r="W268">
        <f>HYPERLINK("https://klasma.github.io/Logging_0883/klagomålsmail/A 25447-2021 FSC-klagomål mail.docx", "A 25447-2021")</f>
        <v/>
      </c>
      <c r="X268">
        <f>HYPERLINK("https://klasma.github.io/Logging_0883/tillsyn/A 25447-2021 tillsynsbegäran.docx", "A 25447-2021")</f>
        <v/>
      </c>
      <c r="Y268">
        <f>HYPERLINK("https://klasma.github.io/Logging_0883/tillsynsmail/A 25447-2021 tillsynsbegäran mail.docx", "A 25447-2021")</f>
        <v/>
      </c>
    </row>
    <row r="269" ht="15" customHeight="1">
      <c r="A269" t="inlineStr">
        <is>
          <t>A 25594-2021</t>
        </is>
      </c>
      <c r="B269" s="1" t="n">
        <v>44343</v>
      </c>
      <c r="C269" s="1" t="n">
        <v>45831</v>
      </c>
      <c r="D269" t="inlineStr">
        <is>
          <t>KALMAR LÄN</t>
        </is>
      </c>
      <c r="E269" t="inlineStr">
        <is>
          <t>VÄSTERVIK</t>
        </is>
      </c>
      <c r="F269" t="inlineStr">
        <is>
          <t>Holmen skog AB</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HYPERLINK("https://klasma.github.io/Logging_0883/artfynd/A 25594-2021 artfynd.xlsx", "A 25594-2021")</f>
        <v/>
      </c>
      <c r="T269">
        <f>HYPERLINK("https://klasma.github.io/Logging_0883/kartor/A 25594-2021 karta.png", "A 25594-2021")</f>
        <v/>
      </c>
      <c r="U269">
        <f>HYPERLINK("https://klasma.github.io/Logging_0883/knärot/A 25594-2021 karta knärot.png", "A 25594-2021")</f>
        <v/>
      </c>
      <c r="V269">
        <f>HYPERLINK("https://klasma.github.io/Logging_0883/klagomål/A 25594-2021 FSC-klagomål.docx", "A 25594-2021")</f>
        <v/>
      </c>
      <c r="W269">
        <f>HYPERLINK("https://klasma.github.io/Logging_0883/klagomålsmail/A 25594-2021 FSC-klagomål mail.docx", "A 25594-2021")</f>
        <v/>
      </c>
      <c r="X269">
        <f>HYPERLINK("https://klasma.github.io/Logging_0883/tillsyn/A 25594-2021 tillsynsbegäran.docx", "A 25594-2021")</f>
        <v/>
      </c>
      <c r="Y269">
        <f>HYPERLINK("https://klasma.github.io/Logging_0883/tillsynsmail/A 25594-2021 tillsynsbegäran mail.docx", "A 25594-2021")</f>
        <v/>
      </c>
    </row>
    <row r="270" ht="15" customHeight="1">
      <c r="A270" t="inlineStr">
        <is>
          <t>A 29455-2021</t>
        </is>
      </c>
      <c r="B270" s="1" t="n">
        <v>44361</v>
      </c>
      <c r="C270" s="1" t="n">
        <v>45831</v>
      </c>
      <c r="D270" t="inlineStr">
        <is>
          <t>KALMAR LÄN</t>
        </is>
      </c>
      <c r="E270" t="inlineStr">
        <is>
          <t>VÄSTERVIK</t>
        </is>
      </c>
      <c r="F270" t="inlineStr">
        <is>
          <t>Övriga Aktiebolag</t>
        </is>
      </c>
      <c r="G270" t="n">
        <v>3.1</v>
      </c>
      <c r="H270" t="n">
        <v>1</v>
      </c>
      <c r="I270" t="n">
        <v>0</v>
      </c>
      <c r="J270" t="n">
        <v>0</v>
      </c>
      <c r="K270" t="n">
        <v>1</v>
      </c>
      <c r="L270" t="n">
        <v>0</v>
      </c>
      <c r="M270" t="n">
        <v>0</v>
      </c>
      <c r="N270" t="n">
        <v>0</v>
      </c>
      <c r="O270" t="n">
        <v>1</v>
      </c>
      <c r="P270" t="n">
        <v>1</v>
      </c>
      <c r="Q270" t="n">
        <v>1</v>
      </c>
      <c r="R270" s="2" t="inlineStr">
        <is>
          <t>Knärot</t>
        </is>
      </c>
      <c r="S270">
        <f>HYPERLINK("https://klasma.github.io/Logging_0883/artfynd/A 29455-2021 artfynd.xlsx", "A 29455-2021")</f>
        <v/>
      </c>
      <c r="T270">
        <f>HYPERLINK("https://klasma.github.io/Logging_0883/kartor/A 29455-2021 karta.png", "A 29455-2021")</f>
        <v/>
      </c>
      <c r="U270">
        <f>HYPERLINK("https://klasma.github.io/Logging_0883/knärot/A 29455-2021 karta knärot.png", "A 29455-2021")</f>
        <v/>
      </c>
      <c r="V270">
        <f>HYPERLINK("https://klasma.github.io/Logging_0883/klagomål/A 29455-2021 FSC-klagomål.docx", "A 29455-2021")</f>
        <v/>
      </c>
      <c r="W270">
        <f>HYPERLINK("https://klasma.github.io/Logging_0883/klagomålsmail/A 29455-2021 FSC-klagomål mail.docx", "A 29455-2021")</f>
        <v/>
      </c>
      <c r="X270">
        <f>HYPERLINK("https://klasma.github.io/Logging_0883/tillsyn/A 29455-2021 tillsynsbegäran.docx", "A 29455-2021")</f>
        <v/>
      </c>
      <c r="Y270">
        <f>HYPERLINK("https://klasma.github.io/Logging_0883/tillsynsmail/A 29455-2021 tillsynsbegäran mail.docx", "A 29455-2021")</f>
        <v/>
      </c>
    </row>
    <row r="271" ht="15" customHeight="1">
      <c r="A271" t="inlineStr">
        <is>
          <t>A 31315-2021</t>
        </is>
      </c>
      <c r="B271" s="1" t="n">
        <v>44368</v>
      </c>
      <c r="C271" s="1" t="n">
        <v>45831</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44635-2021</t>
        </is>
      </c>
      <c r="B272" s="1" t="n">
        <v>44437</v>
      </c>
      <c r="C272" s="1" t="n">
        <v>45831</v>
      </c>
      <c r="D272" t="inlineStr">
        <is>
          <t>KALMAR LÄN</t>
        </is>
      </c>
      <c r="E272" t="inlineStr">
        <is>
          <t>VÄSTERVIK</t>
        </is>
      </c>
      <c r="G272" t="n">
        <v>0.9</v>
      </c>
      <c r="H272" t="n">
        <v>0</v>
      </c>
      <c r="I272" t="n">
        <v>1</v>
      </c>
      <c r="J272" t="n">
        <v>0</v>
      </c>
      <c r="K272" t="n">
        <v>0</v>
      </c>
      <c r="L272" t="n">
        <v>0</v>
      </c>
      <c r="M272" t="n">
        <v>0</v>
      </c>
      <c r="N272" t="n">
        <v>0</v>
      </c>
      <c r="O272" t="n">
        <v>0</v>
      </c>
      <c r="P272" t="n">
        <v>0</v>
      </c>
      <c r="Q272" t="n">
        <v>1</v>
      </c>
      <c r="R272" s="2" t="inlineStr">
        <is>
          <t>Brandticka</t>
        </is>
      </c>
      <c r="S272">
        <f>HYPERLINK("https://klasma.github.io/Logging_0883/artfynd/A 44635-2021 artfynd.xlsx", "A 44635-2021")</f>
        <v/>
      </c>
      <c r="T272">
        <f>HYPERLINK("https://klasma.github.io/Logging_0883/kartor/A 44635-2021 karta.png", "A 44635-2021")</f>
        <v/>
      </c>
      <c r="V272">
        <f>HYPERLINK("https://klasma.github.io/Logging_0883/klagomål/A 44635-2021 FSC-klagomål.docx", "A 44635-2021")</f>
        <v/>
      </c>
      <c r="W272">
        <f>HYPERLINK("https://klasma.github.io/Logging_0883/klagomålsmail/A 44635-2021 FSC-klagomål mail.docx", "A 44635-2021")</f>
        <v/>
      </c>
      <c r="X272">
        <f>HYPERLINK("https://klasma.github.io/Logging_0883/tillsyn/A 44635-2021 tillsynsbegäran.docx", "A 44635-2021")</f>
        <v/>
      </c>
      <c r="Y272">
        <f>HYPERLINK("https://klasma.github.io/Logging_0883/tillsynsmail/A 44635-2021 tillsynsbegäran mail.docx", "A 44635-2021")</f>
        <v/>
      </c>
    </row>
    <row r="273" ht="15" customHeight="1">
      <c r="A273" t="inlineStr">
        <is>
          <t>A 47860-2021</t>
        </is>
      </c>
      <c r="B273" s="1" t="n">
        <v>44448</v>
      </c>
      <c r="C273" s="1" t="n">
        <v>45831</v>
      </c>
      <c r="D273" t="inlineStr">
        <is>
          <t>KALMAR LÄN</t>
        </is>
      </c>
      <c r="E273" t="inlineStr">
        <is>
          <t>VÄSTERVIK</t>
        </is>
      </c>
      <c r="G273" t="n">
        <v>2.8</v>
      </c>
      <c r="H273" t="n">
        <v>0</v>
      </c>
      <c r="I273" t="n">
        <v>0</v>
      </c>
      <c r="J273" t="n">
        <v>1</v>
      </c>
      <c r="K273" t="n">
        <v>0</v>
      </c>
      <c r="L273" t="n">
        <v>0</v>
      </c>
      <c r="M273" t="n">
        <v>0</v>
      </c>
      <c r="N273" t="n">
        <v>0</v>
      </c>
      <c r="O273" t="n">
        <v>1</v>
      </c>
      <c r="P273" t="n">
        <v>0</v>
      </c>
      <c r="Q273" t="n">
        <v>1</v>
      </c>
      <c r="R273" s="2" t="inlineStr">
        <is>
          <t>Tallticka</t>
        </is>
      </c>
      <c r="S273">
        <f>HYPERLINK("https://klasma.github.io/Logging_0883/artfynd/A 47860-2021 artfynd.xlsx", "A 47860-2021")</f>
        <v/>
      </c>
      <c r="T273">
        <f>HYPERLINK("https://klasma.github.io/Logging_0883/kartor/A 47860-2021 karta.png", "A 47860-2021")</f>
        <v/>
      </c>
      <c r="V273">
        <f>HYPERLINK("https://klasma.github.io/Logging_0883/klagomål/A 47860-2021 FSC-klagomål.docx", "A 47860-2021")</f>
        <v/>
      </c>
      <c r="W273">
        <f>HYPERLINK("https://klasma.github.io/Logging_0883/klagomålsmail/A 47860-2021 FSC-klagomål mail.docx", "A 47860-2021")</f>
        <v/>
      </c>
      <c r="X273">
        <f>HYPERLINK("https://klasma.github.io/Logging_0883/tillsyn/A 47860-2021 tillsynsbegäran.docx", "A 47860-2021")</f>
        <v/>
      </c>
      <c r="Y273">
        <f>HYPERLINK("https://klasma.github.io/Logging_0883/tillsynsmail/A 47860-2021 tillsynsbegäran mail.docx", "A 47860-2021")</f>
        <v/>
      </c>
    </row>
    <row r="274" ht="15" customHeight="1">
      <c r="A274" t="inlineStr">
        <is>
          <t>A 52831-2021</t>
        </is>
      </c>
      <c r="B274" s="1" t="n">
        <v>44467</v>
      </c>
      <c r="C274" s="1" t="n">
        <v>45831</v>
      </c>
      <c r="D274" t="inlineStr">
        <is>
          <t>KALMAR LÄN</t>
        </is>
      </c>
      <c r="E274" t="inlineStr">
        <is>
          <t>VÄSTERVIK</t>
        </is>
      </c>
      <c r="G274" t="n">
        <v>0.8</v>
      </c>
      <c r="H274" t="n">
        <v>0</v>
      </c>
      <c r="I274" t="n">
        <v>0</v>
      </c>
      <c r="J274" t="n">
        <v>1</v>
      </c>
      <c r="K274" t="n">
        <v>0</v>
      </c>
      <c r="L274" t="n">
        <v>0</v>
      </c>
      <c r="M274" t="n">
        <v>0</v>
      </c>
      <c r="N274" t="n">
        <v>0</v>
      </c>
      <c r="O274" t="n">
        <v>1</v>
      </c>
      <c r="P274" t="n">
        <v>0</v>
      </c>
      <c r="Q274" t="n">
        <v>1</v>
      </c>
      <c r="R274" s="2" t="inlineStr">
        <is>
          <t>Tallticka</t>
        </is>
      </c>
      <c r="S274">
        <f>HYPERLINK("https://klasma.github.io/Logging_0883/artfynd/A 52831-2021 artfynd.xlsx", "A 52831-2021")</f>
        <v/>
      </c>
      <c r="T274">
        <f>HYPERLINK("https://klasma.github.io/Logging_0883/kartor/A 52831-2021 karta.png", "A 52831-2021")</f>
        <v/>
      </c>
      <c r="V274">
        <f>HYPERLINK("https://klasma.github.io/Logging_0883/klagomål/A 52831-2021 FSC-klagomål.docx", "A 52831-2021")</f>
        <v/>
      </c>
      <c r="W274">
        <f>HYPERLINK("https://klasma.github.io/Logging_0883/klagomålsmail/A 52831-2021 FSC-klagomål mail.docx", "A 52831-2021")</f>
        <v/>
      </c>
      <c r="X274">
        <f>HYPERLINK("https://klasma.github.io/Logging_0883/tillsyn/A 52831-2021 tillsynsbegäran.docx", "A 52831-2021")</f>
        <v/>
      </c>
      <c r="Y274">
        <f>HYPERLINK("https://klasma.github.io/Logging_0883/tillsynsmail/A 52831-2021 tillsynsbegäran mail.docx", "A 52831-2021")</f>
        <v/>
      </c>
    </row>
    <row r="275" ht="15" customHeight="1">
      <c r="A275" t="inlineStr">
        <is>
          <t>A 53738-2021</t>
        </is>
      </c>
      <c r="B275" s="1" t="n">
        <v>44467</v>
      </c>
      <c r="C275" s="1" t="n">
        <v>45831</v>
      </c>
      <c r="D275" t="inlineStr">
        <is>
          <t>KALMAR LÄN</t>
        </is>
      </c>
      <c r="E275" t="inlineStr">
        <is>
          <t>VÄSTERVIK</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HYPERLINK("https://klasma.github.io/Logging_0883/artfynd/A 53738-2021 artfynd.xlsx", "A 53738-2021")</f>
        <v/>
      </c>
      <c r="T275">
        <f>HYPERLINK("https://klasma.github.io/Logging_0883/kartor/A 53738-2021 karta.png", "A 53738-2021")</f>
        <v/>
      </c>
      <c r="U275">
        <f>HYPERLINK("https://klasma.github.io/Logging_0883/knärot/A 53738-2021 karta knärot.png", "A 53738-2021")</f>
        <v/>
      </c>
      <c r="V275">
        <f>HYPERLINK("https://klasma.github.io/Logging_0883/klagomål/A 53738-2021 FSC-klagomål.docx", "A 53738-2021")</f>
        <v/>
      </c>
      <c r="W275">
        <f>HYPERLINK("https://klasma.github.io/Logging_0883/klagomålsmail/A 53738-2021 FSC-klagomål mail.docx", "A 53738-2021")</f>
        <v/>
      </c>
      <c r="X275">
        <f>HYPERLINK("https://klasma.github.io/Logging_0883/tillsyn/A 53738-2021 tillsynsbegäran.docx", "A 53738-2021")</f>
        <v/>
      </c>
      <c r="Y275">
        <f>HYPERLINK("https://klasma.github.io/Logging_0883/tillsynsmail/A 53738-2021 tillsynsbegäran mail.docx", "A 53738-2021")</f>
        <v/>
      </c>
    </row>
    <row r="276" ht="15" customHeight="1">
      <c r="A276" t="inlineStr">
        <is>
          <t>A 56618-2021</t>
        </is>
      </c>
      <c r="B276" s="1" t="n">
        <v>44480</v>
      </c>
      <c r="C276" s="1" t="n">
        <v>45831</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56618-2021 artfynd.xlsx", "A 56618-2021")</f>
        <v/>
      </c>
      <c r="T276">
        <f>HYPERLINK("https://klasma.github.io/Logging_0883/kartor/A 56618-2021 karta.png", "A 56618-2021")</f>
        <v/>
      </c>
      <c r="V276">
        <f>HYPERLINK("https://klasma.github.io/Logging_0883/klagomål/A 56618-2021 FSC-klagomål.docx", "A 56618-2021")</f>
        <v/>
      </c>
      <c r="W276">
        <f>HYPERLINK("https://klasma.github.io/Logging_0883/klagomålsmail/A 56618-2021 FSC-klagomål mail.docx", "A 56618-2021")</f>
        <v/>
      </c>
      <c r="X276">
        <f>HYPERLINK("https://klasma.github.io/Logging_0883/tillsyn/A 56618-2021 tillsynsbegäran.docx", "A 56618-2021")</f>
        <v/>
      </c>
      <c r="Y276">
        <f>HYPERLINK("https://klasma.github.io/Logging_0883/tillsynsmail/A 56618-2021 tillsynsbegäran mail.docx", "A 56618-2021")</f>
        <v/>
      </c>
    </row>
    <row r="277" ht="15" customHeight="1">
      <c r="A277" t="inlineStr">
        <is>
          <t>A 61319-2021</t>
        </is>
      </c>
      <c r="B277" s="1" t="n">
        <v>44498</v>
      </c>
      <c r="C277" s="1" t="n">
        <v>45831</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1677-2022</t>
        </is>
      </c>
      <c r="B278" s="1" t="n">
        <v>44574</v>
      </c>
      <c r="C278" s="1" t="n">
        <v>45831</v>
      </c>
      <c r="D278" t="inlineStr">
        <is>
          <t>KALMAR LÄN</t>
        </is>
      </c>
      <c r="E278" t="inlineStr">
        <is>
          <t>VÄSTERVIK</t>
        </is>
      </c>
      <c r="G278" t="n">
        <v>3.3</v>
      </c>
      <c r="H278" t="n">
        <v>1</v>
      </c>
      <c r="I278" t="n">
        <v>0</v>
      </c>
      <c r="J278" t="n">
        <v>0</v>
      </c>
      <c r="K278" t="n">
        <v>1</v>
      </c>
      <c r="L278" t="n">
        <v>0</v>
      </c>
      <c r="M278" t="n">
        <v>0</v>
      </c>
      <c r="N278" t="n">
        <v>0</v>
      </c>
      <c r="O278" t="n">
        <v>1</v>
      </c>
      <c r="P278" t="n">
        <v>1</v>
      </c>
      <c r="Q278" t="n">
        <v>1</v>
      </c>
      <c r="R278" s="2" t="inlineStr">
        <is>
          <t>Knärot</t>
        </is>
      </c>
      <c r="S278">
        <f>HYPERLINK("https://klasma.github.io/Logging_0883/artfynd/A 1677-2022 artfynd.xlsx", "A 1677-2022")</f>
        <v/>
      </c>
      <c r="T278">
        <f>HYPERLINK("https://klasma.github.io/Logging_0883/kartor/A 1677-2022 karta.png", "A 1677-2022")</f>
        <v/>
      </c>
      <c r="U278">
        <f>HYPERLINK("https://klasma.github.io/Logging_0883/knärot/A 1677-2022 karta knärot.png", "A 1677-2022")</f>
        <v/>
      </c>
      <c r="V278">
        <f>HYPERLINK("https://klasma.github.io/Logging_0883/klagomål/A 1677-2022 FSC-klagomål.docx", "A 1677-2022")</f>
        <v/>
      </c>
      <c r="W278">
        <f>HYPERLINK("https://klasma.github.io/Logging_0883/klagomålsmail/A 1677-2022 FSC-klagomål mail.docx", "A 1677-2022")</f>
        <v/>
      </c>
      <c r="X278">
        <f>HYPERLINK("https://klasma.github.io/Logging_0883/tillsyn/A 1677-2022 tillsynsbegäran.docx", "A 1677-2022")</f>
        <v/>
      </c>
      <c r="Y278">
        <f>HYPERLINK("https://klasma.github.io/Logging_0883/tillsynsmail/A 1677-2022 tillsynsbegäran mail.docx", "A 1677-2022")</f>
        <v/>
      </c>
    </row>
    <row r="279" ht="15" customHeight="1">
      <c r="A279" t="inlineStr">
        <is>
          <t>A 11609-2022</t>
        </is>
      </c>
      <c r="B279" s="1" t="n">
        <v>44631</v>
      </c>
      <c r="C279" s="1" t="n">
        <v>45831</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12662-2022</t>
        </is>
      </c>
      <c r="B280" s="1" t="n">
        <v>44641</v>
      </c>
      <c r="C280" s="1" t="n">
        <v>45831</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15378-2022</t>
        </is>
      </c>
      <c r="B281" s="1" t="n">
        <v>44659</v>
      </c>
      <c r="C281" s="1" t="n">
        <v>45831</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Klofibbla</t>
        </is>
      </c>
      <c r="S281">
        <f>HYPERLINK("https://klasma.github.io/Logging_0883/artfynd/A 15378-2022 artfynd.xlsx", "A 15378-2022")</f>
        <v/>
      </c>
      <c r="T281">
        <f>HYPERLINK("https://klasma.github.io/Logging_0883/kartor/A 15378-2022 karta.png", "A 15378-2022")</f>
        <v/>
      </c>
      <c r="V281">
        <f>HYPERLINK("https://klasma.github.io/Logging_0883/klagomål/A 15378-2022 FSC-klagomål.docx", "A 15378-2022")</f>
        <v/>
      </c>
      <c r="W281">
        <f>HYPERLINK("https://klasma.github.io/Logging_0883/klagomålsmail/A 15378-2022 FSC-klagomål mail.docx", "A 15378-2022")</f>
        <v/>
      </c>
      <c r="X281">
        <f>HYPERLINK("https://klasma.github.io/Logging_0883/tillsyn/A 15378-2022 tillsynsbegäran.docx", "A 15378-2022")</f>
        <v/>
      </c>
      <c r="Y281">
        <f>HYPERLINK("https://klasma.github.io/Logging_0883/tillsynsmail/A 15378-2022 tillsynsbegäran mail.docx", "A 15378-2022")</f>
        <v/>
      </c>
    </row>
    <row r="282" ht="15" customHeight="1">
      <c r="A282" t="inlineStr">
        <is>
          <t>A 19900-2022</t>
        </is>
      </c>
      <c r="B282" s="1" t="n">
        <v>44697</v>
      </c>
      <c r="C282" s="1" t="n">
        <v>45831</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26056-2022</t>
        </is>
      </c>
      <c r="B283" s="1" t="n">
        <v>44734</v>
      </c>
      <c r="C283" s="1" t="n">
        <v>45831</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Slåtterfibbla</t>
        </is>
      </c>
      <c r="S283">
        <f>HYPERLINK("https://klasma.github.io/Logging_0883/artfynd/A 26056-2022 artfynd.xlsx", "A 26056-2022")</f>
        <v/>
      </c>
      <c r="T283">
        <f>HYPERLINK("https://klasma.github.io/Logging_0883/kartor/A 26056-2022 karta.png", "A 26056-2022")</f>
        <v/>
      </c>
      <c r="V283">
        <f>HYPERLINK("https://klasma.github.io/Logging_0883/klagomål/A 26056-2022 FSC-klagomål.docx", "A 26056-2022")</f>
        <v/>
      </c>
      <c r="W283">
        <f>HYPERLINK("https://klasma.github.io/Logging_0883/klagomålsmail/A 26056-2022 FSC-klagomål mail.docx", "A 26056-2022")</f>
        <v/>
      </c>
      <c r="X283">
        <f>HYPERLINK("https://klasma.github.io/Logging_0883/tillsyn/A 26056-2022 tillsynsbegäran.docx", "A 26056-2022")</f>
        <v/>
      </c>
      <c r="Y283">
        <f>HYPERLINK("https://klasma.github.io/Logging_0883/tillsynsmail/A 26056-2022 tillsynsbegäran mail.docx", "A 26056-2022")</f>
        <v/>
      </c>
    </row>
    <row r="284" ht="15" customHeight="1">
      <c r="A284" t="inlineStr">
        <is>
          <t>A 33209-2022</t>
        </is>
      </c>
      <c r="B284" s="1" t="n">
        <v>44785</v>
      </c>
      <c r="C284" s="1" t="n">
        <v>45831</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Slåtterfibbla</t>
        </is>
      </c>
      <c r="S284">
        <f>HYPERLINK("https://klasma.github.io/Logging_0883/artfynd/A 33209-2022 artfynd.xlsx", "A 33209-2022")</f>
        <v/>
      </c>
      <c r="T284">
        <f>HYPERLINK("https://klasma.github.io/Logging_0883/kartor/A 33209-2022 karta.png", "A 33209-2022")</f>
        <v/>
      </c>
      <c r="V284">
        <f>HYPERLINK("https://klasma.github.io/Logging_0883/klagomål/A 33209-2022 FSC-klagomål.docx", "A 33209-2022")</f>
        <v/>
      </c>
      <c r="W284">
        <f>HYPERLINK("https://klasma.github.io/Logging_0883/klagomålsmail/A 33209-2022 FSC-klagomål mail.docx", "A 33209-2022")</f>
        <v/>
      </c>
      <c r="X284">
        <f>HYPERLINK("https://klasma.github.io/Logging_0883/tillsyn/A 33209-2022 tillsynsbegäran.docx", "A 33209-2022")</f>
        <v/>
      </c>
      <c r="Y284">
        <f>HYPERLINK("https://klasma.github.io/Logging_0883/tillsynsmail/A 33209-2022 tillsynsbegäran mail.docx", "A 33209-2022")</f>
        <v/>
      </c>
    </row>
    <row r="285" ht="15" customHeight="1">
      <c r="A285" t="inlineStr">
        <is>
          <t>A 40924-2022</t>
        </is>
      </c>
      <c r="B285" s="1" t="n">
        <v>44825</v>
      </c>
      <c r="C285" s="1" t="n">
        <v>45831</v>
      </c>
      <c r="D285" t="inlineStr">
        <is>
          <t>KALMAR LÄN</t>
        </is>
      </c>
      <c r="E285" t="inlineStr">
        <is>
          <t>VÄSTERVIK</t>
        </is>
      </c>
      <c r="F285" t="inlineStr">
        <is>
          <t>Sveaskog</t>
        </is>
      </c>
      <c r="G285" t="n">
        <v>0.5</v>
      </c>
      <c r="H285" t="n">
        <v>1</v>
      </c>
      <c r="I285" t="n">
        <v>0</v>
      </c>
      <c r="J285" t="n">
        <v>1</v>
      </c>
      <c r="K285" t="n">
        <v>0</v>
      </c>
      <c r="L285" t="n">
        <v>0</v>
      </c>
      <c r="M285" t="n">
        <v>0</v>
      </c>
      <c r="N285" t="n">
        <v>0</v>
      </c>
      <c r="O285" t="n">
        <v>1</v>
      </c>
      <c r="P285" t="n">
        <v>0</v>
      </c>
      <c r="Q285" t="n">
        <v>1</v>
      </c>
      <c r="R285" s="2" t="inlineStr">
        <is>
          <t>Barbastell</t>
        </is>
      </c>
      <c r="S285">
        <f>HYPERLINK("https://klasma.github.io/Logging_0883/artfynd/A 40924-2022 artfynd.xlsx", "A 40924-2022")</f>
        <v/>
      </c>
      <c r="T285">
        <f>HYPERLINK("https://klasma.github.io/Logging_0883/kartor/A 40924-2022 karta.png", "A 40924-2022")</f>
        <v/>
      </c>
      <c r="V285">
        <f>HYPERLINK("https://klasma.github.io/Logging_0883/klagomål/A 40924-2022 FSC-klagomål.docx", "A 40924-2022")</f>
        <v/>
      </c>
      <c r="W285">
        <f>HYPERLINK("https://klasma.github.io/Logging_0883/klagomålsmail/A 40924-2022 FSC-klagomål mail.docx", "A 40924-2022")</f>
        <v/>
      </c>
      <c r="X285">
        <f>HYPERLINK("https://klasma.github.io/Logging_0883/tillsyn/A 40924-2022 tillsynsbegäran.docx", "A 40924-2022")</f>
        <v/>
      </c>
      <c r="Y285">
        <f>HYPERLINK("https://klasma.github.io/Logging_0883/tillsynsmail/A 40924-2022 tillsynsbegäran mail.docx", "A 40924-2022")</f>
        <v/>
      </c>
    </row>
    <row r="286" ht="15" customHeight="1">
      <c r="A286" t="inlineStr">
        <is>
          <t>A 46559-2022</t>
        </is>
      </c>
      <c r="B286" s="1" t="n">
        <v>44848</v>
      </c>
      <c r="C286" s="1" t="n">
        <v>45831</v>
      </c>
      <c r="D286" t="inlineStr">
        <is>
          <t>KALMAR LÄN</t>
        </is>
      </c>
      <c r="E286" t="inlineStr">
        <is>
          <t>VÄSTERVIK</t>
        </is>
      </c>
      <c r="F286" t="inlineStr">
        <is>
          <t>Sveaskog</t>
        </is>
      </c>
      <c r="G286" t="n">
        <v>2.2</v>
      </c>
      <c r="H286" t="n">
        <v>1</v>
      </c>
      <c r="I286" t="n">
        <v>0</v>
      </c>
      <c r="J286" t="n">
        <v>0</v>
      </c>
      <c r="K286" t="n">
        <v>0</v>
      </c>
      <c r="L286" t="n">
        <v>0</v>
      </c>
      <c r="M286" t="n">
        <v>0</v>
      </c>
      <c r="N286" t="n">
        <v>0</v>
      </c>
      <c r="O286" t="n">
        <v>0</v>
      </c>
      <c r="P286" t="n">
        <v>0</v>
      </c>
      <c r="Q286" t="n">
        <v>1</v>
      </c>
      <c r="R286" s="2" t="inlineStr">
        <is>
          <t>Blåsippa</t>
        </is>
      </c>
      <c r="S286">
        <f>HYPERLINK("https://klasma.github.io/Logging_0883/artfynd/A 46559-2022 artfynd.xlsx", "A 46559-2022")</f>
        <v/>
      </c>
      <c r="T286">
        <f>HYPERLINK("https://klasma.github.io/Logging_0883/kartor/A 46559-2022 karta.png", "A 46559-2022")</f>
        <v/>
      </c>
      <c r="V286">
        <f>HYPERLINK("https://klasma.github.io/Logging_0883/klagomål/A 46559-2022 FSC-klagomål.docx", "A 46559-2022")</f>
        <v/>
      </c>
      <c r="W286">
        <f>HYPERLINK("https://klasma.github.io/Logging_0883/klagomålsmail/A 46559-2022 FSC-klagomål mail.docx", "A 46559-2022")</f>
        <v/>
      </c>
      <c r="X286">
        <f>HYPERLINK("https://klasma.github.io/Logging_0883/tillsyn/A 46559-2022 tillsynsbegäran.docx", "A 46559-2022")</f>
        <v/>
      </c>
      <c r="Y286">
        <f>HYPERLINK("https://klasma.github.io/Logging_0883/tillsynsmail/A 46559-2022 tillsynsbegäran mail.docx", "A 46559-2022")</f>
        <v/>
      </c>
    </row>
    <row r="287" ht="15" customHeight="1">
      <c r="A287" t="inlineStr">
        <is>
          <t>A 46556-2022</t>
        </is>
      </c>
      <c r="B287" s="1" t="n">
        <v>44848</v>
      </c>
      <c r="C287" s="1" t="n">
        <v>45831</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51024-2022</t>
        </is>
      </c>
      <c r="B288" s="1" t="n">
        <v>44867</v>
      </c>
      <c r="C288" s="1" t="n">
        <v>45831</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54193-2022</t>
        </is>
      </c>
      <c r="B289" s="1" t="n">
        <v>44881</v>
      </c>
      <c r="C289" s="1" t="n">
        <v>45831</v>
      </c>
      <c r="D289" t="inlineStr">
        <is>
          <t>KALMAR LÄN</t>
        </is>
      </c>
      <c r="E289" t="inlineStr">
        <is>
          <t>VÄSTERVIK</t>
        </is>
      </c>
      <c r="G289" t="n">
        <v>1.7</v>
      </c>
      <c r="H289" t="n">
        <v>0</v>
      </c>
      <c r="I289" t="n">
        <v>1</v>
      </c>
      <c r="J289" t="n">
        <v>0</v>
      </c>
      <c r="K289" t="n">
        <v>0</v>
      </c>
      <c r="L289" t="n">
        <v>0</v>
      </c>
      <c r="M289" t="n">
        <v>0</v>
      </c>
      <c r="N289" t="n">
        <v>0</v>
      </c>
      <c r="O289" t="n">
        <v>0</v>
      </c>
      <c r="P289" t="n">
        <v>0</v>
      </c>
      <c r="Q289" t="n">
        <v>1</v>
      </c>
      <c r="R289" s="2" t="inlineStr">
        <is>
          <t>Murgröna</t>
        </is>
      </c>
      <c r="S289">
        <f>HYPERLINK("https://klasma.github.io/Logging_0883/artfynd/A 54193-2022 artfynd.xlsx", "A 54193-2022")</f>
        <v/>
      </c>
      <c r="T289">
        <f>HYPERLINK("https://klasma.github.io/Logging_0883/kartor/A 54193-2022 karta.png", "A 54193-2022")</f>
        <v/>
      </c>
      <c r="U289">
        <f>HYPERLINK("https://klasma.github.io/Logging_0883/knärot/A 54193-2022 karta knärot.png", "A 54193-2022")</f>
        <v/>
      </c>
      <c r="V289">
        <f>HYPERLINK("https://klasma.github.io/Logging_0883/klagomål/A 54193-2022 FSC-klagomål.docx", "A 54193-2022")</f>
        <v/>
      </c>
      <c r="W289">
        <f>HYPERLINK("https://klasma.github.io/Logging_0883/klagomålsmail/A 54193-2022 FSC-klagomål mail.docx", "A 54193-2022")</f>
        <v/>
      </c>
      <c r="X289">
        <f>HYPERLINK("https://klasma.github.io/Logging_0883/tillsyn/A 54193-2022 tillsynsbegäran.docx", "A 54193-2022")</f>
        <v/>
      </c>
      <c r="Y289">
        <f>HYPERLINK("https://klasma.github.io/Logging_0883/tillsynsmail/A 54193-2022 tillsynsbegäran mail.docx", "A 54193-2022")</f>
        <v/>
      </c>
    </row>
    <row r="290" ht="15" customHeight="1">
      <c r="A290" t="inlineStr">
        <is>
          <t>A 59178-2022</t>
        </is>
      </c>
      <c r="B290" s="1" t="n">
        <v>44904</v>
      </c>
      <c r="C290" s="1" t="n">
        <v>45831</v>
      </c>
      <c r="D290" t="inlineStr">
        <is>
          <t>KALMAR LÄN</t>
        </is>
      </c>
      <c r="E290" t="inlineStr">
        <is>
          <t>VÄSTERVIK</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row>
    <row r="291" ht="15" customHeight="1">
      <c r="A291" t="inlineStr">
        <is>
          <t>A 975-2023</t>
        </is>
      </c>
      <c r="B291" s="1" t="n">
        <v>44935</v>
      </c>
      <c r="C291" s="1" t="n">
        <v>45831</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1024-2023</t>
        </is>
      </c>
      <c r="B292" s="1" t="n">
        <v>44935</v>
      </c>
      <c r="C292" s="1" t="n">
        <v>45831</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11589-2023</t>
        </is>
      </c>
      <c r="B293" s="1" t="n">
        <v>44994</v>
      </c>
      <c r="C293" s="1" t="n">
        <v>45831</v>
      </c>
      <c r="D293" t="inlineStr">
        <is>
          <t>KALMAR LÄN</t>
        </is>
      </c>
      <c r="E293" t="inlineStr">
        <is>
          <t>VÄSTERVIK</t>
        </is>
      </c>
      <c r="G293" t="n">
        <v>7.7</v>
      </c>
      <c r="H293" t="n">
        <v>1</v>
      </c>
      <c r="I293" t="n">
        <v>0</v>
      </c>
      <c r="J293" t="n">
        <v>0</v>
      </c>
      <c r="K293" t="n">
        <v>0</v>
      </c>
      <c r="L293" t="n">
        <v>0</v>
      </c>
      <c r="M293" t="n">
        <v>0</v>
      </c>
      <c r="N293" t="n">
        <v>0</v>
      </c>
      <c r="O293" t="n">
        <v>0</v>
      </c>
      <c r="P293" t="n">
        <v>0</v>
      </c>
      <c r="Q293" t="n">
        <v>1</v>
      </c>
      <c r="R293" s="2" t="inlineStr">
        <is>
          <t>Revlummer</t>
        </is>
      </c>
      <c r="S293">
        <f>HYPERLINK("https://klasma.github.io/Logging_0883/artfynd/A 11589-2023 artfynd.xlsx", "A 11589-2023")</f>
        <v/>
      </c>
      <c r="T293">
        <f>HYPERLINK("https://klasma.github.io/Logging_0883/kartor/A 11589-2023 karta.png", "A 11589-2023")</f>
        <v/>
      </c>
      <c r="V293">
        <f>HYPERLINK("https://klasma.github.io/Logging_0883/klagomål/A 11589-2023 FSC-klagomål.docx", "A 11589-2023")</f>
        <v/>
      </c>
      <c r="W293">
        <f>HYPERLINK("https://klasma.github.io/Logging_0883/klagomålsmail/A 11589-2023 FSC-klagomål mail.docx", "A 11589-2023")</f>
        <v/>
      </c>
      <c r="X293">
        <f>HYPERLINK("https://klasma.github.io/Logging_0883/tillsyn/A 11589-2023 tillsynsbegäran.docx", "A 11589-2023")</f>
        <v/>
      </c>
      <c r="Y293">
        <f>HYPERLINK("https://klasma.github.io/Logging_0883/tillsynsmail/A 11589-2023 tillsynsbegäran mail.docx", "A 11589-2023")</f>
        <v/>
      </c>
    </row>
    <row r="294" ht="15" customHeight="1">
      <c r="A294" t="inlineStr">
        <is>
          <t>A 11729-2023</t>
        </is>
      </c>
      <c r="B294" s="1" t="n">
        <v>44994</v>
      </c>
      <c r="C294" s="1" t="n">
        <v>45831</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14720-2023</t>
        </is>
      </c>
      <c r="B295" s="1" t="n">
        <v>45014</v>
      </c>
      <c r="C295" s="1" t="n">
        <v>45831</v>
      </c>
      <c r="D295" t="inlineStr">
        <is>
          <t>KALMAR LÄN</t>
        </is>
      </c>
      <c r="E295" t="inlineStr">
        <is>
          <t>VÄSTERVIK</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HYPERLINK("https://klasma.github.io/Logging_0883/artfynd/A 14720-2023 artfynd.xlsx", "A 14720-2023")</f>
        <v/>
      </c>
      <c r="T295">
        <f>HYPERLINK("https://klasma.github.io/Logging_0883/kartor/A 14720-2023 karta.png", "A 14720-2023")</f>
        <v/>
      </c>
      <c r="U295">
        <f>HYPERLINK("https://klasma.github.io/Logging_0883/knärot/A 14720-2023 karta knärot.png", "A 14720-2023")</f>
        <v/>
      </c>
      <c r="V295">
        <f>HYPERLINK("https://klasma.github.io/Logging_0883/klagomål/A 14720-2023 FSC-klagomål.docx", "A 14720-2023")</f>
        <v/>
      </c>
      <c r="W295">
        <f>HYPERLINK("https://klasma.github.io/Logging_0883/klagomålsmail/A 14720-2023 FSC-klagomål mail.docx", "A 14720-2023")</f>
        <v/>
      </c>
      <c r="X295">
        <f>HYPERLINK("https://klasma.github.io/Logging_0883/tillsyn/A 14720-2023 tillsynsbegäran.docx", "A 14720-2023")</f>
        <v/>
      </c>
      <c r="Y295">
        <f>HYPERLINK("https://klasma.github.io/Logging_0883/tillsynsmail/A 14720-2023 tillsynsbegäran mail.docx", "A 14720-2023")</f>
        <v/>
      </c>
    </row>
    <row r="296" ht="15" customHeight="1">
      <c r="A296" t="inlineStr">
        <is>
          <t>A 21828-2023</t>
        </is>
      </c>
      <c r="B296" s="1" t="n">
        <v>45068</v>
      </c>
      <c r="C296" s="1" t="n">
        <v>45831</v>
      </c>
      <c r="D296" t="inlineStr">
        <is>
          <t>KALMAR LÄN</t>
        </is>
      </c>
      <c r="E296" t="inlineStr">
        <is>
          <t>VÄSTERVIK</t>
        </is>
      </c>
      <c r="G296" t="n">
        <v>0.7</v>
      </c>
      <c r="H296" t="n">
        <v>0</v>
      </c>
      <c r="I296" t="n">
        <v>1</v>
      </c>
      <c r="J296" t="n">
        <v>0</v>
      </c>
      <c r="K296" t="n">
        <v>0</v>
      </c>
      <c r="L296" t="n">
        <v>0</v>
      </c>
      <c r="M296" t="n">
        <v>0</v>
      </c>
      <c r="N296" t="n">
        <v>0</v>
      </c>
      <c r="O296" t="n">
        <v>0</v>
      </c>
      <c r="P296" t="n">
        <v>0</v>
      </c>
      <c r="Q296" t="n">
        <v>1</v>
      </c>
      <c r="R296" s="2" t="inlineStr">
        <is>
          <t>Grönpyrola</t>
        </is>
      </c>
      <c r="S296">
        <f>HYPERLINK("https://klasma.github.io/Logging_0883/artfynd/A 21828-2023 artfynd.xlsx", "A 21828-2023")</f>
        <v/>
      </c>
      <c r="T296">
        <f>HYPERLINK("https://klasma.github.io/Logging_0883/kartor/A 21828-2023 karta.png", "A 21828-2023")</f>
        <v/>
      </c>
      <c r="V296">
        <f>HYPERLINK("https://klasma.github.io/Logging_0883/klagomål/A 21828-2023 FSC-klagomål.docx", "A 21828-2023")</f>
        <v/>
      </c>
      <c r="W296">
        <f>HYPERLINK("https://klasma.github.io/Logging_0883/klagomålsmail/A 21828-2023 FSC-klagomål mail.docx", "A 21828-2023")</f>
        <v/>
      </c>
      <c r="X296">
        <f>HYPERLINK("https://klasma.github.io/Logging_0883/tillsyn/A 21828-2023 tillsynsbegäran.docx", "A 21828-2023")</f>
        <v/>
      </c>
      <c r="Y296">
        <f>HYPERLINK("https://klasma.github.io/Logging_0883/tillsynsmail/A 21828-2023 tillsynsbegäran mail.docx", "A 21828-2023")</f>
        <v/>
      </c>
    </row>
    <row r="297" ht="15" customHeight="1">
      <c r="A297" t="inlineStr">
        <is>
          <t>A 25436-2023</t>
        </is>
      </c>
      <c r="B297" s="1" t="n">
        <v>45089</v>
      </c>
      <c r="C297" s="1" t="n">
        <v>45831</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25433-2023</t>
        </is>
      </c>
      <c r="B298" s="1" t="n">
        <v>45089</v>
      </c>
      <c r="C298" s="1" t="n">
        <v>45831</v>
      </c>
      <c r="D298" t="inlineStr">
        <is>
          <t>KALMAR LÄN</t>
        </is>
      </c>
      <c r="E298" t="inlineStr">
        <is>
          <t>VÄSTERVIK</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HYPERLINK("https://klasma.github.io/Logging_0883/artfynd/A 25433-2023 artfynd.xlsx", "A 25433-2023")</f>
        <v/>
      </c>
      <c r="T298">
        <f>HYPERLINK("https://klasma.github.io/Logging_0883/kartor/A 25433-2023 karta.png", "A 25433-2023")</f>
        <v/>
      </c>
      <c r="U298">
        <f>HYPERLINK("https://klasma.github.io/Logging_0883/knärot/A 25433-2023 karta knärot.png", "A 25433-2023")</f>
        <v/>
      </c>
      <c r="V298">
        <f>HYPERLINK("https://klasma.github.io/Logging_0883/klagomål/A 25433-2023 FSC-klagomål.docx", "A 25433-2023")</f>
        <v/>
      </c>
      <c r="W298">
        <f>HYPERLINK("https://klasma.github.io/Logging_0883/klagomålsmail/A 25433-2023 FSC-klagomål mail.docx", "A 25433-2023")</f>
        <v/>
      </c>
      <c r="X298">
        <f>HYPERLINK("https://klasma.github.io/Logging_0883/tillsyn/A 25433-2023 tillsynsbegäran.docx", "A 25433-2023")</f>
        <v/>
      </c>
      <c r="Y298">
        <f>HYPERLINK("https://klasma.github.io/Logging_0883/tillsynsmail/A 25433-2023 tillsynsbegäran mail.docx", "A 25433-2023")</f>
        <v/>
      </c>
    </row>
    <row r="299" ht="15" customHeight="1">
      <c r="A299" t="inlineStr">
        <is>
          <t>A 25563-2023</t>
        </is>
      </c>
      <c r="B299" s="1" t="n">
        <v>45089</v>
      </c>
      <c r="C299" s="1" t="n">
        <v>45831</v>
      </c>
      <c r="D299" t="inlineStr">
        <is>
          <t>KALMAR LÄN</t>
        </is>
      </c>
      <c r="E299" t="inlineStr">
        <is>
          <t>VÄSTERVIK</t>
        </is>
      </c>
      <c r="G299" t="n">
        <v>1.6</v>
      </c>
      <c r="H299" t="n">
        <v>1</v>
      </c>
      <c r="I299" t="n">
        <v>0</v>
      </c>
      <c r="J299" t="n">
        <v>1</v>
      </c>
      <c r="K299" t="n">
        <v>0</v>
      </c>
      <c r="L299" t="n">
        <v>0</v>
      </c>
      <c r="M299" t="n">
        <v>0</v>
      </c>
      <c r="N299" t="n">
        <v>0</v>
      </c>
      <c r="O299" t="n">
        <v>1</v>
      </c>
      <c r="P299" t="n">
        <v>0</v>
      </c>
      <c r="Q299" t="n">
        <v>1</v>
      </c>
      <c r="R299" s="2" t="inlineStr">
        <is>
          <t>Talltita</t>
        </is>
      </c>
      <c r="S299">
        <f>HYPERLINK("https://klasma.github.io/Logging_0883/artfynd/A 25563-2023 artfynd.xlsx", "A 25563-2023")</f>
        <v/>
      </c>
      <c r="T299">
        <f>HYPERLINK("https://klasma.github.io/Logging_0883/kartor/A 25563-2023 karta.png", "A 25563-2023")</f>
        <v/>
      </c>
      <c r="V299">
        <f>HYPERLINK("https://klasma.github.io/Logging_0883/klagomål/A 25563-2023 FSC-klagomål.docx", "A 25563-2023")</f>
        <v/>
      </c>
      <c r="W299">
        <f>HYPERLINK("https://klasma.github.io/Logging_0883/klagomålsmail/A 25563-2023 FSC-klagomål mail.docx", "A 25563-2023")</f>
        <v/>
      </c>
      <c r="X299">
        <f>HYPERLINK("https://klasma.github.io/Logging_0883/tillsyn/A 25563-2023 tillsynsbegäran.docx", "A 25563-2023")</f>
        <v/>
      </c>
      <c r="Y299">
        <f>HYPERLINK("https://klasma.github.io/Logging_0883/tillsynsmail/A 25563-2023 tillsynsbegäran mail.docx", "A 25563-2023")</f>
        <v/>
      </c>
      <c r="Z299">
        <f>HYPERLINK("https://klasma.github.io/Logging_0883/fåglar/A 25563-2023 prioriterade fågelarter.docx", "A 25563-2023")</f>
        <v/>
      </c>
    </row>
    <row r="300" ht="15" customHeight="1">
      <c r="A300" t="inlineStr">
        <is>
          <t>A 26278-2023</t>
        </is>
      </c>
      <c r="B300" s="1" t="n">
        <v>45091</v>
      </c>
      <c r="C300" s="1" t="n">
        <v>45831</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26278-2023 artfynd.xlsx", "A 26278-2023")</f>
        <v/>
      </c>
      <c r="T300">
        <f>HYPERLINK("https://klasma.github.io/Logging_0883/kartor/A 26278-2023 karta.png", "A 26278-2023")</f>
        <v/>
      </c>
      <c r="U300">
        <f>HYPERLINK("https://klasma.github.io/Logging_0883/knärot/A 26278-2023 karta knärot.png", "A 26278-2023")</f>
        <v/>
      </c>
      <c r="V300">
        <f>HYPERLINK("https://klasma.github.io/Logging_0883/klagomål/A 26278-2023 FSC-klagomål.docx", "A 26278-2023")</f>
        <v/>
      </c>
      <c r="W300">
        <f>HYPERLINK("https://klasma.github.io/Logging_0883/klagomålsmail/A 26278-2023 FSC-klagomål mail.docx", "A 26278-2023")</f>
        <v/>
      </c>
      <c r="X300">
        <f>HYPERLINK("https://klasma.github.io/Logging_0883/tillsyn/A 26278-2023 tillsynsbegäran.docx", "A 26278-2023")</f>
        <v/>
      </c>
      <c r="Y300">
        <f>HYPERLINK("https://klasma.github.io/Logging_0883/tillsynsmail/A 26278-2023 tillsynsbegäran mail.docx", "A 26278-2023")</f>
        <v/>
      </c>
    </row>
    <row r="301" ht="15" customHeight="1">
      <c r="A301" t="inlineStr">
        <is>
          <t>A 28495-2023</t>
        </is>
      </c>
      <c r="B301" s="1" t="n">
        <v>45103</v>
      </c>
      <c r="C301" s="1" t="n">
        <v>45831</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32653-2023</t>
        </is>
      </c>
      <c r="B302" s="1" t="n">
        <v>45121</v>
      </c>
      <c r="C302" s="1" t="n">
        <v>45831</v>
      </c>
      <c r="D302" t="inlineStr">
        <is>
          <t>KALMAR LÄN</t>
        </is>
      </c>
      <c r="E302" t="inlineStr">
        <is>
          <t>VÄSTERVIK</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HYPERLINK("https://klasma.github.io/Logging_0883/artfynd/A 32653-2023 artfynd.xlsx", "A 32653-2023")</f>
        <v/>
      </c>
      <c r="T302">
        <f>HYPERLINK("https://klasma.github.io/Logging_0883/kartor/A 32653-2023 karta.png", "A 32653-2023")</f>
        <v/>
      </c>
      <c r="U302">
        <f>HYPERLINK("https://klasma.github.io/Logging_0883/knärot/A 32653-2023 karta knärot.png", "A 32653-2023")</f>
        <v/>
      </c>
      <c r="V302">
        <f>HYPERLINK("https://klasma.github.io/Logging_0883/klagomål/A 32653-2023 FSC-klagomål.docx", "A 32653-2023")</f>
        <v/>
      </c>
      <c r="W302">
        <f>HYPERLINK("https://klasma.github.io/Logging_0883/klagomålsmail/A 32653-2023 FSC-klagomål mail.docx", "A 32653-2023")</f>
        <v/>
      </c>
      <c r="X302">
        <f>HYPERLINK("https://klasma.github.io/Logging_0883/tillsyn/A 32653-2023 tillsynsbegäran.docx", "A 32653-2023")</f>
        <v/>
      </c>
      <c r="Y302">
        <f>HYPERLINK("https://klasma.github.io/Logging_0883/tillsynsmail/A 32653-2023 tillsynsbegäran mail.docx", "A 32653-2023")</f>
        <v/>
      </c>
    </row>
    <row r="303" ht="15" customHeight="1">
      <c r="A303" t="inlineStr">
        <is>
          <t>A 33816-2023</t>
        </is>
      </c>
      <c r="B303" s="1" t="n">
        <v>45133</v>
      </c>
      <c r="C303" s="1" t="n">
        <v>45831</v>
      </c>
      <c r="D303" t="inlineStr">
        <is>
          <t>KALMAR LÄN</t>
        </is>
      </c>
      <c r="E303" t="inlineStr">
        <is>
          <t>VÄSTERVIK</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HYPERLINK("https://klasma.github.io/Logging_0883/artfynd/A 33816-2023 artfynd.xlsx", "A 33816-2023")</f>
        <v/>
      </c>
      <c r="T303">
        <f>HYPERLINK("https://klasma.github.io/Logging_0883/kartor/A 33816-2023 karta.png", "A 33816-2023")</f>
        <v/>
      </c>
      <c r="V303">
        <f>HYPERLINK("https://klasma.github.io/Logging_0883/klagomål/A 33816-2023 FSC-klagomål.docx", "A 33816-2023")</f>
        <v/>
      </c>
      <c r="W303">
        <f>HYPERLINK("https://klasma.github.io/Logging_0883/klagomålsmail/A 33816-2023 FSC-klagomål mail.docx", "A 33816-2023")</f>
        <v/>
      </c>
      <c r="X303">
        <f>HYPERLINK("https://klasma.github.io/Logging_0883/tillsyn/A 33816-2023 tillsynsbegäran.docx", "A 33816-2023")</f>
        <v/>
      </c>
      <c r="Y303">
        <f>HYPERLINK("https://klasma.github.io/Logging_0883/tillsynsmail/A 33816-2023 tillsynsbegäran mail.docx", "A 33816-2023")</f>
        <v/>
      </c>
    </row>
    <row r="304" ht="15" customHeight="1">
      <c r="A304" t="inlineStr">
        <is>
          <t>A 33815-2023</t>
        </is>
      </c>
      <c r="B304" s="1" t="n">
        <v>45133</v>
      </c>
      <c r="C304" s="1" t="n">
        <v>45831</v>
      </c>
      <c r="D304" t="inlineStr">
        <is>
          <t>KALMAR LÄN</t>
        </is>
      </c>
      <c r="E304" t="inlineStr">
        <is>
          <t>VÄSTERVIK</t>
        </is>
      </c>
      <c r="G304" t="n">
        <v>3.4</v>
      </c>
      <c r="H304" t="n">
        <v>0</v>
      </c>
      <c r="I304" t="n">
        <v>1</v>
      </c>
      <c r="J304" t="n">
        <v>0</v>
      </c>
      <c r="K304" t="n">
        <v>0</v>
      </c>
      <c r="L304" t="n">
        <v>0</v>
      </c>
      <c r="M304" t="n">
        <v>0</v>
      </c>
      <c r="N304" t="n">
        <v>0</v>
      </c>
      <c r="O304" t="n">
        <v>0</v>
      </c>
      <c r="P304" t="n">
        <v>0</v>
      </c>
      <c r="Q304" t="n">
        <v>1</v>
      </c>
      <c r="R304" s="2" t="inlineStr">
        <is>
          <t>Grönpyrola</t>
        </is>
      </c>
      <c r="S304">
        <f>HYPERLINK("https://klasma.github.io/Logging_0883/artfynd/A 33815-2023 artfynd.xlsx", "A 33815-2023")</f>
        <v/>
      </c>
      <c r="T304">
        <f>HYPERLINK("https://klasma.github.io/Logging_0883/kartor/A 33815-2023 karta.png", "A 33815-2023")</f>
        <v/>
      </c>
      <c r="V304">
        <f>HYPERLINK("https://klasma.github.io/Logging_0883/klagomål/A 33815-2023 FSC-klagomål.docx", "A 33815-2023")</f>
        <v/>
      </c>
      <c r="W304">
        <f>HYPERLINK("https://klasma.github.io/Logging_0883/klagomålsmail/A 33815-2023 FSC-klagomål mail.docx", "A 33815-2023")</f>
        <v/>
      </c>
      <c r="X304">
        <f>HYPERLINK("https://klasma.github.io/Logging_0883/tillsyn/A 33815-2023 tillsynsbegäran.docx", "A 33815-2023")</f>
        <v/>
      </c>
      <c r="Y304">
        <f>HYPERLINK("https://klasma.github.io/Logging_0883/tillsynsmail/A 33815-2023 tillsynsbegäran mail.docx", "A 33815-2023")</f>
        <v/>
      </c>
    </row>
    <row r="305" ht="15" customHeight="1">
      <c r="A305" t="inlineStr">
        <is>
          <t>A 34563-2023</t>
        </is>
      </c>
      <c r="B305" s="1" t="n">
        <v>45140</v>
      </c>
      <c r="C305" s="1" t="n">
        <v>45831</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34563-2023 artfynd.xlsx", "A 34563-2023")</f>
        <v/>
      </c>
      <c r="T305">
        <f>HYPERLINK("https://klasma.github.io/Logging_0883/kartor/A 34563-2023 karta.png", "A 34563-2023")</f>
        <v/>
      </c>
      <c r="U305">
        <f>HYPERLINK("https://klasma.github.io/Logging_0883/knärot/A 34563-2023 karta knärot.png", "A 34563-2023")</f>
        <v/>
      </c>
      <c r="V305">
        <f>HYPERLINK("https://klasma.github.io/Logging_0883/klagomål/A 34563-2023 FSC-klagomål.docx", "A 34563-2023")</f>
        <v/>
      </c>
      <c r="W305">
        <f>HYPERLINK("https://klasma.github.io/Logging_0883/klagomålsmail/A 34563-2023 FSC-klagomål mail.docx", "A 34563-2023")</f>
        <v/>
      </c>
      <c r="X305">
        <f>HYPERLINK("https://klasma.github.io/Logging_0883/tillsyn/A 34563-2023 tillsynsbegäran.docx", "A 34563-2023")</f>
        <v/>
      </c>
      <c r="Y305">
        <f>HYPERLINK("https://klasma.github.io/Logging_0883/tillsynsmail/A 34563-2023 tillsynsbegäran mail.docx", "A 34563-2023")</f>
        <v/>
      </c>
    </row>
    <row r="306" ht="15" customHeight="1">
      <c r="A306" t="inlineStr">
        <is>
          <t>A 36400-2023</t>
        </is>
      </c>
      <c r="B306" s="1" t="n">
        <v>45152</v>
      </c>
      <c r="C306" s="1" t="n">
        <v>45831</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36400-2023 artfynd.xlsx", "A 36400-2023")</f>
        <v/>
      </c>
      <c r="T306">
        <f>HYPERLINK("https://klasma.github.io/Logging_0883/kartor/A 36400-2023 karta.png", "A 36400-2023")</f>
        <v/>
      </c>
      <c r="U306">
        <f>HYPERLINK("https://klasma.github.io/Logging_0883/knärot/A 36400-2023 karta knärot.png", "A 36400-2023")</f>
        <v/>
      </c>
      <c r="V306">
        <f>HYPERLINK("https://klasma.github.io/Logging_0883/klagomål/A 36400-2023 FSC-klagomål.docx", "A 36400-2023")</f>
        <v/>
      </c>
      <c r="W306">
        <f>HYPERLINK("https://klasma.github.io/Logging_0883/klagomålsmail/A 36400-2023 FSC-klagomål mail.docx", "A 36400-2023")</f>
        <v/>
      </c>
      <c r="X306">
        <f>HYPERLINK("https://klasma.github.io/Logging_0883/tillsyn/A 36400-2023 tillsynsbegäran.docx", "A 36400-2023")</f>
        <v/>
      </c>
      <c r="Y306">
        <f>HYPERLINK("https://klasma.github.io/Logging_0883/tillsynsmail/A 36400-2023 tillsynsbegäran mail.docx", "A 36400-2023")</f>
        <v/>
      </c>
    </row>
    <row r="307" ht="15" customHeight="1">
      <c r="A307" t="inlineStr">
        <is>
          <t>A 43788-2023</t>
        </is>
      </c>
      <c r="B307" s="1" t="n">
        <v>45187</v>
      </c>
      <c r="C307" s="1" t="n">
        <v>45831</v>
      </c>
      <c r="D307" t="inlineStr">
        <is>
          <t>KALMAR LÄN</t>
        </is>
      </c>
      <c r="E307" t="inlineStr">
        <is>
          <t>VÄSTERVIK</t>
        </is>
      </c>
      <c r="G307" t="n">
        <v>4.5</v>
      </c>
      <c r="H307" t="n">
        <v>0</v>
      </c>
      <c r="I307" t="n">
        <v>0</v>
      </c>
      <c r="J307" t="n">
        <v>1</v>
      </c>
      <c r="K307" t="n">
        <v>0</v>
      </c>
      <c r="L307" t="n">
        <v>0</v>
      </c>
      <c r="M307" t="n">
        <v>0</v>
      </c>
      <c r="N307" t="n">
        <v>0</v>
      </c>
      <c r="O307" t="n">
        <v>1</v>
      </c>
      <c r="P307" t="n">
        <v>0</v>
      </c>
      <c r="Q307" t="n">
        <v>1</v>
      </c>
      <c r="R307" s="2" t="inlineStr">
        <is>
          <t>Motaggsvamp</t>
        </is>
      </c>
      <c r="S307">
        <f>HYPERLINK("https://klasma.github.io/Logging_0883/artfynd/A 43788-2023 artfynd.xlsx", "A 43788-2023")</f>
        <v/>
      </c>
      <c r="T307">
        <f>HYPERLINK("https://klasma.github.io/Logging_0883/kartor/A 43788-2023 karta.png", "A 43788-2023")</f>
        <v/>
      </c>
      <c r="V307">
        <f>HYPERLINK("https://klasma.github.io/Logging_0883/klagomål/A 43788-2023 FSC-klagomål.docx", "A 43788-2023")</f>
        <v/>
      </c>
      <c r="W307">
        <f>HYPERLINK("https://klasma.github.io/Logging_0883/klagomålsmail/A 43788-2023 FSC-klagomål mail.docx", "A 43788-2023")</f>
        <v/>
      </c>
      <c r="X307">
        <f>HYPERLINK("https://klasma.github.io/Logging_0883/tillsyn/A 43788-2023 tillsynsbegäran.docx", "A 43788-2023")</f>
        <v/>
      </c>
      <c r="Y307">
        <f>HYPERLINK("https://klasma.github.io/Logging_0883/tillsynsmail/A 43788-2023 tillsynsbegäran mail.docx", "A 43788-2023")</f>
        <v/>
      </c>
    </row>
    <row r="308" ht="15" customHeight="1">
      <c r="A308" t="inlineStr">
        <is>
          <t>A 46722-2023</t>
        </is>
      </c>
      <c r="B308" s="1" t="n">
        <v>45194</v>
      </c>
      <c r="C308" s="1" t="n">
        <v>45831</v>
      </c>
      <c r="D308" t="inlineStr">
        <is>
          <t>KALMAR LÄN</t>
        </is>
      </c>
      <c r="E308" t="inlineStr">
        <is>
          <t>VÄSTERVIK</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HYPERLINK("https://klasma.github.io/Logging_0883/artfynd/A 46722-2023 artfynd.xlsx", "A 46722-2023")</f>
        <v/>
      </c>
      <c r="T308">
        <f>HYPERLINK("https://klasma.github.io/Logging_0883/kartor/A 46722-2023 karta.png", "A 46722-2023")</f>
        <v/>
      </c>
      <c r="U308">
        <f>HYPERLINK("https://klasma.github.io/Logging_0883/knärot/A 46722-2023 karta knärot.png", "A 46722-2023")</f>
        <v/>
      </c>
      <c r="V308">
        <f>HYPERLINK("https://klasma.github.io/Logging_0883/klagomål/A 46722-2023 FSC-klagomål.docx", "A 46722-2023")</f>
        <v/>
      </c>
      <c r="W308">
        <f>HYPERLINK("https://klasma.github.io/Logging_0883/klagomålsmail/A 46722-2023 FSC-klagomål mail.docx", "A 46722-2023")</f>
        <v/>
      </c>
      <c r="X308">
        <f>HYPERLINK("https://klasma.github.io/Logging_0883/tillsyn/A 46722-2023 tillsynsbegäran.docx", "A 46722-2023")</f>
        <v/>
      </c>
      <c r="Y308">
        <f>HYPERLINK("https://klasma.github.io/Logging_0883/tillsynsmail/A 46722-2023 tillsynsbegäran mail.docx", "A 46722-2023")</f>
        <v/>
      </c>
    </row>
    <row r="309" ht="15" customHeight="1">
      <c r="A309" t="inlineStr">
        <is>
          <t>A 47112-2023</t>
        </is>
      </c>
      <c r="B309" s="1" t="n">
        <v>45201</v>
      </c>
      <c r="C309" s="1" t="n">
        <v>45831</v>
      </c>
      <c r="D309" t="inlineStr">
        <is>
          <t>KALMAR LÄN</t>
        </is>
      </c>
      <c r="E309" t="inlineStr">
        <is>
          <t>VÄSTERVIK</t>
        </is>
      </c>
      <c r="G309" t="n">
        <v>1</v>
      </c>
      <c r="H309" t="n">
        <v>0</v>
      </c>
      <c r="I309" t="n">
        <v>0</v>
      </c>
      <c r="J309" t="n">
        <v>1</v>
      </c>
      <c r="K309" t="n">
        <v>0</v>
      </c>
      <c r="L309" t="n">
        <v>0</v>
      </c>
      <c r="M309" t="n">
        <v>0</v>
      </c>
      <c r="N309" t="n">
        <v>0</v>
      </c>
      <c r="O309" t="n">
        <v>1</v>
      </c>
      <c r="P309" t="n">
        <v>0</v>
      </c>
      <c r="Q309" t="n">
        <v>1</v>
      </c>
      <c r="R309" s="2" t="inlineStr">
        <is>
          <t>Tallticka</t>
        </is>
      </c>
      <c r="S309">
        <f>HYPERLINK("https://klasma.github.io/Logging_0883/artfynd/A 47112-2023 artfynd.xlsx", "A 47112-2023")</f>
        <v/>
      </c>
      <c r="T309">
        <f>HYPERLINK("https://klasma.github.io/Logging_0883/kartor/A 47112-2023 karta.png", "A 47112-2023")</f>
        <v/>
      </c>
      <c r="V309">
        <f>HYPERLINK("https://klasma.github.io/Logging_0883/klagomål/A 47112-2023 FSC-klagomål.docx", "A 47112-2023")</f>
        <v/>
      </c>
      <c r="W309">
        <f>HYPERLINK("https://klasma.github.io/Logging_0883/klagomålsmail/A 47112-2023 FSC-klagomål mail.docx", "A 47112-2023")</f>
        <v/>
      </c>
      <c r="X309">
        <f>HYPERLINK("https://klasma.github.io/Logging_0883/tillsyn/A 47112-2023 tillsynsbegäran.docx", "A 47112-2023")</f>
        <v/>
      </c>
      <c r="Y309">
        <f>HYPERLINK("https://klasma.github.io/Logging_0883/tillsynsmail/A 47112-2023 tillsynsbegäran mail.docx", "A 47112-2023")</f>
        <v/>
      </c>
    </row>
    <row r="310" ht="15" customHeight="1">
      <c r="A310" t="inlineStr">
        <is>
          <t>A 49680-2023</t>
        </is>
      </c>
      <c r="B310" s="1" t="n">
        <v>45212</v>
      </c>
      <c r="C310" s="1" t="n">
        <v>45831</v>
      </c>
      <c r="D310" t="inlineStr">
        <is>
          <t>KALMAR LÄN</t>
        </is>
      </c>
      <c r="E310" t="inlineStr">
        <is>
          <t>VÄSTERVIK</t>
        </is>
      </c>
      <c r="G310" t="n">
        <v>3.3</v>
      </c>
      <c r="H310" t="n">
        <v>0</v>
      </c>
      <c r="I310" t="n">
        <v>0</v>
      </c>
      <c r="J310" t="n">
        <v>1</v>
      </c>
      <c r="K310" t="n">
        <v>0</v>
      </c>
      <c r="L310" t="n">
        <v>0</v>
      </c>
      <c r="M310" t="n">
        <v>0</v>
      </c>
      <c r="N310" t="n">
        <v>0</v>
      </c>
      <c r="O310" t="n">
        <v>1</v>
      </c>
      <c r="P310" t="n">
        <v>0</v>
      </c>
      <c r="Q310" t="n">
        <v>1</v>
      </c>
      <c r="R310" s="2" t="inlineStr">
        <is>
          <t>Skogsklocka</t>
        </is>
      </c>
      <c r="S310">
        <f>HYPERLINK("https://klasma.github.io/Logging_0883/artfynd/A 49680-2023 artfynd.xlsx", "A 49680-2023")</f>
        <v/>
      </c>
      <c r="T310">
        <f>HYPERLINK("https://klasma.github.io/Logging_0883/kartor/A 49680-2023 karta.png", "A 49680-2023")</f>
        <v/>
      </c>
      <c r="V310">
        <f>HYPERLINK("https://klasma.github.io/Logging_0883/klagomål/A 49680-2023 FSC-klagomål.docx", "A 49680-2023")</f>
        <v/>
      </c>
      <c r="W310">
        <f>HYPERLINK("https://klasma.github.io/Logging_0883/klagomålsmail/A 49680-2023 FSC-klagomål mail.docx", "A 49680-2023")</f>
        <v/>
      </c>
      <c r="X310">
        <f>HYPERLINK("https://klasma.github.io/Logging_0883/tillsyn/A 49680-2023 tillsynsbegäran.docx", "A 49680-2023")</f>
        <v/>
      </c>
      <c r="Y310">
        <f>HYPERLINK("https://klasma.github.io/Logging_0883/tillsynsmail/A 49680-2023 tillsynsbegäran mail.docx", "A 49680-2023")</f>
        <v/>
      </c>
    </row>
    <row r="311" ht="15" customHeight="1">
      <c r="A311" t="inlineStr">
        <is>
          <t>A 54272-2023</t>
        </is>
      </c>
      <c r="B311" s="1" t="n">
        <v>45232</v>
      </c>
      <c r="C311" s="1" t="n">
        <v>45831</v>
      </c>
      <c r="D311" t="inlineStr">
        <is>
          <t>KALMAR LÄN</t>
        </is>
      </c>
      <c r="E311" t="inlineStr">
        <is>
          <t>VÄSTERVIK</t>
        </is>
      </c>
      <c r="G311" t="n">
        <v>1</v>
      </c>
      <c r="H311" t="n">
        <v>0</v>
      </c>
      <c r="I311" t="n">
        <v>1</v>
      </c>
      <c r="J311" t="n">
        <v>0</v>
      </c>
      <c r="K311" t="n">
        <v>0</v>
      </c>
      <c r="L311" t="n">
        <v>0</v>
      </c>
      <c r="M311" t="n">
        <v>0</v>
      </c>
      <c r="N311" t="n">
        <v>0</v>
      </c>
      <c r="O311" t="n">
        <v>0</v>
      </c>
      <c r="P311" t="n">
        <v>0</v>
      </c>
      <c r="Q311" t="n">
        <v>1</v>
      </c>
      <c r="R311" s="2" t="inlineStr">
        <is>
          <t>Aprikosfingersvamp</t>
        </is>
      </c>
      <c r="S311">
        <f>HYPERLINK("https://klasma.github.io/Logging_0883/artfynd/A 54272-2023 artfynd.xlsx", "A 54272-2023")</f>
        <v/>
      </c>
      <c r="T311">
        <f>HYPERLINK("https://klasma.github.io/Logging_0883/kartor/A 54272-2023 karta.png", "A 54272-2023")</f>
        <v/>
      </c>
      <c r="V311">
        <f>HYPERLINK("https://klasma.github.io/Logging_0883/klagomål/A 54272-2023 FSC-klagomål.docx", "A 54272-2023")</f>
        <v/>
      </c>
      <c r="W311">
        <f>HYPERLINK("https://klasma.github.io/Logging_0883/klagomålsmail/A 54272-2023 FSC-klagomål mail.docx", "A 54272-2023")</f>
        <v/>
      </c>
      <c r="X311">
        <f>HYPERLINK("https://klasma.github.io/Logging_0883/tillsyn/A 54272-2023 tillsynsbegäran.docx", "A 54272-2023")</f>
        <v/>
      </c>
      <c r="Y311">
        <f>HYPERLINK("https://klasma.github.io/Logging_0883/tillsynsmail/A 54272-2023 tillsynsbegäran mail.docx", "A 54272-2023")</f>
        <v/>
      </c>
    </row>
    <row r="312" ht="15" customHeight="1">
      <c r="A312" t="inlineStr">
        <is>
          <t>A 55575-2023</t>
        </is>
      </c>
      <c r="B312" s="1" t="n">
        <v>45238</v>
      </c>
      <c r="C312" s="1" t="n">
        <v>45831</v>
      </c>
      <c r="D312" t="inlineStr">
        <is>
          <t>KALMAR LÄN</t>
        </is>
      </c>
      <c r="E312" t="inlineStr">
        <is>
          <t>VÄSTERVIK</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HYPERLINK("https://klasma.github.io/Logging_0883/artfynd/A 55575-2023 artfynd.xlsx", "A 55575-2023")</f>
        <v/>
      </c>
      <c r="T312">
        <f>HYPERLINK("https://klasma.github.io/Logging_0883/kartor/A 55575-2023 karta.png", "A 55575-2023")</f>
        <v/>
      </c>
      <c r="U312">
        <f>HYPERLINK("https://klasma.github.io/Logging_0883/knärot/A 55575-2023 karta knärot.png", "A 55575-2023")</f>
        <v/>
      </c>
      <c r="V312">
        <f>HYPERLINK("https://klasma.github.io/Logging_0883/klagomål/A 55575-2023 FSC-klagomål.docx", "A 55575-2023")</f>
        <v/>
      </c>
      <c r="W312">
        <f>HYPERLINK("https://klasma.github.io/Logging_0883/klagomålsmail/A 55575-2023 FSC-klagomål mail.docx", "A 55575-2023")</f>
        <v/>
      </c>
      <c r="X312">
        <f>HYPERLINK("https://klasma.github.io/Logging_0883/tillsyn/A 55575-2023 tillsynsbegäran.docx", "A 55575-2023")</f>
        <v/>
      </c>
      <c r="Y312">
        <f>HYPERLINK("https://klasma.github.io/Logging_0883/tillsynsmail/A 55575-2023 tillsynsbegäran mail.docx", "A 55575-2023")</f>
        <v/>
      </c>
    </row>
    <row r="313" ht="15" customHeight="1">
      <c r="A313" t="inlineStr">
        <is>
          <t>A 56186-2023</t>
        </is>
      </c>
      <c r="B313" s="1" t="n">
        <v>45240</v>
      </c>
      <c r="C313" s="1" t="n">
        <v>45831</v>
      </c>
      <c r="D313" t="inlineStr">
        <is>
          <t>KALMAR LÄN</t>
        </is>
      </c>
      <c r="E313" t="inlineStr">
        <is>
          <t>VÄSTERVIK</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HYPERLINK("https://klasma.github.io/Logging_0883/artfynd/A 56186-2023 artfynd.xlsx", "A 56186-2023")</f>
        <v/>
      </c>
      <c r="T313">
        <f>HYPERLINK("https://klasma.github.io/Logging_0883/kartor/A 56186-2023 karta.png", "A 56186-2023")</f>
        <v/>
      </c>
      <c r="V313">
        <f>HYPERLINK("https://klasma.github.io/Logging_0883/klagomål/A 56186-2023 FSC-klagomål.docx", "A 56186-2023")</f>
        <v/>
      </c>
      <c r="W313">
        <f>HYPERLINK("https://klasma.github.io/Logging_0883/klagomålsmail/A 56186-2023 FSC-klagomål mail.docx", "A 56186-2023")</f>
        <v/>
      </c>
      <c r="X313">
        <f>HYPERLINK("https://klasma.github.io/Logging_0883/tillsyn/A 56186-2023 tillsynsbegäran.docx", "A 56186-2023")</f>
        <v/>
      </c>
      <c r="Y313">
        <f>HYPERLINK("https://klasma.github.io/Logging_0883/tillsynsmail/A 56186-2023 tillsynsbegäran mail.docx", "A 56186-2023")</f>
        <v/>
      </c>
    </row>
    <row r="314" ht="15" customHeight="1">
      <c r="A314" t="inlineStr">
        <is>
          <t>A 59368-2023</t>
        </is>
      </c>
      <c r="B314" s="1" t="n">
        <v>45253</v>
      </c>
      <c r="C314" s="1" t="n">
        <v>45831</v>
      </c>
      <c r="D314" t="inlineStr">
        <is>
          <t>KALMAR LÄN</t>
        </is>
      </c>
      <c r="E314" t="inlineStr">
        <is>
          <t>VÄSTERVIK</t>
        </is>
      </c>
      <c r="G314" t="n">
        <v>2.4</v>
      </c>
      <c r="H314" t="n">
        <v>1</v>
      </c>
      <c r="I314" t="n">
        <v>0</v>
      </c>
      <c r="J314" t="n">
        <v>0</v>
      </c>
      <c r="K314" t="n">
        <v>1</v>
      </c>
      <c r="L314" t="n">
        <v>0</v>
      </c>
      <c r="M314" t="n">
        <v>0</v>
      </c>
      <c r="N314" t="n">
        <v>0</v>
      </c>
      <c r="O314" t="n">
        <v>1</v>
      </c>
      <c r="P314" t="n">
        <v>1</v>
      </c>
      <c r="Q314" t="n">
        <v>1</v>
      </c>
      <c r="R314" s="2" t="inlineStr">
        <is>
          <t>Knärot</t>
        </is>
      </c>
      <c r="S314">
        <f>HYPERLINK("https://klasma.github.io/Logging_0883/artfynd/A 59368-2023 artfynd.xlsx", "A 59368-2023")</f>
        <v/>
      </c>
      <c r="T314">
        <f>HYPERLINK("https://klasma.github.io/Logging_0883/kartor/A 59368-2023 karta.png", "A 59368-2023")</f>
        <v/>
      </c>
      <c r="U314">
        <f>HYPERLINK("https://klasma.github.io/Logging_0883/knärot/A 59368-2023 karta knärot.png", "A 59368-2023")</f>
        <v/>
      </c>
      <c r="V314">
        <f>HYPERLINK("https://klasma.github.io/Logging_0883/klagomål/A 59368-2023 FSC-klagomål.docx", "A 59368-2023")</f>
        <v/>
      </c>
      <c r="W314">
        <f>HYPERLINK("https://klasma.github.io/Logging_0883/klagomålsmail/A 59368-2023 FSC-klagomål mail.docx", "A 59368-2023")</f>
        <v/>
      </c>
      <c r="X314">
        <f>HYPERLINK("https://klasma.github.io/Logging_0883/tillsyn/A 59368-2023 tillsynsbegäran.docx", "A 59368-2023")</f>
        <v/>
      </c>
      <c r="Y314">
        <f>HYPERLINK("https://klasma.github.io/Logging_0883/tillsynsmail/A 59368-2023 tillsynsbegäran mail.docx", "A 59368-2023")</f>
        <v/>
      </c>
    </row>
    <row r="315" ht="15" customHeight="1">
      <c r="A315" t="inlineStr">
        <is>
          <t>A 60633-2023</t>
        </is>
      </c>
      <c r="B315" s="1" t="n">
        <v>45260</v>
      </c>
      <c r="C315" s="1" t="n">
        <v>45831</v>
      </c>
      <c r="D315" t="inlineStr">
        <is>
          <t>KALMAR LÄN</t>
        </is>
      </c>
      <c r="E315" t="inlineStr">
        <is>
          <t>VÄSTERVIK</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HYPERLINK("https://klasma.github.io/Logging_0883/artfynd/A 60633-2023 artfynd.xlsx", "A 60633-2023")</f>
        <v/>
      </c>
      <c r="T315">
        <f>HYPERLINK("https://klasma.github.io/Logging_0883/kartor/A 60633-2023 karta.png", "A 60633-2023")</f>
        <v/>
      </c>
      <c r="V315">
        <f>HYPERLINK("https://klasma.github.io/Logging_0883/klagomål/A 60633-2023 FSC-klagomål.docx", "A 60633-2023")</f>
        <v/>
      </c>
      <c r="W315">
        <f>HYPERLINK("https://klasma.github.io/Logging_0883/klagomålsmail/A 60633-2023 FSC-klagomål mail.docx", "A 60633-2023")</f>
        <v/>
      </c>
      <c r="X315">
        <f>HYPERLINK("https://klasma.github.io/Logging_0883/tillsyn/A 60633-2023 tillsynsbegäran.docx", "A 60633-2023")</f>
        <v/>
      </c>
      <c r="Y315">
        <f>HYPERLINK("https://klasma.github.io/Logging_0883/tillsynsmail/A 60633-2023 tillsynsbegäran mail.docx", "A 60633-2023")</f>
        <v/>
      </c>
      <c r="Z315">
        <f>HYPERLINK("https://klasma.github.io/Logging_0883/fåglar/A 60633-2023 prioriterade fågelarter.docx", "A 60633-2023")</f>
        <v/>
      </c>
    </row>
    <row r="316" ht="15" customHeight="1">
      <c r="A316" t="inlineStr">
        <is>
          <t>A 61806-2023</t>
        </is>
      </c>
      <c r="B316" s="1" t="n">
        <v>45266</v>
      </c>
      <c r="C316" s="1" t="n">
        <v>45831</v>
      </c>
      <c r="D316" t="inlineStr">
        <is>
          <t>KALMAR LÄN</t>
        </is>
      </c>
      <c r="E316" t="inlineStr">
        <is>
          <t>VÄSTERVIK</t>
        </is>
      </c>
      <c r="G316" t="n">
        <v>1.1</v>
      </c>
      <c r="H316" t="n">
        <v>0</v>
      </c>
      <c r="I316" t="n">
        <v>0</v>
      </c>
      <c r="J316" t="n">
        <v>1</v>
      </c>
      <c r="K316" t="n">
        <v>0</v>
      </c>
      <c r="L316" t="n">
        <v>0</v>
      </c>
      <c r="M316" t="n">
        <v>0</v>
      </c>
      <c r="N316" t="n">
        <v>0</v>
      </c>
      <c r="O316" t="n">
        <v>1</v>
      </c>
      <c r="P316" t="n">
        <v>0</v>
      </c>
      <c r="Q316" t="n">
        <v>1</v>
      </c>
      <c r="R316" s="2" t="inlineStr">
        <is>
          <t>Veckticka</t>
        </is>
      </c>
      <c r="S316">
        <f>HYPERLINK("https://klasma.github.io/Logging_0883/artfynd/A 61806-2023 artfynd.xlsx", "A 61806-2023")</f>
        <v/>
      </c>
      <c r="T316">
        <f>HYPERLINK("https://klasma.github.io/Logging_0883/kartor/A 61806-2023 karta.png", "A 61806-2023")</f>
        <v/>
      </c>
      <c r="V316">
        <f>HYPERLINK("https://klasma.github.io/Logging_0883/klagomål/A 61806-2023 FSC-klagomål.docx", "A 61806-2023")</f>
        <v/>
      </c>
      <c r="W316">
        <f>HYPERLINK("https://klasma.github.io/Logging_0883/klagomålsmail/A 61806-2023 FSC-klagomål mail.docx", "A 61806-2023")</f>
        <v/>
      </c>
      <c r="X316">
        <f>HYPERLINK("https://klasma.github.io/Logging_0883/tillsyn/A 61806-2023 tillsynsbegäran.docx", "A 61806-2023")</f>
        <v/>
      </c>
      <c r="Y316">
        <f>HYPERLINK("https://klasma.github.io/Logging_0883/tillsynsmail/A 61806-2023 tillsynsbegäran mail.docx", "A 61806-2023")</f>
        <v/>
      </c>
    </row>
    <row r="317" ht="15" customHeight="1">
      <c r="A317" t="inlineStr">
        <is>
          <t>A 1176-2024</t>
        </is>
      </c>
      <c r="B317" s="1" t="n">
        <v>45302</v>
      </c>
      <c r="C317" s="1" t="n">
        <v>45831</v>
      </c>
      <c r="D317" t="inlineStr">
        <is>
          <t>KALMAR LÄN</t>
        </is>
      </c>
      <c r="E317" t="inlineStr">
        <is>
          <t>VÄSTERVIK</t>
        </is>
      </c>
      <c r="G317" t="n">
        <v>2.5</v>
      </c>
      <c r="H317" t="n">
        <v>0</v>
      </c>
      <c r="I317" t="n">
        <v>0</v>
      </c>
      <c r="J317" t="n">
        <v>1</v>
      </c>
      <c r="K317" t="n">
        <v>0</v>
      </c>
      <c r="L317" t="n">
        <v>0</v>
      </c>
      <c r="M317" t="n">
        <v>0</v>
      </c>
      <c r="N317" t="n">
        <v>0</v>
      </c>
      <c r="O317" t="n">
        <v>1</v>
      </c>
      <c r="P317" t="n">
        <v>0</v>
      </c>
      <c r="Q317" t="n">
        <v>1</v>
      </c>
      <c r="R317" s="2" t="inlineStr">
        <is>
          <t>Tallticka</t>
        </is>
      </c>
      <c r="S317">
        <f>HYPERLINK("https://klasma.github.io/Logging_0883/artfynd/A 1176-2024 artfynd.xlsx", "A 1176-2024")</f>
        <v/>
      </c>
      <c r="T317">
        <f>HYPERLINK("https://klasma.github.io/Logging_0883/kartor/A 1176-2024 karta.png", "A 1176-2024")</f>
        <v/>
      </c>
      <c r="V317">
        <f>HYPERLINK("https://klasma.github.io/Logging_0883/klagomål/A 1176-2024 FSC-klagomål.docx", "A 1176-2024")</f>
        <v/>
      </c>
      <c r="W317">
        <f>HYPERLINK("https://klasma.github.io/Logging_0883/klagomålsmail/A 1176-2024 FSC-klagomål mail.docx", "A 1176-2024")</f>
        <v/>
      </c>
      <c r="X317">
        <f>HYPERLINK("https://klasma.github.io/Logging_0883/tillsyn/A 1176-2024 tillsynsbegäran.docx", "A 1176-2024")</f>
        <v/>
      </c>
      <c r="Y317">
        <f>HYPERLINK("https://klasma.github.io/Logging_0883/tillsynsmail/A 1176-2024 tillsynsbegäran mail.docx", "A 1176-2024")</f>
        <v/>
      </c>
    </row>
    <row r="318" ht="15" customHeight="1">
      <c r="A318" t="inlineStr">
        <is>
          <t>A 2804-2024</t>
        </is>
      </c>
      <c r="B318" s="1" t="n">
        <v>45314</v>
      </c>
      <c r="C318" s="1" t="n">
        <v>45831</v>
      </c>
      <c r="D318" t="inlineStr">
        <is>
          <t>KALMAR LÄN</t>
        </is>
      </c>
      <c r="E318" t="inlineStr">
        <is>
          <t>VÄSTERVIK</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HYPERLINK("https://klasma.github.io/Logging_0883/artfynd/A 2804-2024 artfynd.xlsx", "A 2804-2024")</f>
        <v/>
      </c>
      <c r="T318">
        <f>HYPERLINK("https://klasma.github.io/Logging_0883/kartor/A 2804-2024 karta.png", "A 2804-2024")</f>
        <v/>
      </c>
      <c r="U318">
        <f>HYPERLINK("https://klasma.github.io/Logging_0883/knärot/A 2804-2024 karta knärot.png", "A 2804-2024")</f>
        <v/>
      </c>
      <c r="V318">
        <f>HYPERLINK("https://klasma.github.io/Logging_0883/klagomål/A 2804-2024 FSC-klagomål.docx", "A 2804-2024")</f>
        <v/>
      </c>
      <c r="W318">
        <f>HYPERLINK("https://klasma.github.io/Logging_0883/klagomålsmail/A 2804-2024 FSC-klagomål mail.docx", "A 2804-2024")</f>
        <v/>
      </c>
      <c r="X318">
        <f>HYPERLINK("https://klasma.github.io/Logging_0883/tillsyn/A 2804-2024 tillsynsbegäran.docx", "A 2804-2024")</f>
        <v/>
      </c>
      <c r="Y318">
        <f>HYPERLINK("https://klasma.github.io/Logging_0883/tillsynsmail/A 2804-2024 tillsynsbegäran mail.docx", "A 2804-2024")</f>
        <v/>
      </c>
    </row>
    <row r="319" ht="15" customHeight="1">
      <c r="A319" t="inlineStr">
        <is>
          <t>A 6025-2024</t>
        </is>
      </c>
      <c r="B319" s="1" t="n">
        <v>45336</v>
      </c>
      <c r="C319" s="1" t="n">
        <v>45831</v>
      </c>
      <c r="D319" t="inlineStr">
        <is>
          <t>KALMAR LÄN</t>
        </is>
      </c>
      <c r="E319" t="inlineStr">
        <is>
          <t>VÄSTERVIK</t>
        </is>
      </c>
      <c r="G319" t="n">
        <v>2.8</v>
      </c>
      <c r="H319" t="n">
        <v>0</v>
      </c>
      <c r="I319" t="n">
        <v>0</v>
      </c>
      <c r="J319" t="n">
        <v>1</v>
      </c>
      <c r="K319" t="n">
        <v>0</v>
      </c>
      <c r="L319" t="n">
        <v>0</v>
      </c>
      <c r="M319" t="n">
        <v>0</v>
      </c>
      <c r="N319" t="n">
        <v>0</v>
      </c>
      <c r="O319" t="n">
        <v>1</v>
      </c>
      <c r="P319" t="n">
        <v>0</v>
      </c>
      <c r="Q319" t="n">
        <v>1</v>
      </c>
      <c r="R319" s="2" t="inlineStr">
        <is>
          <t>Tallticka</t>
        </is>
      </c>
      <c r="S319">
        <f>HYPERLINK("https://klasma.github.io/Logging_0883/artfynd/A 6025-2024 artfynd.xlsx", "A 6025-2024")</f>
        <v/>
      </c>
      <c r="T319">
        <f>HYPERLINK("https://klasma.github.io/Logging_0883/kartor/A 6025-2024 karta.png", "A 6025-2024")</f>
        <v/>
      </c>
      <c r="V319">
        <f>HYPERLINK("https://klasma.github.io/Logging_0883/klagomål/A 6025-2024 FSC-klagomål.docx", "A 6025-2024")</f>
        <v/>
      </c>
      <c r="W319">
        <f>HYPERLINK("https://klasma.github.io/Logging_0883/klagomålsmail/A 6025-2024 FSC-klagomål mail.docx", "A 6025-2024")</f>
        <v/>
      </c>
      <c r="X319">
        <f>HYPERLINK("https://klasma.github.io/Logging_0883/tillsyn/A 6025-2024 tillsynsbegäran.docx", "A 6025-2024")</f>
        <v/>
      </c>
      <c r="Y319">
        <f>HYPERLINK("https://klasma.github.io/Logging_0883/tillsynsmail/A 6025-2024 tillsynsbegäran mail.docx", "A 6025-2024")</f>
        <v/>
      </c>
    </row>
    <row r="320" ht="15" customHeight="1">
      <c r="A320" t="inlineStr">
        <is>
          <t>A 11165-2024</t>
        </is>
      </c>
      <c r="B320" s="1" t="n">
        <v>45371</v>
      </c>
      <c r="C320" s="1" t="n">
        <v>45831</v>
      </c>
      <c r="D320" t="inlineStr">
        <is>
          <t>KALMAR LÄN</t>
        </is>
      </c>
      <c r="E320" t="inlineStr">
        <is>
          <t>VÄSTERVIK</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HYPERLINK("https://klasma.github.io/Logging_0883/artfynd/A 11165-2024 artfynd.xlsx", "A 11165-2024")</f>
        <v/>
      </c>
      <c r="T320">
        <f>HYPERLINK("https://klasma.github.io/Logging_0883/kartor/A 11165-2024 karta.png", "A 11165-2024")</f>
        <v/>
      </c>
      <c r="V320">
        <f>HYPERLINK("https://klasma.github.io/Logging_0883/klagomål/A 11165-2024 FSC-klagomål.docx", "A 11165-2024")</f>
        <v/>
      </c>
      <c r="W320">
        <f>HYPERLINK("https://klasma.github.io/Logging_0883/klagomålsmail/A 11165-2024 FSC-klagomål mail.docx", "A 11165-2024")</f>
        <v/>
      </c>
      <c r="X320">
        <f>HYPERLINK("https://klasma.github.io/Logging_0883/tillsyn/A 11165-2024 tillsynsbegäran.docx", "A 11165-2024")</f>
        <v/>
      </c>
      <c r="Y320">
        <f>HYPERLINK("https://klasma.github.io/Logging_0883/tillsynsmail/A 11165-2024 tillsynsbegäran mail.docx", "A 11165-2024")</f>
        <v/>
      </c>
      <c r="Z320">
        <f>HYPERLINK("https://klasma.github.io/Logging_0883/fåglar/A 11165-2024 prioriterade fågelarter.docx", "A 11165-2024")</f>
        <v/>
      </c>
    </row>
    <row r="321" ht="15" customHeight="1">
      <c r="A321" t="inlineStr">
        <is>
          <t>A 11195-2024</t>
        </is>
      </c>
      <c r="B321" s="1" t="n">
        <v>45371</v>
      </c>
      <c r="C321" s="1" t="n">
        <v>45831</v>
      </c>
      <c r="D321" t="inlineStr">
        <is>
          <t>KALMAR LÄN</t>
        </is>
      </c>
      <c r="E321" t="inlineStr">
        <is>
          <t>VÄSTERVIK</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HYPERLINK("https://klasma.github.io/Logging_0883/artfynd/A 11195-2024 artfynd.xlsx", "A 11195-2024")</f>
        <v/>
      </c>
      <c r="T321">
        <f>HYPERLINK("https://klasma.github.io/Logging_0883/kartor/A 11195-2024 karta.png", "A 11195-2024")</f>
        <v/>
      </c>
      <c r="U321">
        <f>HYPERLINK("https://klasma.github.io/Logging_0883/knärot/A 11195-2024 karta knärot.png", "A 11195-2024")</f>
        <v/>
      </c>
      <c r="V321">
        <f>HYPERLINK("https://klasma.github.io/Logging_0883/klagomål/A 11195-2024 FSC-klagomål.docx", "A 11195-2024")</f>
        <v/>
      </c>
      <c r="W321">
        <f>HYPERLINK("https://klasma.github.io/Logging_0883/klagomålsmail/A 11195-2024 FSC-klagomål mail.docx", "A 11195-2024")</f>
        <v/>
      </c>
      <c r="X321">
        <f>HYPERLINK("https://klasma.github.io/Logging_0883/tillsyn/A 11195-2024 tillsynsbegäran.docx", "A 11195-2024")</f>
        <v/>
      </c>
      <c r="Y321">
        <f>HYPERLINK("https://klasma.github.io/Logging_0883/tillsynsmail/A 11195-2024 tillsynsbegäran mail.docx", "A 11195-2024")</f>
        <v/>
      </c>
    </row>
    <row r="322" ht="15" customHeight="1">
      <c r="A322" t="inlineStr">
        <is>
          <t>A 13745-2024</t>
        </is>
      </c>
      <c r="B322" s="1" t="n">
        <v>45390</v>
      </c>
      <c r="C322" s="1" t="n">
        <v>45831</v>
      </c>
      <c r="D322" t="inlineStr">
        <is>
          <t>KALMAR LÄN</t>
        </is>
      </c>
      <c r="E322" t="inlineStr">
        <is>
          <t>VÄSTERVIK</t>
        </is>
      </c>
      <c r="F322" t="inlineStr">
        <is>
          <t>Sveaskog</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HYPERLINK("https://klasma.github.io/Logging_0883/artfynd/A 13745-2024 artfynd.xlsx", "A 13745-2024")</f>
        <v/>
      </c>
      <c r="T322">
        <f>HYPERLINK("https://klasma.github.io/Logging_0883/kartor/A 13745-2024 karta.png", "A 13745-2024")</f>
        <v/>
      </c>
      <c r="U322">
        <f>HYPERLINK("https://klasma.github.io/Logging_0883/knärot/A 13745-2024 karta knärot.png", "A 13745-2024")</f>
        <v/>
      </c>
      <c r="V322">
        <f>HYPERLINK("https://klasma.github.io/Logging_0883/klagomål/A 13745-2024 FSC-klagomål.docx", "A 13745-2024")</f>
        <v/>
      </c>
      <c r="W322">
        <f>HYPERLINK("https://klasma.github.io/Logging_0883/klagomålsmail/A 13745-2024 FSC-klagomål mail.docx", "A 13745-2024")</f>
        <v/>
      </c>
      <c r="X322">
        <f>HYPERLINK("https://klasma.github.io/Logging_0883/tillsyn/A 13745-2024 tillsynsbegäran.docx", "A 13745-2024")</f>
        <v/>
      </c>
      <c r="Y322">
        <f>HYPERLINK("https://klasma.github.io/Logging_0883/tillsynsmail/A 13745-2024 tillsynsbegäran mail.docx", "A 13745-2024")</f>
        <v/>
      </c>
      <c r="Z322">
        <f>HYPERLINK("https://klasma.github.io/Logging_0883/fåglar/A 13745-2024 prioriterade fågelarter.docx", "A 13745-2024")</f>
        <v/>
      </c>
    </row>
    <row r="323" ht="15" customHeight="1">
      <c r="A323" t="inlineStr">
        <is>
          <t>A 14231-2024</t>
        </is>
      </c>
      <c r="B323" s="1" t="n">
        <v>45393</v>
      </c>
      <c r="C323" s="1" t="n">
        <v>45831</v>
      </c>
      <c r="D323" t="inlineStr">
        <is>
          <t>KALMAR LÄN</t>
        </is>
      </c>
      <c r="E323" t="inlineStr">
        <is>
          <t>VÄSTERVIK</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HYPERLINK("https://klasma.github.io/Logging_0883/artfynd/A 14231-2024 artfynd.xlsx", "A 14231-2024")</f>
        <v/>
      </c>
      <c r="T323">
        <f>HYPERLINK("https://klasma.github.io/Logging_0883/kartor/A 14231-2024 karta.png", "A 14231-2024")</f>
        <v/>
      </c>
      <c r="U323">
        <f>HYPERLINK("https://klasma.github.io/Logging_0883/knärot/A 14231-2024 karta knärot.png", "A 14231-2024")</f>
        <v/>
      </c>
      <c r="V323">
        <f>HYPERLINK("https://klasma.github.io/Logging_0883/klagomål/A 14231-2024 FSC-klagomål.docx", "A 14231-2024")</f>
        <v/>
      </c>
      <c r="W323">
        <f>HYPERLINK("https://klasma.github.io/Logging_0883/klagomålsmail/A 14231-2024 FSC-klagomål mail.docx", "A 14231-2024")</f>
        <v/>
      </c>
      <c r="X323">
        <f>HYPERLINK("https://klasma.github.io/Logging_0883/tillsyn/A 14231-2024 tillsynsbegäran.docx", "A 14231-2024")</f>
        <v/>
      </c>
      <c r="Y323">
        <f>HYPERLINK("https://klasma.github.io/Logging_0883/tillsynsmail/A 14231-2024 tillsynsbegäran mail.docx", "A 14231-2024")</f>
        <v/>
      </c>
    </row>
    <row r="324" ht="15" customHeight="1">
      <c r="A324" t="inlineStr">
        <is>
          <t>A 16406-2024</t>
        </is>
      </c>
      <c r="B324" s="1" t="n">
        <v>45407</v>
      </c>
      <c r="C324" s="1" t="n">
        <v>45831</v>
      </c>
      <c r="D324" t="inlineStr">
        <is>
          <t>KALMAR LÄN</t>
        </is>
      </c>
      <c r="E324" t="inlineStr">
        <is>
          <t>VÄSTERVIK</t>
        </is>
      </c>
      <c r="F324" t="inlineStr">
        <is>
          <t>Holmen skog AB</t>
        </is>
      </c>
      <c r="G324" t="n">
        <v>4.9</v>
      </c>
      <c r="H324" t="n">
        <v>0</v>
      </c>
      <c r="I324" t="n">
        <v>1</v>
      </c>
      <c r="J324" t="n">
        <v>0</v>
      </c>
      <c r="K324" t="n">
        <v>0</v>
      </c>
      <c r="L324" t="n">
        <v>0</v>
      </c>
      <c r="M324" t="n">
        <v>0</v>
      </c>
      <c r="N324" t="n">
        <v>0</v>
      </c>
      <c r="O324" t="n">
        <v>0</v>
      </c>
      <c r="P324" t="n">
        <v>0</v>
      </c>
      <c r="Q324" t="n">
        <v>1</v>
      </c>
      <c r="R324" s="2" t="inlineStr">
        <is>
          <t>Tibast</t>
        </is>
      </c>
      <c r="S324">
        <f>HYPERLINK("https://klasma.github.io/Logging_0883/artfynd/A 16406-2024 artfynd.xlsx", "A 16406-2024")</f>
        <v/>
      </c>
      <c r="T324">
        <f>HYPERLINK("https://klasma.github.io/Logging_0883/kartor/A 16406-2024 karta.png", "A 16406-2024")</f>
        <v/>
      </c>
      <c r="V324">
        <f>HYPERLINK("https://klasma.github.io/Logging_0883/klagomål/A 16406-2024 FSC-klagomål.docx", "A 16406-2024")</f>
        <v/>
      </c>
      <c r="W324">
        <f>HYPERLINK("https://klasma.github.io/Logging_0883/klagomålsmail/A 16406-2024 FSC-klagomål mail.docx", "A 16406-2024")</f>
        <v/>
      </c>
      <c r="X324">
        <f>HYPERLINK("https://klasma.github.io/Logging_0883/tillsyn/A 16406-2024 tillsynsbegäran.docx", "A 16406-2024")</f>
        <v/>
      </c>
      <c r="Y324">
        <f>HYPERLINK("https://klasma.github.io/Logging_0883/tillsynsmail/A 16406-2024 tillsynsbegäran mail.docx", "A 16406-2024")</f>
        <v/>
      </c>
    </row>
    <row r="325" ht="15" customHeight="1">
      <c r="A325" t="inlineStr">
        <is>
          <t>A 17424-2024</t>
        </is>
      </c>
      <c r="B325" s="1" t="n">
        <v>45415</v>
      </c>
      <c r="C325" s="1" t="n">
        <v>45831</v>
      </c>
      <c r="D325" t="inlineStr">
        <is>
          <t>KALMAR LÄN</t>
        </is>
      </c>
      <c r="E325" t="inlineStr">
        <is>
          <t>VÄSTERVIK</t>
        </is>
      </c>
      <c r="F325" t="inlineStr">
        <is>
          <t>Sveaskog</t>
        </is>
      </c>
      <c r="G325" t="n">
        <v>5</v>
      </c>
      <c r="H325" t="n">
        <v>1</v>
      </c>
      <c r="I325" t="n">
        <v>0</v>
      </c>
      <c r="J325" t="n">
        <v>0</v>
      </c>
      <c r="K325" t="n">
        <v>0</v>
      </c>
      <c r="L325" t="n">
        <v>0</v>
      </c>
      <c r="M325" t="n">
        <v>0</v>
      </c>
      <c r="N325" t="n">
        <v>0</v>
      </c>
      <c r="O325" t="n">
        <v>0</v>
      </c>
      <c r="P325" t="n">
        <v>0</v>
      </c>
      <c r="Q325" t="n">
        <v>1</v>
      </c>
      <c r="R325" s="2" t="inlineStr">
        <is>
          <t>Blåsippa</t>
        </is>
      </c>
      <c r="S325">
        <f>HYPERLINK("https://klasma.github.io/Logging_0883/artfynd/A 17424-2024 artfynd.xlsx", "A 17424-2024")</f>
        <v/>
      </c>
      <c r="T325">
        <f>HYPERLINK("https://klasma.github.io/Logging_0883/kartor/A 17424-2024 karta.png", "A 17424-2024")</f>
        <v/>
      </c>
      <c r="V325">
        <f>HYPERLINK("https://klasma.github.io/Logging_0883/klagomål/A 17424-2024 FSC-klagomål.docx", "A 17424-2024")</f>
        <v/>
      </c>
      <c r="W325">
        <f>HYPERLINK("https://klasma.github.io/Logging_0883/klagomålsmail/A 17424-2024 FSC-klagomål mail.docx", "A 17424-2024")</f>
        <v/>
      </c>
      <c r="X325">
        <f>HYPERLINK("https://klasma.github.io/Logging_0883/tillsyn/A 17424-2024 tillsynsbegäran.docx", "A 17424-2024")</f>
        <v/>
      </c>
      <c r="Y325">
        <f>HYPERLINK("https://klasma.github.io/Logging_0883/tillsynsmail/A 17424-2024 tillsynsbegäran mail.docx", "A 17424-2024")</f>
        <v/>
      </c>
    </row>
    <row r="326" ht="15" customHeight="1">
      <c r="A326" t="inlineStr">
        <is>
          <t>A 18396-2024</t>
        </is>
      </c>
      <c r="B326" s="1" t="n">
        <v>45425</v>
      </c>
      <c r="C326" s="1" t="n">
        <v>45831</v>
      </c>
      <c r="D326" t="inlineStr">
        <is>
          <t>KALMAR LÄN</t>
        </is>
      </c>
      <c r="E326" t="inlineStr">
        <is>
          <t>VÄSTERVIK</t>
        </is>
      </c>
      <c r="F326" t="inlineStr">
        <is>
          <t>Holmen skog AB</t>
        </is>
      </c>
      <c r="G326" t="n">
        <v>3.5</v>
      </c>
      <c r="H326" t="n">
        <v>0</v>
      </c>
      <c r="I326" t="n">
        <v>1</v>
      </c>
      <c r="J326" t="n">
        <v>0</v>
      </c>
      <c r="K326" t="n">
        <v>0</v>
      </c>
      <c r="L326" t="n">
        <v>0</v>
      </c>
      <c r="M326" t="n">
        <v>0</v>
      </c>
      <c r="N326" t="n">
        <v>0</v>
      </c>
      <c r="O326" t="n">
        <v>0</v>
      </c>
      <c r="P326" t="n">
        <v>0</v>
      </c>
      <c r="Q326" t="n">
        <v>1</v>
      </c>
      <c r="R326" s="2" t="inlineStr">
        <is>
          <t>Blåmossa</t>
        </is>
      </c>
      <c r="S326">
        <f>HYPERLINK("https://klasma.github.io/Logging_0883/artfynd/A 18396-2024 artfynd.xlsx", "A 18396-2024")</f>
        <v/>
      </c>
      <c r="T326">
        <f>HYPERLINK("https://klasma.github.io/Logging_0883/kartor/A 18396-2024 karta.png", "A 18396-2024")</f>
        <v/>
      </c>
      <c r="V326">
        <f>HYPERLINK("https://klasma.github.io/Logging_0883/klagomål/A 18396-2024 FSC-klagomål.docx", "A 18396-2024")</f>
        <v/>
      </c>
      <c r="W326">
        <f>HYPERLINK("https://klasma.github.io/Logging_0883/klagomålsmail/A 18396-2024 FSC-klagomål mail.docx", "A 18396-2024")</f>
        <v/>
      </c>
      <c r="X326">
        <f>HYPERLINK("https://klasma.github.io/Logging_0883/tillsyn/A 18396-2024 tillsynsbegäran.docx", "A 18396-2024")</f>
        <v/>
      </c>
      <c r="Y326">
        <f>HYPERLINK("https://klasma.github.io/Logging_0883/tillsynsmail/A 18396-2024 tillsynsbegäran mail.docx", "A 18396-2024")</f>
        <v/>
      </c>
    </row>
    <row r="327" ht="15" customHeight="1">
      <c r="A327" t="inlineStr">
        <is>
          <t>A 22885-2024</t>
        </is>
      </c>
      <c r="B327" s="1" t="n">
        <v>45448</v>
      </c>
      <c r="C327" s="1" t="n">
        <v>45831</v>
      </c>
      <c r="D327" t="inlineStr">
        <is>
          <t>KALMAR LÄN</t>
        </is>
      </c>
      <c r="E327" t="inlineStr">
        <is>
          <t>VÄSTERVIK</t>
        </is>
      </c>
      <c r="G327" t="n">
        <v>7.1</v>
      </c>
      <c r="H327" t="n">
        <v>0</v>
      </c>
      <c r="I327" t="n">
        <v>0</v>
      </c>
      <c r="J327" t="n">
        <v>1</v>
      </c>
      <c r="K327" t="n">
        <v>0</v>
      </c>
      <c r="L327" t="n">
        <v>0</v>
      </c>
      <c r="M327" t="n">
        <v>0</v>
      </c>
      <c r="N327" t="n">
        <v>0</v>
      </c>
      <c r="O327" t="n">
        <v>1</v>
      </c>
      <c r="P327" t="n">
        <v>0</v>
      </c>
      <c r="Q327" t="n">
        <v>1</v>
      </c>
      <c r="R327" s="2" t="inlineStr">
        <is>
          <t>Tallticka</t>
        </is>
      </c>
      <c r="S327">
        <f>HYPERLINK("https://klasma.github.io/Logging_0883/artfynd/A 22885-2024 artfynd.xlsx", "A 22885-2024")</f>
        <v/>
      </c>
      <c r="T327">
        <f>HYPERLINK("https://klasma.github.io/Logging_0883/kartor/A 22885-2024 karta.png", "A 22885-2024")</f>
        <v/>
      </c>
      <c r="V327">
        <f>HYPERLINK("https://klasma.github.io/Logging_0883/klagomål/A 22885-2024 FSC-klagomål.docx", "A 22885-2024")</f>
        <v/>
      </c>
      <c r="W327">
        <f>HYPERLINK("https://klasma.github.io/Logging_0883/klagomålsmail/A 22885-2024 FSC-klagomål mail.docx", "A 22885-2024")</f>
        <v/>
      </c>
      <c r="X327">
        <f>HYPERLINK("https://klasma.github.io/Logging_0883/tillsyn/A 22885-2024 tillsynsbegäran.docx", "A 22885-2024")</f>
        <v/>
      </c>
      <c r="Y327">
        <f>HYPERLINK("https://klasma.github.io/Logging_0883/tillsynsmail/A 22885-2024 tillsynsbegäran mail.docx", "A 22885-2024")</f>
        <v/>
      </c>
    </row>
    <row r="328" ht="15" customHeight="1">
      <c r="A328" t="inlineStr">
        <is>
          <t>A 27708-2024</t>
        </is>
      </c>
      <c r="B328" s="1" t="n">
        <v>45475</v>
      </c>
      <c r="C328" s="1" t="n">
        <v>45831</v>
      </c>
      <c r="D328" t="inlineStr">
        <is>
          <t>KALMAR LÄN</t>
        </is>
      </c>
      <c r="E328" t="inlineStr">
        <is>
          <t>VÄSTERVIK</t>
        </is>
      </c>
      <c r="F328" t="inlineStr">
        <is>
          <t>Holmen skog AB</t>
        </is>
      </c>
      <c r="G328" t="n">
        <v>1.7</v>
      </c>
      <c r="H328" t="n">
        <v>1</v>
      </c>
      <c r="I328" t="n">
        <v>0</v>
      </c>
      <c r="J328" t="n">
        <v>1</v>
      </c>
      <c r="K328" t="n">
        <v>0</v>
      </c>
      <c r="L328" t="n">
        <v>0</v>
      </c>
      <c r="M328" t="n">
        <v>0</v>
      </c>
      <c r="N328" t="n">
        <v>0</v>
      </c>
      <c r="O328" t="n">
        <v>1</v>
      </c>
      <c r="P328" t="n">
        <v>0</v>
      </c>
      <c r="Q328" t="n">
        <v>1</v>
      </c>
      <c r="R328" s="2" t="inlineStr">
        <is>
          <t>Spillkråka</t>
        </is>
      </c>
      <c r="S328">
        <f>HYPERLINK("https://klasma.github.io/Logging_0883/artfynd/A 27708-2024 artfynd.xlsx", "A 27708-2024")</f>
        <v/>
      </c>
      <c r="T328">
        <f>HYPERLINK("https://klasma.github.io/Logging_0883/kartor/A 27708-2024 karta.png", "A 27708-2024")</f>
        <v/>
      </c>
      <c r="V328">
        <f>HYPERLINK("https://klasma.github.io/Logging_0883/klagomål/A 27708-2024 FSC-klagomål.docx", "A 27708-2024")</f>
        <v/>
      </c>
      <c r="W328">
        <f>HYPERLINK("https://klasma.github.io/Logging_0883/klagomålsmail/A 27708-2024 FSC-klagomål mail.docx", "A 27708-2024")</f>
        <v/>
      </c>
      <c r="X328">
        <f>HYPERLINK("https://klasma.github.io/Logging_0883/tillsyn/A 27708-2024 tillsynsbegäran.docx", "A 27708-2024")</f>
        <v/>
      </c>
      <c r="Y328">
        <f>HYPERLINK("https://klasma.github.io/Logging_0883/tillsynsmail/A 27708-2024 tillsynsbegäran mail.docx", "A 27708-2024")</f>
        <v/>
      </c>
      <c r="Z328">
        <f>HYPERLINK("https://klasma.github.io/Logging_0883/fåglar/A 27708-2024 prioriterade fågelarter.docx", "A 27708-2024")</f>
        <v/>
      </c>
    </row>
    <row r="329" ht="15" customHeight="1">
      <c r="A329" t="inlineStr">
        <is>
          <t>A 29398-2024</t>
        </is>
      </c>
      <c r="B329" s="1" t="n">
        <v>45483</v>
      </c>
      <c r="C329" s="1" t="n">
        <v>45831</v>
      </c>
      <c r="D329" t="inlineStr">
        <is>
          <t>KALMAR LÄN</t>
        </is>
      </c>
      <c r="E329" t="inlineStr">
        <is>
          <t>VÄSTERVIK</t>
        </is>
      </c>
      <c r="G329" t="n">
        <v>2.7</v>
      </c>
      <c r="H329" t="n">
        <v>0</v>
      </c>
      <c r="I329" t="n">
        <v>0</v>
      </c>
      <c r="J329" t="n">
        <v>1</v>
      </c>
      <c r="K329" t="n">
        <v>0</v>
      </c>
      <c r="L329" t="n">
        <v>0</v>
      </c>
      <c r="M329" t="n">
        <v>0</v>
      </c>
      <c r="N329" t="n">
        <v>0</v>
      </c>
      <c r="O329" t="n">
        <v>1</v>
      </c>
      <c r="P329" t="n">
        <v>0</v>
      </c>
      <c r="Q329" t="n">
        <v>1</v>
      </c>
      <c r="R329" s="2" t="inlineStr">
        <is>
          <t>Skogsklocka</t>
        </is>
      </c>
      <c r="S329">
        <f>HYPERLINK("https://klasma.github.io/Logging_0883/artfynd/A 29398-2024 artfynd.xlsx", "A 29398-2024")</f>
        <v/>
      </c>
      <c r="T329">
        <f>HYPERLINK("https://klasma.github.io/Logging_0883/kartor/A 29398-2024 karta.png", "A 29398-2024")</f>
        <v/>
      </c>
      <c r="V329">
        <f>HYPERLINK("https://klasma.github.io/Logging_0883/klagomål/A 29398-2024 FSC-klagomål.docx", "A 29398-2024")</f>
        <v/>
      </c>
      <c r="W329">
        <f>HYPERLINK("https://klasma.github.io/Logging_0883/klagomålsmail/A 29398-2024 FSC-klagomål mail.docx", "A 29398-2024")</f>
        <v/>
      </c>
      <c r="X329">
        <f>HYPERLINK("https://klasma.github.io/Logging_0883/tillsyn/A 29398-2024 tillsynsbegäran.docx", "A 29398-2024")</f>
        <v/>
      </c>
      <c r="Y329">
        <f>HYPERLINK("https://klasma.github.io/Logging_0883/tillsynsmail/A 29398-2024 tillsynsbegäran mail.docx", "A 29398-2024")</f>
        <v/>
      </c>
    </row>
    <row r="330" ht="15" customHeight="1">
      <c r="A330" t="inlineStr">
        <is>
          <t>A 30386-2024</t>
        </is>
      </c>
      <c r="B330" s="1" t="n">
        <v>45491</v>
      </c>
      <c r="C330" s="1" t="n">
        <v>45831</v>
      </c>
      <c r="D330" t="inlineStr">
        <is>
          <t>KALMAR LÄN</t>
        </is>
      </c>
      <c r="E330" t="inlineStr">
        <is>
          <t>VÄSTERVIK</t>
        </is>
      </c>
      <c r="F330" t="inlineStr">
        <is>
          <t>Holmen skog AB</t>
        </is>
      </c>
      <c r="G330" t="n">
        <v>3.7</v>
      </c>
      <c r="H330" t="n">
        <v>0</v>
      </c>
      <c r="I330" t="n">
        <v>0</v>
      </c>
      <c r="J330" t="n">
        <v>1</v>
      </c>
      <c r="K330" t="n">
        <v>0</v>
      </c>
      <c r="L330" t="n">
        <v>0</v>
      </c>
      <c r="M330" t="n">
        <v>0</v>
      </c>
      <c r="N330" t="n">
        <v>0</v>
      </c>
      <c r="O330" t="n">
        <v>1</v>
      </c>
      <c r="P330" t="n">
        <v>0</v>
      </c>
      <c r="Q330" t="n">
        <v>1</v>
      </c>
      <c r="R330" s="2" t="inlineStr">
        <is>
          <t>Svedjenäva</t>
        </is>
      </c>
      <c r="S330">
        <f>HYPERLINK("https://klasma.github.io/Logging_0883/artfynd/A 30386-2024 artfynd.xlsx", "A 30386-2024")</f>
        <v/>
      </c>
      <c r="T330">
        <f>HYPERLINK("https://klasma.github.io/Logging_0883/kartor/A 30386-2024 karta.png", "A 30386-2024")</f>
        <v/>
      </c>
      <c r="V330">
        <f>HYPERLINK("https://klasma.github.io/Logging_0883/klagomål/A 30386-2024 FSC-klagomål.docx", "A 30386-2024")</f>
        <v/>
      </c>
      <c r="W330">
        <f>HYPERLINK("https://klasma.github.io/Logging_0883/klagomålsmail/A 30386-2024 FSC-klagomål mail.docx", "A 30386-2024")</f>
        <v/>
      </c>
      <c r="X330">
        <f>HYPERLINK("https://klasma.github.io/Logging_0883/tillsyn/A 30386-2024 tillsynsbegäran.docx", "A 30386-2024")</f>
        <v/>
      </c>
      <c r="Y330">
        <f>HYPERLINK("https://klasma.github.io/Logging_0883/tillsynsmail/A 30386-2024 tillsynsbegäran mail.docx", "A 30386-2024")</f>
        <v/>
      </c>
    </row>
    <row r="331" ht="15" customHeight="1">
      <c r="A331" t="inlineStr">
        <is>
          <t>A 34357-2024</t>
        </is>
      </c>
      <c r="B331" s="1" t="n">
        <v>45525</v>
      </c>
      <c r="C331" s="1" t="n">
        <v>45831</v>
      </c>
      <c r="D331" t="inlineStr">
        <is>
          <t>KALMAR LÄN</t>
        </is>
      </c>
      <c r="E331" t="inlineStr">
        <is>
          <t>VÄSTERVIK</t>
        </is>
      </c>
      <c r="F331" t="inlineStr">
        <is>
          <t>Övriga Aktiebolag</t>
        </is>
      </c>
      <c r="G331" t="n">
        <v>14</v>
      </c>
      <c r="H331" t="n">
        <v>1</v>
      </c>
      <c r="I331" t="n">
        <v>0</v>
      </c>
      <c r="J331" t="n">
        <v>1</v>
      </c>
      <c r="K331" t="n">
        <v>0</v>
      </c>
      <c r="L331" t="n">
        <v>0</v>
      </c>
      <c r="M331" t="n">
        <v>0</v>
      </c>
      <c r="N331" t="n">
        <v>0</v>
      </c>
      <c r="O331" t="n">
        <v>1</v>
      </c>
      <c r="P331" t="n">
        <v>0</v>
      </c>
      <c r="Q331" t="n">
        <v>1</v>
      </c>
      <c r="R331" s="2" t="inlineStr">
        <is>
          <t>Havsörn</t>
        </is>
      </c>
      <c r="S331">
        <f>HYPERLINK("https://klasma.github.io/Logging_0883/artfynd/A 34357-2024 artfynd.xlsx", "A 34357-2024")</f>
        <v/>
      </c>
      <c r="T331">
        <f>HYPERLINK("https://klasma.github.io/Logging_0883/kartor/A 34357-2024 karta.png", "A 34357-2024")</f>
        <v/>
      </c>
      <c r="V331">
        <f>HYPERLINK("https://klasma.github.io/Logging_0883/klagomål/A 34357-2024 FSC-klagomål.docx", "A 34357-2024")</f>
        <v/>
      </c>
      <c r="W331">
        <f>HYPERLINK("https://klasma.github.io/Logging_0883/klagomålsmail/A 34357-2024 FSC-klagomål mail.docx", "A 34357-2024")</f>
        <v/>
      </c>
      <c r="X331">
        <f>HYPERLINK("https://klasma.github.io/Logging_0883/tillsyn/A 34357-2024 tillsynsbegäran.docx", "A 34357-2024")</f>
        <v/>
      </c>
      <c r="Y331">
        <f>HYPERLINK("https://klasma.github.io/Logging_0883/tillsynsmail/A 34357-2024 tillsynsbegäran mail.docx", "A 34357-2024")</f>
        <v/>
      </c>
      <c r="Z331">
        <f>HYPERLINK("https://klasma.github.io/Logging_0883/fåglar/A 34357-2024 prioriterade fågelarter.docx", "A 34357-2024")</f>
        <v/>
      </c>
    </row>
    <row r="332" ht="15" customHeight="1">
      <c r="A332" t="inlineStr">
        <is>
          <t>A 35028-2024</t>
        </is>
      </c>
      <c r="B332" s="1" t="n">
        <v>45527</v>
      </c>
      <c r="C332" s="1" t="n">
        <v>45831</v>
      </c>
      <c r="D332" t="inlineStr">
        <is>
          <t>KALMAR LÄN</t>
        </is>
      </c>
      <c r="E332" t="inlineStr">
        <is>
          <t>VÄSTERVIK</t>
        </is>
      </c>
      <c r="G332" t="n">
        <v>1.3</v>
      </c>
      <c r="H332" t="n">
        <v>0</v>
      </c>
      <c r="I332" t="n">
        <v>1</v>
      </c>
      <c r="J332" t="n">
        <v>0</v>
      </c>
      <c r="K332" t="n">
        <v>0</v>
      </c>
      <c r="L332" t="n">
        <v>0</v>
      </c>
      <c r="M332" t="n">
        <v>0</v>
      </c>
      <c r="N332" t="n">
        <v>0</v>
      </c>
      <c r="O332" t="n">
        <v>0</v>
      </c>
      <c r="P332" t="n">
        <v>0</v>
      </c>
      <c r="Q332" t="n">
        <v>1</v>
      </c>
      <c r="R332" s="2" t="inlineStr">
        <is>
          <t>Blomkålssvamp</t>
        </is>
      </c>
      <c r="S332">
        <f>HYPERLINK("https://klasma.github.io/Logging_0883/artfynd/A 35028-2024 artfynd.xlsx", "A 35028-2024")</f>
        <v/>
      </c>
      <c r="T332">
        <f>HYPERLINK("https://klasma.github.io/Logging_0883/kartor/A 35028-2024 karta.png", "A 35028-2024")</f>
        <v/>
      </c>
      <c r="V332">
        <f>HYPERLINK("https://klasma.github.io/Logging_0883/klagomål/A 35028-2024 FSC-klagomål.docx", "A 35028-2024")</f>
        <v/>
      </c>
      <c r="W332">
        <f>HYPERLINK("https://klasma.github.io/Logging_0883/klagomålsmail/A 35028-2024 FSC-klagomål mail.docx", "A 35028-2024")</f>
        <v/>
      </c>
      <c r="X332">
        <f>HYPERLINK("https://klasma.github.io/Logging_0883/tillsyn/A 35028-2024 tillsynsbegäran.docx", "A 35028-2024")</f>
        <v/>
      </c>
      <c r="Y332">
        <f>HYPERLINK("https://klasma.github.io/Logging_0883/tillsynsmail/A 35028-2024 tillsynsbegäran mail.docx", "A 35028-2024")</f>
        <v/>
      </c>
    </row>
    <row r="333" ht="15" customHeight="1">
      <c r="A333" t="inlineStr">
        <is>
          <t>A 35959-2024</t>
        </is>
      </c>
      <c r="B333" s="1" t="n">
        <v>45533</v>
      </c>
      <c r="C333" s="1" t="n">
        <v>45831</v>
      </c>
      <c r="D333" t="inlineStr">
        <is>
          <t>KALMAR LÄN</t>
        </is>
      </c>
      <c r="E333" t="inlineStr">
        <is>
          <t>VÄSTERVIK</t>
        </is>
      </c>
      <c r="F333" t="inlineStr">
        <is>
          <t>Holmen skog AB</t>
        </is>
      </c>
      <c r="G333" t="n">
        <v>3.2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HYPERLINK("https://klasma.github.io/Logging_0883/artfynd/A 35959-2024 artfynd.xlsx", "A 35959-2024")</f>
        <v/>
      </c>
      <c r="T333">
        <f>HYPERLINK("https://klasma.github.io/Logging_0883/kartor/A 35959-2024 karta.png", "A 35959-2024")</f>
        <v/>
      </c>
      <c r="V333">
        <f>HYPERLINK("https://klasma.github.io/Logging_0883/klagomål/A 35959-2024 FSC-klagomål.docx", "A 35959-2024")</f>
        <v/>
      </c>
      <c r="W333">
        <f>HYPERLINK("https://klasma.github.io/Logging_0883/klagomålsmail/A 35959-2024 FSC-klagomål mail.docx", "A 35959-2024")</f>
        <v/>
      </c>
      <c r="X333">
        <f>HYPERLINK("https://klasma.github.io/Logging_0883/tillsyn/A 35959-2024 tillsynsbegäran.docx", "A 35959-2024")</f>
        <v/>
      </c>
      <c r="Y333">
        <f>HYPERLINK("https://klasma.github.io/Logging_0883/tillsynsmail/A 35959-2024 tillsynsbegäran mail.docx", "A 35959-2024")</f>
        <v/>
      </c>
    </row>
    <row r="334" ht="15" customHeight="1">
      <c r="A334" t="inlineStr">
        <is>
          <t>A 42811-2024</t>
        </is>
      </c>
      <c r="B334" s="1" t="n">
        <v>45566</v>
      </c>
      <c r="C334" s="1" t="n">
        <v>45831</v>
      </c>
      <c r="D334" t="inlineStr">
        <is>
          <t>KALMAR LÄN</t>
        </is>
      </c>
      <c r="E334" t="inlineStr">
        <is>
          <t>VÄSTERVIK</t>
        </is>
      </c>
      <c r="G334" t="n">
        <v>4.4</v>
      </c>
      <c r="H334" t="n">
        <v>0</v>
      </c>
      <c r="I334" t="n">
        <v>1</v>
      </c>
      <c r="J334" t="n">
        <v>0</v>
      </c>
      <c r="K334" t="n">
        <v>0</v>
      </c>
      <c r="L334" t="n">
        <v>0</v>
      </c>
      <c r="M334" t="n">
        <v>0</v>
      </c>
      <c r="N334" t="n">
        <v>0</v>
      </c>
      <c r="O334" t="n">
        <v>0</v>
      </c>
      <c r="P334" t="n">
        <v>0</v>
      </c>
      <c r="Q334" t="n">
        <v>1</v>
      </c>
      <c r="R334" s="2" t="inlineStr">
        <is>
          <t>Grönpyrola</t>
        </is>
      </c>
      <c r="S334">
        <f>HYPERLINK("https://klasma.github.io/Logging_0883/artfynd/A 42811-2024 artfynd.xlsx", "A 42811-2024")</f>
        <v/>
      </c>
      <c r="T334">
        <f>HYPERLINK("https://klasma.github.io/Logging_0883/kartor/A 42811-2024 karta.png", "A 42811-2024")</f>
        <v/>
      </c>
      <c r="V334">
        <f>HYPERLINK("https://klasma.github.io/Logging_0883/klagomål/A 42811-2024 FSC-klagomål.docx", "A 42811-2024")</f>
        <v/>
      </c>
      <c r="W334">
        <f>HYPERLINK("https://klasma.github.io/Logging_0883/klagomålsmail/A 42811-2024 FSC-klagomål mail.docx", "A 42811-2024")</f>
        <v/>
      </c>
      <c r="X334">
        <f>HYPERLINK("https://klasma.github.io/Logging_0883/tillsyn/A 42811-2024 tillsynsbegäran.docx", "A 42811-2024")</f>
        <v/>
      </c>
      <c r="Y334">
        <f>HYPERLINK("https://klasma.github.io/Logging_0883/tillsynsmail/A 42811-2024 tillsynsbegäran mail.docx", "A 42811-2024")</f>
        <v/>
      </c>
    </row>
    <row r="335" ht="15" customHeight="1">
      <c r="A335" t="inlineStr">
        <is>
          <t>A 44333-2024</t>
        </is>
      </c>
      <c r="B335" s="1" t="n">
        <v>45573</v>
      </c>
      <c r="C335" s="1" t="n">
        <v>45831</v>
      </c>
      <c r="D335" t="inlineStr">
        <is>
          <t>KALMAR LÄN</t>
        </is>
      </c>
      <c r="E335" t="inlineStr">
        <is>
          <t>VÄSTERVIK</t>
        </is>
      </c>
      <c r="F335" t="inlineStr">
        <is>
          <t>Holmen skog AB</t>
        </is>
      </c>
      <c r="G335" t="n">
        <v>4.5</v>
      </c>
      <c r="H335" t="n">
        <v>1</v>
      </c>
      <c r="I335" t="n">
        <v>0</v>
      </c>
      <c r="J335" t="n">
        <v>1</v>
      </c>
      <c r="K335" t="n">
        <v>0</v>
      </c>
      <c r="L335" t="n">
        <v>0</v>
      </c>
      <c r="M335" t="n">
        <v>0</v>
      </c>
      <c r="N335" t="n">
        <v>0</v>
      </c>
      <c r="O335" t="n">
        <v>1</v>
      </c>
      <c r="P335" t="n">
        <v>0</v>
      </c>
      <c r="Q335" t="n">
        <v>1</v>
      </c>
      <c r="R335" s="2" t="inlineStr">
        <is>
          <t>Havsörn</t>
        </is>
      </c>
      <c r="S335">
        <f>HYPERLINK("https://klasma.github.io/Logging_0883/artfynd/A 44333-2024 artfynd.xlsx", "A 44333-2024")</f>
        <v/>
      </c>
      <c r="T335">
        <f>HYPERLINK("https://klasma.github.io/Logging_0883/kartor/A 44333-2024 karta.png", "A 44333-2024")</f>
        <v/>
      </c>
      <c r="V335">
        <f>HYPERLINK("https://klasma.github.io/Logging_0883/klagomål/A 44333-2024 FSC-klagomål.docx", "A 44333-2024")</f>
        <v/>
      </c>
      <c r="W335">
        <f>HYPERLINK("https://klasma.github.io/Logging_0883/klagomålsmail/A 44333-2024 FSC-klagomål mail.docx", "A 44333-2024")</f>
        <v/>
      </c>
      <c r="X335">
        <f>HYPERLINK("https://klasma.github.io/Logging_0883/tillsyn/A 44333-2024 tillsynsbegäran.docx", "A 44333-2024")</f>
        <v/>
      </c>
      <c r="Y335">
        <f>HYPERLINK("https://klasma.github.io/Logging_0883/tillsynsmail/A 44333-2024 tillsynsbegäran mail.docx", "A 44333-2024")</f>
        <v/>
      </c>
      <c r="Z335">
        <f>HYPERLINK("https://klasma.github.io/Logging_0883/fåglar/A 44333-2024 prioriterade fågelarter.docx", "A 44333-2024")</f>
        <v/>
      </c>
    </row>
    <row r="336" ht="15" customHeight="1">
      <c r="A336" t="inlineStr">
        <is>
          <t>A 45462-2024</t>
        </is>
      </c>
      <c r="B336" s="1" t="n">
        <v>45576</v>
      </c>
      <c r="C336" s="1" t="n">
        <v>45831</v>
      </c>
      <c r="D336" t="inlineStr">
        <is>
          <t>KALMAR LÄN</t>
        </is>
      </c>
      <c r="E336" t="inlineStr">
        <is>
          <t>VÄSTERVIK</t>
        </is>
      </c>
      <c r="G336" t="n">
        <v>3.5</v>
      </c>
      <c r="H336" t="n">
        <v>1</v>
      </c>
      <c r="I336" t="n">
        <v>0</v>
      </c>
      <c r="J336" t="n">
        <v>1</v>
      </c>
      <c r="K336" t="n">
        <v>0</v>
      </c>
      <c r="L336" t="n">
        <v>0</v>
      </c>
      <c r="M336" t="n">
        <v>0</v>
      </c>
      <c r="N336" t="n">
        <v>0</v>
      </c>
      <c r="O336" t="n">
        <v>1</v>
      </c>
      <c r="P336" t="n">
        <v>0</v>
      </c>
      <c r="Q336" t="n">
        <v>1</v>
      </c>
      <c r="R336" s="2" t="inlineStr">
        <is>
          <t>Järpe</t>
        </is>
      </c>
      <c r="S336">
        <f>HYPERLINK("https://klasma.github.io/Logging_0883/artfynd/A 45462-2024 artfynd.xlsx", "A 45462-2024")</f>
        <v/>
      </c>
      <c r="T336">
        <f>HYPERLINK("https://klasma.github.io/Logging_0883/kartor/A 45462-2024 karta.png", "A 45462-2024")</f>
        <v/>
      </c>
      <c r="V336">
        <f>HYPERLINK("https://klasma.github.io/Logging_0883/klagomål/A 45462-2024 FSC-klagomål.docx", "A 45462-2024")</f>
        <v/>
      </c>
      <c r="W336">
        <f>HYPERLINK("https://klasma.github.io/Logging_0883/klagomålsmail/A 45462-2024 FSC-klagomål mail.docx", "A 45462-2024")</f>
        <v/>
      </c>
      <c r="X336">
        <f>HYPERLINK("https://klasma.github.io/Logging_0883/tillsyn/A 45462-2024 tillsynsbegäran.docx", "A 45462-2024")</f>
        <v/>
      </c>
      <c r="Y336">
        <f>HYPERLINK("https://klasma.github.io/Logging_0883/tillsynsmail/A 45462-2024 tillsynsbegäran mail.docx", "A 45462-2024")</f>
        <v/>
      </c>
      <c r="Z336">
        <f>HYPERLINK("https://klasma.github.io/Logging_0883/fåglar/A 45462-2024 prioriterade fågelarter.docx", "A 45462-2024")</f>
        <v/>
      </c>
    </row>
    <row r="337" ht="15" customHeight="1">
      <c r="A337" t="inlineStr">
        <is>
          <t>A 45679-2024</t>
        </is>
      </c>
      <c r="B337" s="1" t="n">
        <v>45579</v>
      </c>
      <c r="C337" s="1" t="n">
        <v>45831</v>
      </c>
      <c r="D337" t="inlineStr">
        <is>
          <t>KALMAR LÄN</t>
        </is>
      </c>
      <c r="E337" t="inlineStr">
        <is>
          <t>VÄSTERVIK</t>
        </is>
      </c>
      <c r="F337" t="inlineStr">
        <is>
          <t>Kyrkan</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HYPERLINK("https://klasma.github.io/Logging_0883/artfynd/A 45679-2024 artfynd.xlsx", "A 45679-2024")</f>
        <v/>
      </c>
      <c r="T337">
        <f>HYPERLINK("https://klasma.github.io/Logging_0883/kartor/A 45679-2024 karta.png", "A 45679-2024")</f>
        <v/>
      </c>
      <c r="U337">
        <f>HYPERLINK("https://klasma.github.io/Logging_0883/knärot/A 45679-2024 karta knärot.png", "A 45679-2024")</f>
        <v/>
      </c>
      <c r="V337">
        <f>HYPERLINK("https://klasma.github.io/Logging_0883/klagomål/A 45679-2024 FSC-klagomål.docx", "A 45679-2024")</f>
        <v/>
      </c>
      <c r="W337">
        <f>HYPERLINK("https://klasma.github.io/Logging_0883/klagomålsmail/A 45679-2024 FSC-klagomål mail.docx", "A 45679-2024")</f>
        <v/>
      </c>
      <c r="X337">
        <f>HYPERLINK("https://klasma.github.io/Logging_0883/tillsyn/A 45679-2024 tillsynsbegäran.docx", "A 45679-2024")</f>
        <v/>
      </c>
      <c r="Y337">
        <f>HYPERLINK("https://klasma.github.io/Logging_0883/tillsynsmail/A 45679-2024 tillsynsbegäran mail.docx", "A 45679-2024")</f>
        <v/>
      </c>
    </row>
    <row r="338" ht="15" customHeight="1">
      <c r="A338" t="inlineStr">
        <is>
          <t>A 51488-2024</t>
        </is>
      </c>
      <c r="B338" s="1" t="n">
        <v>45604</v>
      </c>
      <c r="C338" s="1" t="n">
        <v>45831</v>
      </c>
      <c r="D338" t="inlineStr">
        <is>
          <t>KALMAR LÄN</t>
        </is>
      </c>
      <c r="E338" t="inlineStr">
        <is>
          <t>VÄSTERVIK</t>
        </is>
      </c>
      <c r="F338" t="inlineStr">
        <is>
          <t>Övriga Aktiebolag</t>
        </is>
      </c>
      <c r="G338" t="n">
        <v>2.9</v>
      </c>
      <c r="H338" t="n">
        <v>1</v>
      </c>
      <c r="I338" t="n">
        <v>0</v>
      </c>
      <c r="J338" t="n">
        <v>1</v>
      </c>
      <c r="K338" t="n">
        <v>0</v>
      </c>
      <c r="L338" t="n">
        <v>0</v>
      </c>
      <c r="M338" t="n">
        <v>0</v>
      </c>
      <c r="N338" t="n">
        <v>0</v>
      </c>
      <c r="O338" t="n">
        <v>1</v>
      </c>
      <c r="P338" t="n">
        <v>0</v>
      </c>
      <c r="Q338" t="n">
        <v>1</v>
      </c>
      <c r="R338" s="2" t="inlineStr">
        <is>
          <t>Entita</t>
        </is>
      </c>
      <c r="S338">
        <f>HYPERLINK("https://klasma.github.io/Logging_0883/artfynd/A 51488-2024 artfynd.xlsx", "A 51488-2024")</f>
        <v/>
      </c>
      <c r="T338">
        <f>HYPERLINK("https://klasma.github.io/Logging_0883/kartor/A 51488-2024 karta.png", "A 51488-2024")</f>
        <v/>
      </c>
      <c r="V338">
        <f>HYPERLINK("https://klasma.github.io/Logging_0883/klagomål/A 51488-2024 FSC-klagomål.docx", "A 51488-2024")</f>
        <v/>
      </c>
      <c r="W338">
        <f>HYPERLINK("https://klasma.github.io/Logging_0883/klagomålsmail/A 51488-2024 FSC-klagomål mail.docx", "A 51488-2024")</f>
        <v/>
      </c>
      <c r="X338">
        <f>HYPERLINK("https://klasma.github.io/Logging_0883/tillsyn/A 51488-2024 tillsynsbegäran.docx", "A 51488-2024")</f>
        <v/>
      </c>
      <c r="Y338">
        <f>HYPERLINK("https://klasma.github.io/Logging_0883/tillsynsmail/A 51488-2024 tillsynsbegäran mail.docx", "A 51488-2024")</f>
        <v/>
      </c>
      <c r="Z338">
        <f>HYPERLINK("https://klasma.github.io/Logging_0883/fåglar/A 51488-2024 prioriterade fågelarter.docx", "A 51488-2024")</f>
        <v/>
      </c>
    </row>
    <row r="339" ht="15" customHeight="1">
      <c r="A339" t="inlineStr">
        <is>
          <t>A 51514-2024</t>
        </is>
      </c>
      <c r="B339" s="1" t="n">
        <v>45604</v>
      </c>
      <c r="C339" s="1" t="n">
        <v>45831</v>
      </c>
      <c r="D339" t="inlineStr">
        <is>
          <t>KALMAR LÄN</t>
        </is>
      </c>
      <c r="E339" t="inlineStr">
        <is>
          <t>VÄSTERVIK</t>
        </is>
      </c>
      <c r="F339" t="inlineStr">
        <is>
          <t>Övriga Aktiebolag</t>
        </is>
      </c>
      <c r="G339" t="n">
        <v>2.4</v>
      </c>
      <c r="H339" t="n">
        <v>1</v>
      </c>
      <c r="I339" t="n">
        <v>0</v>
      </c>
      <c r="J339" t="n">
        <v>1</v>
      </c>
      <c r="K339" t="n">
        <v>0</v>
      </c>
      <c r="L339" t="n">
        <v>0</v>
      </c>
      <c r="M339" t="n">
        <v>0</v>
      </c>
      <c r="N339" t="n">
        <v>0</v>
      </c>
      <c r="O339" t="n">
        <v>1</v>
      </c>
      <c r="P339" t="n">
        <v>0</v>
      </c>
      <c r="Q339" t="n">
        <v>1</v>
      </c>
      <c r="R339" s="2" t="inlineStr">
        <is>
          <t>Havsörn</t>
        </is>
      </c>
      <c r="S339">
        <f>HYPERLINK("https://klasma.github.io/Logging_0883/artfynd/A 51514-2024 artfynd.xlsx", "A 51514-2024")</f>
        <v/>
      </c>
      <c r="T339">
        <f>HYPERLINK("https://klasma.github.io/Logging_0883/kartor/A 51514-2024 karta.png", "A 51514-2024")</f>
        <v/>
      </c>
      <c r="V339">
        <f>HYPERLINK("https://klasma.github.io/Logging_0883/klagomål/A 51514-2024 FSC-klagomål.docx", "A 51514-2024")</f>
        <v/>
      </c>
      <c r="W339">
        <f>HYPERLINK("https://klasma.github.io/Logging_0883/klagomålsmail/A 51514-2024 FSC-klagomål mail.docx", "A 51514-2024")</f>
        <v/>
      </c>
      <c r="X339">
        <f>HYPERLINK("https://klasma.github.io/Logging_0883/tillsyn/A 51514-2024 tillsynsbegäran.docx", "A 51514-2024")</f>
        <v/>
      </c>
      <c r="Y339">
        <f>HYPERLINK("https://klasma.github.io/Logging_0883/tillsynsmail/A 51514-2024 tillsynsbegäran mail.docx", "A 51514-2024")</f>
        <v/>
      </c>
      <c r="Z339">
        <f>HYPERLINK("https://klasma.github.io/Logging_0883/fåglar/A 51514-2024 prioriterade fågelarter.docx", "A 51514-2024")</f>
        <v/>
      </c>
    </row>
    <row r="340" ht="15" customHeight="1">
      <c r="A340" t="inlineStr">
        <is>
          <t>A 53075-2024</t>
        </is>
      </c>
      <c r="B340" s="1" t="n">
        <v>45611</v>
      </c>
      <c r="C340" s="1" t="n">
        <v>45831</v>
      </c>
      <c r="D340" t="inlineStr">
        <is>
          <t>KALMAR LÄN</t>
        </is>
      </c>
      <c r="E340" t="inlineStr">
        <is>
          <t>VÄSTERVIK</t>
        </is>
      </c>
      <c r="F340" t="inlineStr">
        <is>
          <t>Holmen skog AB</t>
        </is>
      </c>
      <c r="G340" t="n">
        <v>8.5</v>
      </c>
      <c r="H340" t="n">
        <v>1</v>
      </c>
      <c r="I340" t="n">
        <v>0</v>
      </c>
      <c r="J340" t="n">
        <v>1</v>
      </c>
      <c r="K340" t="n">
        <v>0</v>
      </c>
      <c r="L340" t="n">
        <v>0</v>
      </c>
      <c r="M340" t="n">
        <v>0</v>
      </c>
      <c r="N340" t="n">
        <v>0</v>
      </c>
      <c r="O340" t="n">
        <v>1</v>
      </c>
      <c r="P340" t="n">
        <v>0</v>
      </c>
      <c r="Q340" t="n">
        <v>1</v>
      </c>
      <c r="R340" s="2" t="inlineStr">
        <is>
          <t>Talltita</t>
        </is>
      </c>
      <c r="S340">
        <f>HYPERLINK("https://klasma.github.io/Logging_0883/artfynd/A 53075-2024 artfynd.xlsx", "A 53075-2024")</f>
        <v/>
      </c>
      <c r="T340">
        <f>HYPERLINK("https://klasma.github.io/Logging_0883/kartor/A 53075-2024 karta.png", "A 53075-2024")</f>
        <v/>
      </c>
      <c r="V340">
        <f>HYPERLINK("https://klasma.github.io/Logging_0883/klagomål/A 53075-2024 FSC-klagomål.docx", "A 53075-2024")</f>
        <v/>
      </c>
      <c r="W340">
        <f>HYPERLINK("https://klasma.github.io/Logging_0883/klagomålsmail/A 53075-2024 FSC-klagomål mail.docx", "A 53075-2024")</f>
        <v/>
      </c>
      <c r="X340">
        <f>HYPERLINK("https://klasma.github.io/Logging_0883/tillsyn/A 53075-2024 tillsynsbegäran.docx", "A 53075-2024")</f>
        <v/>
      </c>
      <c r="Y340">
        <f>HYPERLINK("https://klasma.github.io/Logging_0883/tillsynsmail/A 53075-2024 tillsynsbegäran mail.docx", "A 53075-2024")</f>
        <v/>
      </c>
      <c r="Z340">
        <f>HYPERLINK("https://klasma.github.io/Logging_0883/fåglar/A 53075-2024 prioriterade fågelarter.docx", "A 53075-2024")</f>
        <v/>
      </c>
    </row>
    <row r="341" ht="15" customHeight="1">
      <c r="A341" t="inlineStr">
        <is>
          <t>A 55360-2024</t>
        </is>
      </c>
      <c r="B341" s="1" t="n">
        <v>45621</v>
      </c>
      <c r="C341" s="1" t="n">
        <v>45831</v>
      </c>
      <c r="D341" t="inlineStr">
        <is>
          <t>KALMAR LÄN</t>
        </is>
      </c>
      <c r="E341" t="inlineStr">
        <is>
          <t>VÄSTERVIK</t>
        </is>
      </c>
      <c r="F341" t="inlineStr">
        <is>
          <t>Sveaskog</t>
        </is>
      </c>
      <c r="G341" t="n">
        <v>11.1</v>
      </c>
      <c r="H341" t="n">
        <v>0</v>
      </c>
      <c r="I341" t="n">
        <v>0</v>
      </c>
      <c r="J341" t="n">
        <v>1</v>
      </c>
      <c r="K341" t="n">
        <v>0</v>
      </c>
      <c r="L341" t="n">
        <v>0</v>
      </c>
      <c r="M341" t="n">
        <v>0</v>
      </c>
      <c r="N341" t="n">
        <v>0</v>
      </c>
      <c r="O341" t="n">
        <v>1</v>
      </c>
      <c r="P341" t="n">
        <v>0</v>
      </c>
      <c r="Q341" t="n">
        <v>1</v>
      </c>
      <c r="R341" s="2" t="inlineStr">
        <is>
          <t>Vårstarr</t>
        </is>
      </c>
      <c r="S341">
        <f>HYPERLINK("https://klasma.github.io/Logging_0883/artfynd/A 55360-2024 artfynd.xlsx", "A 55360-2024")</f>
        <v/>
      </c>
      <c r="T341">
        <f>HYPERLINK("https://klasma.github.io/Logging_0883/kartor/A 55360-2024 karta.png", "A 55360-2024")</f>
        <v/>
      </c>
      <c r="V341">
        <f>HYPERLINK("https://klasma.github.io/Logging_0883/klagomål/A 55360-2024 FSC-klagomål.docx", "A 55360-2024")</f>
        <v/>
      </c>
      <c r="W341">
        <f>HYPERLINK("https://klasma.github.io/Logging_0883/klagomålsmail/A 55360-2024 FSC-klagomål mail.docx", "A 55360-2024")</f>
        <v/>
      </c>
      <c r="X341">
        <f>HYPERLINK("https://klasma.github.io/Logging_0883/tillsyn/A 55360-2024 tillsynsbegäran.docx", "A 55360-2024")</f>
        <v/>
      </c>
      <c r="Y341">
        <f>HYPERLINK("https://klasma.github.io/Logging_0883/tillsynsmail/A 55360-2024 tillsynsbegäran mail.docx", "A 55360-2024")</f>
        <v/>
      </c>
    </row>
    <row r="342" ht="15" customHeight="1">
      <c r="A342" t="inlineStr">
        <is>
          <t>A 55616-2024</t>
        </is>
      </c>
      <c r="B342" s="1" t="n">
        <v>45622</v>
      </c>
      <c r="C342" s="1" t="n">
        <v>45831</v>
      </c>
      <c r="D342" t="inlineStr">
        <is>
          <t>KALMAR LÄN</t>
        </is>
      </c>
      <c r="E342" t="inlineStr">
        <is>
          <t>VÄSTERVIK</t>
        </is>
      </c>
      <c r="G342" t="n">
        <v>0.5</v>
      </c>
      <c r="H342" t="n">
        <v>1</v>
      </c>
      <c r="I342" t="n">
        <v>0</v>
      </c>
      <c r="J342" t="n">
        <v>1</v>
      </c>
      <c r="K342" t="n">
        <v>0</v>
      </c>
      <c r="L342" t="n">
        <v>0</v>
      </c>
      <c r="M342" t="n">
        <v>0</v>
      </c>
      <c r="N342" t="n">
        <v>0</v>
      </c>
      <c r="O342" t="n">
        <v>1</v>
      </c>
      <c r="P342" t="n">
        <v>0</v>
      </c>
      <c r="Q342" t="n">
        <v>1</v>
      </c>
      <c r="R342" s="2" t="inlineStr">
        <is>
          <t>Entita</t>
        </is>
      </c>
      <c r="S342">
        <f>HYPERLINK("https://klasma.github.io/Logging_0883/artfynd/A 55616-2024 artfynd.xlsx", "A 55616-2024")</f>
        <v/>
      </c>
      <c r="T342">
        <f>HYPERLINK("https://klasma.github.io/Logging_0883/kartor/A 55616-2024 karta.png", "A 55616-2024")</f>
        <v/>
      </c>
      <c r="V342">
        <f>HYPERLINK("https://klasma.github.io/Logging_0883/klagomål/A 55616-2024 FSC-klagomål.docx", "A 55616-2024")</f>
        <v/>
      </c>
      <c r="W342">
        <f>HYPERLINK("https://klasma.github.io/Logging_0883/klagomålsmail/A 55616-2024 FSC-klagomål mail.docx", "A 55616-2024")</f>
        <v/>
      </c>
      <c r="X342">
        <f>HYPERLINK("https://klasma.github.io/Logging_0883/tillsyn/A 55616-2024 tillsynsbegäran.docx", "A 55616-2024")</f>
        <v/>
      </c>
      <c r="Y342">
        <f>HYPERLINK("https://klasma.github.io/Logging_0883/tillsynsmail/A 55616-2024 tillsynsbegäran mail.docx", "A 55616-2024")</f>
        <v/>
      </c>
      <c r="Z342">
        <f>HYPERLINK("https://klasma.github.io/Logging_0883/fåglar/A 55616-2024 prioriterade fågelarter.docx", "A 55616-2024")</f>
        <v/>
      </c>
    </row>
    <row r="343" ht="15" customHeight="1">
      <c r="A343" t="inlineStr">
        <is>
          <t>A 56439-2024</t>
        </is>
      </c>
      <c r="B343" s="1" t="n">
        <v>45625</v>
      </c>
      <c r="C343" s="1" t="n">
        <v>45831</v>
      </c>
      <c r="D343" t="inlineStr">
        <is>
          <t>KALMAR LÄN</t>
        </is>
      </c>
      <c r="E343" t="inlineStr">
        <is>
          <t>VÄSTERVIK</t>
        </is>
      </c>
      <c r="F343" t="inlineStr">
        <is>
          <t>Övriga Aktiebolag</t>
        </is>
      </c>
      <c r="G343" t="n">
        <v>3.3</v>
      </c>
      <c r="H343" t="n">
        <v>0</v>
      </c>
      <c r="I343" t="n">
        <v>1</v>
      </c>
      <c r="J343" t="n">
        <v>0</v>
      </c>
      <c r="K343" t="n">
        <v>0</v>
      </c>
      <c r="L343" t="n">
        <v>0</v>
      </c>
      <c r="M343" t="n">
        <v>0</v>
      </c>
      <c r="N343" t="n">
        <v>0</v>
      </c>
      <c r="O343" t="n">
        <v>0</v>
      </c>
      <c r="P343" t="n">
        <v>0</v>
      </c>
      <c r="Q343" t="n">
        <v>1</v>
      </c>
      <c r="R343" s="2" t="inlineStr">
        <is>
          <t>Hasselticka</t>
        </is>
      </c>
      <c r="S343">
        <f>HYPERLINK("https://klasma.github.io/Logging_0883/artfynd/A 56439-2024 artfynd.xlsx", "A 56439-2024")</f>
        <v/>
      </c>
      <c r="T343">
        <f>HYPERLINK("https://klasma.github.io/Logging_0883/kartor/A 56439-2024 karta.png", "A 56439-2024")</f>
        <v/>
      </c>
      <c r="V343">
        <f>HYPERLINK("https://klasma.github.io/Logging_0883/klagomål/A 56439-2024 FSC-klagomål.docx", "A 56439-2024")</f>
        <v/>
      </c>
      <c r="W343">
        <f>HYPERLINK("https://klasma.github.io/Logging_0883/klagomålsmail/A 56439-2024 FSC-klagomål mail.docx", "A 56439-2024")</f>
        <v/>
      </c>
      <c r="X343">
        <f>HYPERLINK("https://klasma.github.io/Logging_0883/tillsyn/A 56439-2024 tillsynsbegäran.docx", "A 56439-2024")</f>
        <v/>
      </c>
      <c r="Y343">
        <f>HYPERLINK("https://klasma.github.io/Logging_0883/tillsynsmail/A 56439-2024 tillsynsbegäran mail.docx", "A 56439-2024")</f>
        <v/>
      </c>
    </row>
    <row r="344" ht="15" customHeight="1">
      <c r="A344" t="inlineStr">
        <is>
          <t>A 59616-2024</t>
        </is>
      </c>
      <c r="B344" s="1" t="n">
        <v>45638</v>
      </c>
      <c r="C344" s="1" t="n">
        <v>45831</v>
      </c>
      <c r="D344" t="inlineStr">
        <is>
          <t>KALMAR LÄN</t>
        </is>
      </c>
      <c r="E344" t="inlineStr">
        <is>
          <t>VÄSTERVIK</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HYPERLINK("https://klasma.github.io/Logging_0883/artfynd/A 59616-2024 artfynd.xlsx", "A 59616-2024")</f>
        <v/>
      </c>
      <c r="T344">
        <f>HYPERLINK("https://klasma.github.io/Logging_0883/kartor/A 59616-2024 karta.png", "A 59616-2024")</f>
        <v/>
      </c>
      <c r="U344">
        <f>HYPERLINK("https://klasma.github.io/Logging_0883/knärot/A 59616-2024 karta knärot.png", "A 59616-2024")</f>
        <v/>
      </c>
      <c r="V344">
        <f>HYPERLINK("https://klasma.github.io/Logging_0883/klagomål/A 59616-2024 FSC-klagomål.docx", "A 59616-2024")</f>
        <v/>
      </c>
      <c r="W344">
        <f>HYPERLINK("https://klasma.github.io/Logging_0883/klagomålsmail/A 59616-2024 FSC-klagomål mail.docx", "A 59616-2024")</f>
        <v/>
      </c>
      <c r="X344">
        <f>HYPERLINK("https://klasma.github.io/Logging_0883/tillsyn/A 59616-2024 tillsynsbegäran.docx", "A 59616-2024")</f>
        <v/>
      </c>
      <c r="Y344">
        <f>HYPERLINK("https://klasma.github.io/Logging_0883/tillsynsmail/A 59616-2024 tillsynsbegäran mail.docx", "A 59616-2024")</f>
        <v/>
      </c>
    </row>
    <row r="345" ht="15" customHeight="1">
      <c r="A345" t="inlineStr">
        <is>
          <t>A 59351-2024</t>
        </is>
      </c>
      <c r="B345" s="1" t="n">
        <v>45638</v>
      </c>
      <c r="C345" s="1" t="n">
        <v>45831</v>
      </c>
      <c r="D345" t="inlineStr">
        <is>
          <t>KALMAR LÄN</t>
        </is>
      </c>
      <c r="E345" t="inlineStr">
        <is>
          <t>VÄSTERVIK</t>
        </is>
      </c>
      <c r="G345" t="n">
        <v>4</v>
      </c>
      <c r="H345" t="n">
        <v>0</v>
      </c>
      <c r="I345" t="n">
        <v>0</v>
      </c>
      <c r="J345" t="n">
        <v>1</v>
      </c>
      <c r="K345" t="n">
        <v>0</v>
      </c>
      <c r="L345" t="n">
        <v>0</v>
      </c>
      <c r="M345" t="n">
        <v>0</v>
      </c>
      <c r="N345" t="n">
        <v>0</v>
      </c>
      <c r="O345" t="n">
        <v>1</v>
      </c>
      <c r="P345" t="n">
        <v>0</v>
      </c>
      <c r="Q345" t="n">
        <v>1</v>
      </c>
      <c r="R345" s="2" t="inlineStr">
        <is>
          <t>Nubbfibbla</t>
        </is>
      </c>
      <c r="S345">
        <f>HYPERLINK("https://klasma.github.io/Logging_0883/artfynd/A 59351-2024 artfynd.xlsx", "A 59351-2024")</f>
        <v/>
      </c>
      <c r="T345">
        <f>HYPERLINK("https://klasma.github.io/Logging_0883/kartor/A 59351-2024 karta.png", "A 59351-2024")</f>
        <v/>
      </c>
      <c r="V345">
        <f>HYPERLINK("https://klasma.github.io/Logging_0883/klagomål/A 59351-2024 FSC-klagomål.docx", "A 59351-2024")</f>
        <v/>
      </c>
      <c r="W345">
        <f>HYPERLINK("https://klasma.github.io/Logging_0883/klagomålsmail/A 59351-2024 FSC-klagomål mail.docx", "A 59351-2024")</f>
        <v/>
      </c>
      <c r="X345">
        <f>HYPERLINK("https://klasma.github.io/Logging_0883/tillsyn/A 59351-2024 tillsynsbegäran.docx", "A 59351-2024")</f>
        <v/>
      </c>
      <c r="Y345">
        <f>HYPERLINK("https://klasma.github.io/Logging_0883/tillsynsmail/A 59351-2024 tillsynsbegäran mail.docx", "A 59351-2024")</f>
        <v/>
      </c>
    </row>
    <row r="346" ht="15" customHeight="1">
      <c r="A346" t="inlineStr">
        <is>
          <t>A 961-2025</t>
        </is>
      </c>
      <c r="B346" s="1" t="n">
        <v>45666</v>
      </c>
      <c r="C346" s="1" t="n">
        <v>45831</v>
      </c>
      <c r="D346" t="inlineStr">
        <is>
          <t>KALMAR LÄN</t>
        </is>
      </c>
      <c r="E346" t="inlineStr">
        <is>
          <t>VÄSTERVIK</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HYPERLINK("https://klasma.github.io/Logging_0883/artfynd/A 961-2025 artfynd.xlsx", "A 961-2025")</f>
        <v/>
      </c>
      <c r="T346">
        <f>HYPERLINK("https://klasma.github.io/Logging_0883/kartor/A 961-2025 karta.png", "A 961-2025")</f>
        <v/>
      </c>
      <c r="U346">
        <f>HYPERLINK("https://klasma.github.io/Logging_0883/knärot/A 961-2025 karta knärot.png", "A 961-2025")</f>
        <v/>
      </c>
      <c r="V346">
        <f>HYPERLINK("https://klasma.github.io/Logging_0883/klagomål/A 961-2025 FSC-klagomål.docx", "A 961-2025")</f>
        <v/>
      </c>
      <c r="W346">
        <f>HYPERLINK("https://klasma.github.io/Logging_0883/klagomålsmail/A 961-2025 FSC-klagomål mail.docx", "A 961-2025")</f>
        <v/>
      </c>
      <c r="X346">
        <f>HYPERLINK("https://klasma.github.io/Logging_0883/tillsyn/A 961-2025 tillsynsbegäran.docx", "A 961-2025")</f>
        <v/>
      </c>
      <c r="Y346">
        <f>HYPERLINK("https://klasma.github.io/Logging_0883/tillsynsmail/A 961-2025 tillsynsbegäran mail.docx", "A 961-2025")</f>
        <v/>
      </c>
    </row>
    <row r="347" ht="15" customHeight="1">
      <c r="A347" t="inlineStr">
        <is>
          <t>A 1775-2025</t>
        </is>
      </c>
      <c r="B347" s="1" t="n">
        <v>45671</v>
      </c>
      <c r="C347" s="1" t="n">
        <v>45831</v>
      </c>
      <c r="D347" t="inlineStr">
        <is>
          <t>KALMAR LÄN</t>
        </is>
      </c>
      <c r="E347" t="inlineStr">
        <is>
          <t>VÄSTERVIK</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HYPERLINK("https://klasma.github.io/Logging_0883/artfynd/A 1775-2025 artfynd.xlsx", "A 1775-2025")</f>
        <v/>
      </c>
      <c r="T347">
        <f>HYPERLINK("https://klasma.github.io/Logging_0883/kartor/A 1775-2025 karta.png", "A 1775-2025")</f>
        <v/>
      </c>
      <c r="V347">
        <f>HYPERLINK("https://klasma.github.io/Logging_0883/klagomål/A 1775-2025 FSC-klagomål.docx", "A 1775-2025")</f>
        <v/>
      </c>
      <c r="W347">
        <f>HYPERLINK("https://klasma.github.io/Logging_0883/klagomålsmail/A 1775-2025 FSC-klagomål mail.docx", "A 1775-2025")</f>
        <v/>
      </c>
      <c r="X347">
        <f>HYPERLINK("https://klasma.github.io/Logging_0883/tillsyn/A 1775-2025 tillsynsbegäran.docx", "A 1775-2025")</f>
        <v/>
      </c>
      <c r="Y347">
        <f>HYPERLINK("https://klasma.github.io/Logging_0883/tillsynsmail/A 1775-2025 tillsynsbegäran mail.docx", "A 1775-2025")</f>
        <v/>
      </c>
      <c r="Z347">
        <f>HYPERLINK("https://klasma.github.io/Logging_0883/fåglar/A 1775-2025 prioriterade fågelarter.docx", "A 1775-2025")</f>
        <v/>
      </c>
    </row>
    <row r="348" ht="15" customHeight="1">
      <c r="A348" t="inlineStr">
        <is>
          <t>A 2328-2025</t>
        </is>
      </c>
      <c r="B348" s="1" t="n">
        <v>45673</v>
      </c>
      <c r="C348" s="1" t="n">
        <v>45831</v>
      </c>
      <c r="D348" t="inlineStr">
        <is>
          <t>KALMAR LÄN</t>
        </is>
      </c>
      <c r="E348" t="inlineStr">
        <is>
          <t>VÄSTERVIK</t>
        </is>
      </c>
      <c r="F348" t="inlineStr">
        <is>
          <t>Sveaskog</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HYPERLINK("https://klasma.github.io/Logging_0883/artfynd/A 2328-2025 artfynd.xlsx", "A 2328-2025")</f>
        <v/>
      </c>
      <c r="T348">
        <f>HYPERLINK("https://klasma.github.io/Logging_0883/kartor/A 2328-2025 karta.png", "A 2328-2025")</f>
        <v/>
      </c>
      <c r="V348">
        <f>HYPERLINK("https://klasma.github.io/Logging_0883/klagomål/A 2328-2025 FSC-klagomål.docx", "A 2328-2025")</f>
        <v/>
      </c>
      <c r="W348">
        <f>HYPERLINK("https://klasma.github.io/Logging_0883/klagomålsmail/A 2328-2025 FSC-klagomål mail.docx", "A 2328-2025")</f>
        <v/>
      </c>
      <c r="X348">
        <f>HYPERLINK("https://klasma.github.io/Logging_0883/tillsyn/A 2328-2025 tillsynsbegäran.docx", "A 2328-2025")</f>
        <v/>
      </c>
      <c r="Y348">
        <f>HYPERLINK("https://klasma.github.io/Logging_0883/tillsynsmail/A 2328-2025 tillsynsbegäran mail.docx", "A 2328-2025")</f>
        <v/>
      </c>
    </row>
    <row r="349" ht="15" customHeight="1">
      <c r="A349" t="inlineStr">
        <is>
          <t>A 3112-2025</t>
        </is>
      </c>
      <c r="B349" s="1" t="n">
        <v>45678</v>
      </c>
      <c r="C349" s="1" t="n">
        <v>45831</v>
      </c>
      <c r="D349" t="inlineStr">
        <is>
          <t>KALMAR LÄN</t>
        </is>
      </c>
      <c r="E349" t="inlineStr">
        <is>
          <t>VÄSTERVIK</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HYPERLINK("https://klasma.github.io/Logging_0883/artfynd/A 3112-2025 artfynd.xlsx", "A 3112-2025")</f>
        <v/>
      </c>
      <c r="T349">
        <f>HYPERLINK("https://klasma.github.io/Logging_0883/kartor/A 3112-2025 karta.png", "A 3112-2025")</f>
        <v/>
      </c>
      <c r="V349">
        <f>HYPERLINK("https://klasma.github.io/Logging_0883/klagomål/A 3112-2025 FSC-klagomål.docx", "A 3112-2025")</f>
        <v/>
      </c>
      <c r="W349">
        <f>HYPERLINK("https://klasma.github.io/Logging_0883/klagomålsmail/A 3112-2025 FSC-klagomål mail.docx", "A 3112-2025")</f>
        <v/>
      </c>
      <c r="X349">
        <f>HYPERLINK("https://klasma.github.io/Logging_0883/tillsyn/A 3112-2025 tillsynsbegäran.docx", "A 3112-2025")</f>
        <v/>
      </c>
      <c r="Y349">
        <f>HYPERLINK("https://klasma.github.io/Logging_0883/tillsynsmail/A 3112-2025 tillsynsbegäran mail.docx", "A 3112-2025")</f>
        <v/>
      </c>
    </row>
    <row r="350" ht="15" customHeight="1">
      <c r="A350" t="inlineStr">
        <is>
          <t>A 3057-2025</t>
        </is>
      </c>
      <c r="B350" s="1" t="n">
        <v>45678</v>
      </c>
      <c r="C350" s="1" t="n">
        <v>45831</v>
      </c>
      <c r="D350" t="inlineStr">
        <is>
          <t>KALMAR LÄN</t>
        </is>
      </c>
      <c r="E350" t="inlineStr">
        <is>
          <t>VÄSTERVIK</t>
        </is>
      </c>
      <c r="G350" t="n">
        <v>1</v>
      </c>
      <c r="H350" t="n">
        <v>1</v>
      </c>
      <c r="I350" t="n">
        <v>0</v>
      </c>
      <c r="J350" t="n">
        <v>0</v>
      </c>
      <c r="K350" t="n">
        <v>1</v>
      </c>
      <c r="L350" t="n">
        <v>0</v>
      </c>
      <c r="M350" t="n">
        <v>0</v>
      </c>
      <c r="N350" t="n">
        <v>0</v>
      </c>
      <c r="O350" t="n">
        <v>1</v>
      </c>
      <c r="P350" t="n">
        <v>1</v>
      </c>
      <c r="Q350" t="n">
        <v>1</v>
      </c>
      <c r="R350" s="2" t="inlineStr">
        <is>
          <t>Knärot</t>
        </is>
      </c>
      <c r="S350">
        <f>HYPERLINK("https://klasma.github.io/Logging_0883/artfynd/A 3057-2025 artfynd.xlsx", "A 3057-2025")</f>
        <v/>
      </c>
      <c r="T350">
        <f>HYPERLINK("https://klasma.github.io/Logging_0883/kartor/A 3057-2025 karta.png", "A 3057-2025")</f>
        <v/>
      </c>
      <c r="U350">
        <f>HYPERLINK("https://klasma.github.io/Logging_0883/knärot/A 3057-2025 karta knärot.png", "A 3057-2025")</f>
        <v/>
      </c>
      <c r="V350">
        <f>HYPERLINK("https://klasma.github.io/Logging_0883/klagomål/A 3057-2025 FSC-klagomål.docx", "A 3057-2025")</f>
        <v/>
      </c>
      <c r="W350">
        <f>HYPERLINK("https://klasma.github.io/Logging_0883/klagomålsmail/A 3057-2025 FSC-klagomål mail.docx", "A 3057-2025")</f>
        <v/>
      </c>
      <c r="X350">
        <f>HYPERLINK("https://klasma.github.io/Logging_0883/tillsyn/A 3057-2025 tillsynsbegäran.docx", "A 3057-2025")</f>
        <v/>
      </c>
      <c r="Y350">
        <f>HYPERLINK("https://klasma.github.io/Logging_0883/tillsynsmail/A 3057-2025 tillsynsbegäran mail.docx", "A 3057-2025")</f>
        <v/>
      </c>
    </row>
    <row r="351" ht="15" customHeight="1">
      <c r="A351" t="inlineStr">
        <is>
          <t>A 3673-2025</t>
        </is>
      </c>
      <c r="B351" s="1" t="n">
        <v>45681</v>
      </c>
      <c r="C351" s="1" t="n">
        <v>45831</v>
      </c>
      <c r="D351" t="inlineStr">
        <is>
          <t>KALMAR LÄN</t>
        </is>
      </c>
      <c r="E351" t="inlineStr">
        <is>
          <t>VÄSTERVIK</t>
        </is>
      </c>
      <c r="G351" t="n">
        <v>1.1</v>
      </c>
      <c r="H351" t="n">
        <v>0</v>
      </c>
      <c r="I351" t="n">
        <v>1</v>
      </c>
      <c r="J351" t="n">
        <v>0</v>
      </c>
      <c r="K351" t="n">
        <v>0</v>
      </c>
      <c r="L351" t="n">
        <v>0</v>
      </c>
      <c r="M351" t="n">
        <v>0</v>
      </c>
      <c r="N351" t="n">
        <v>0</v>
      </c>
      <c r="O351" t="n">
        <v>0</v>
      </c>
      <c r="P351" t="n">
        <v>0</v>
      </c>
      <c r="Q351" t="n">
        <v>1</v>
      </c>
      <c r="R351" s="2" t="inlineStr">
        <is>
          <t>Blodticka</t>
        </is>
      </c>
      <c r="S351">
        <f>HYPERLINK("https://klasma.github.io/Logging_0883/artfynd/A 3673-2025 artfynd.xlsx", "A 3673-2025")</f>
        <v/>
      </c>
      <c r="T351">
        <f>HYPERLINK("https://klasma.github.io/Logging_0883/kartor/A 3673-2025 karta.png", "A 3673-2025")</f>
        <v/>
      </c>
      <c r="V351">
        <f>HYPERLINK("https://klasma.github.io/Logging_0883/klagomål/A 3673-2025 FSC-klagomål.docx", "A 3673-2025")</f>
        <v/>
      </c>
      <c r="W351">
        <f>HYPERLINK("https://klasma.github.io/Logging_0883/klagomålsmail/A 3673-2025 FSC-klagomål mail.docx", "A 3673-2025")</f>
        <v/>
      </c>
      <c r="X351">
        <f>HYPERLINK("https://klasma.github.io/Logging_0883/tillsyn/A 3673-2025 tillsynsbegäran.docx", "A 3673-2025")</f>
        <v/>
      </c>
      <c r="Y351">
        <f>HYPERLINK("https://klasma.github.io/Logging_0883/tillsynsmail/A 3673-2025 tillsynsbegäran mail.docx", "A 3673-2025")</f>
        <v/>
      </c>
    </row>
    <row r="352" ht="15" customHeight="1">
      <c r="A352" t="inlineStr">
        <is>
          <t>A 3600-2025</t>
        </is>
      </c>
      <c r="B352" s="1" t="n">
        <v>45681</v>
      </c>
      <c r="C352" s="1" t="n">
        <v>45831</v>
      </c>
      <c r="D352" t="inlineStr">
        <is>
          <t>KALMAR LÄN</t>
        </is>
      </c>
      <c r="E352" t="inlineStr">
        <is>
          <t>VÄSTERVIK</t>
        </is>
      </c>
      <c r="G352" t="n">
        <v>1</v>
      </c>
      <c r="H352" t="n">
        <v>1</v>
      </c>
      <c r="I352" t="n">
        <v>0</v>
      </c>
      <c r="J352" t="n">
        <v>1</v>
      </c>
      <c r="K352" t="n">
        <v>0</v>
      </c>
      <c r="L352" t="n">
        <v>0</v>
      </c>
      <c r="M352" t="n">
        <v>0</v>
      </c>
      <c r="N352" t="n">
        <v>0</v>
      </c>
      <c r="O352" t="n">
        <v>1</v>
      </c>
      <c r="P352" t="n">
        <v>0</v>
      </c>
      <c r="Q352" t="n">
        <v>1</v>
      </c>
      <c r="R352" s="2" t="inlineStr">
        <is>
          <t>Spillkråka</t>
        </is>
      </c>
      <c r="S352">
        <f>HYPERLINK("https://klasma.github.io/Logging_0883/artfynd/A 3600-2025 artfynd.xlsx", "A 3600-2025")</f>
        <v/>
      </c>
      <c r="T352">
        <f>HYPERLINK("https://klasma.github.io/Logging_0883/kartor/A 3600-2025 karta.png", "A 3600-2025")</f>
        <v/>
      </c>
      <c r="V352">
        <f>HYPERLINK("https://klasma.github.io/Logging_0883/klagomål/A 3600-2025 FSC-klagomål.docx", "A 3600-2025")</f>
        <v/>
      </c>
      <c r="W352">
        <f>HYPERLINK("https://klasma.github.io/Logging_0883/klagomålsmail/A 3600-2025 FSC-klagomål mail.docx", "A 3600-2025")</f>
        <v/>
      </c>
      <c r="X352">
        <f>HYPERLINK("https://klasma.github.io/Logging_0883/tillsyn/A 3600-2025 tillsynsbegäran.docx", "A 3600-2025")</f>
        <v/>
      </c>
      <c r="Y352">
        <f>HYPERLINK("https://klasma.github.io/Logging_0883/tillsynsmail/A 3600-2025 tillsynsbegäran mail.docx", "A 3600-2025")</f>
        <v/>
      </c>
      <c r="Z352">
        <f>HYPERLINK("https://klasma.github.io/Logging_0883/fåglar/A 3600-2025 prioriterade fågelarter.docx", "A 3600-2025")</f>
        <v/>
      </c>
    </row>
    <row r="353" ht="15" customHeight="1">
      <c r="A353" t="inlineStr">
        <is>
          <t>A 4778-2025</t>
        </is>
      </c>
      <c r="B353" s="1" t="n">
        <v>45688</v>
      </c>
      <c r="C353" s="1" t="n">
        <v>45831</v>
      </c>
      <c r="D353" t="inlineStr">
        <is>
          <t>KALMAR LÄN</t>
        </is>
      </c>
      <c r="E353" t="inlineStr">
        <is>
          <t>VÄSTERVIK</t>
        </is>
      </c>
      <c r="F353" t="inlineStr">
        <is>
          <t>Holmen skog AB</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row>
    <row r="354" ht="15" customHeight="1">
      <c r="A354" t="inlineStr">
        <is>
          <t>A 4750-2025</t>
        </is>
      </c>
      <c r="B354" s="1" t="n">
        <v>45688</v>
      </c>
      <c r="C354" s="1" t="n">
        <v>45831</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45831</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45831</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45831</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45831</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45831</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45831</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45831</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45831</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45831</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45831</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45831</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45831</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45831</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45831</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45831</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45831</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45831</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45831</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45831</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45831</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45831</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45831</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45831</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45831</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45831</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45831</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45831</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45831</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45831</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45831</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45831</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45831</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45831</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45831</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45831</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45831</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45831</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45831</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45831</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45831</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45831</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45831</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45831</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45831</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45831</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45831</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45831</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45831</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45831</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45831</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45831</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45831</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45831</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45831</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45831</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45831</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45831</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45831</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45831</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45831</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45831</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45831</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45831</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45831</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45831</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45831</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45831</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45831</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45831</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45831</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45831</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45831</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45831</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45831</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45831</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45831</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45831</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45831</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45831</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45831</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45831</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45831</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45831</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45831</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45831</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45831</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45831</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45831</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45831</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45831</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45831</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45831</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45831</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45831</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45831</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45831</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45831</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45831</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45831</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45831</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45831</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45831</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45831</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45831</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45831</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45831</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45831</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45831</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45831</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45831</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45831</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45831</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45831</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45831</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45831</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45831</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45831</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45831</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45831</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45831</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45831</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45831</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45831</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45831</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45831</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45831</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45831</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45831</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45831</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45831</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45831</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45831</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45831</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45831</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45831</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45831</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45831</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45831</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45831</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45831</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45831</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45831</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45831</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45831</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45831</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45831</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45831</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45831</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45831</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45831</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45831</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45831</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45831</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45831</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45831</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45831</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45831</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45831</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45831</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45831</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45831</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45831</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45831</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45831</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45831</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45831</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45831</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45831</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45831</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45831</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45831</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45831</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45831</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45831</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45831</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45831</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45831</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45831</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45831</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45831</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45831</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45831</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45831</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45831</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45831</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45831</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45831</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45831</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45831</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45831</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45831</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45831</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45831</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45831</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45831</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45831</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45831</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45831</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45831</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45831</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45831</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45831</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45831</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45831</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45831</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45831</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45831</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45831</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45831</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45831</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45831</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45831</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45831</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45831</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45831</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45831</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45831</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45831</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45831</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45831</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45831</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45831</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45831</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45831</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45831</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45831</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45831</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45831</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45831</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45831</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45831</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45831</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45831</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45831</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45831</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45831</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45831</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45831</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45831</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45831</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45831</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45831</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45831</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45831</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45831</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45831</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45831</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45831</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45831</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45831</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45831</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45831</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45831</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45831</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45831</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45831</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45831</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45831</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45831</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45831</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45831</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45831</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45831</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45831</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45831</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45831</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45831</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45831</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45831</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45831</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45831</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45831</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45831</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45831</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45831</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45831</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45831</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45831</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45831</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45831</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45831</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45831</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45831</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45831</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45831</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45831</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45831</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45831</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45831</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45831</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45831</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45831</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45831</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45831</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45831</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45831</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45831</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45831</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45831</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45831</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45831</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45831</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45831</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45831</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45831</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45831</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45831</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45831</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45831</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45831</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45831</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45831</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45831</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45831</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45831</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45831</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45831</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45831</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45831</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45831</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45831</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45831</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45831</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45831</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45831</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45831</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45831</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45831</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45831</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45831</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45831</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45831</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45831</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45831</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45831</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45831</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45831</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45831</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45831</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45831</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45831</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45831</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45831</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45831</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45831</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45831</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45831</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45831</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45831</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45831</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45831</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45831</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45831</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45831</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45831</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45831</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45831</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45831</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45831</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45831</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45831</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45831</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45831</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45831</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45831</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45831</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45831</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45831</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45831</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45831</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45831</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45831</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45831</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45831</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45831</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45831</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45831</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45831</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45831</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45831</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45831</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45831</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45831</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45831</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45831</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45831</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45831</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45831</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45831</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45831</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45831</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45831</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45831</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45831</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45831</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45831</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45831</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45831</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45831</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45831</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45831</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45831</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45831</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45831</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45831</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45831</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45831</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45831</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45831</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45831</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45831</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45831</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45831</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45831</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45831</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45831</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45831</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45831</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45831</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45831</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45831</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45831</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45831</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45831</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45831</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45831</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45831</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45831</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45831</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45831</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45831</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45831</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45831</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45831</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45831</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45831</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45831</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45831</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45831</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45831</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45831</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45831</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45831</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45831</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45831</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45831</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45831</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45831</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45831</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45831</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45831</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45831</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45831</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45831</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45831</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45831</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45831</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45831</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45831</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45831</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45831</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45831</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45831</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45831</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45831</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45831</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45831</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45831</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45831</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45831</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45831</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45831</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45831</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45831</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45831</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45831</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45831</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45831</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45831</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45831</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45831</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45831</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45831</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45831</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45831</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45831</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45831</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45831</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45831</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45831</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45831</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45831</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45831</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45831</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45831</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45831</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45831</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45831</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45831</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45831</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45831</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45831</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45831</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45831</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45831</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45831</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45831</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45831</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45831</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45831</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45831</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45831</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45831</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45831</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45831</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45831</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45831</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45831</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45831</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45831</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45831</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45831</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45831</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45831</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45831</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45831</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45831</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45831</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45831</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45831</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45831</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45831</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45831</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45831</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45831</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45831</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45831</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45831</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45831</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45831</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45831</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45831</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45831</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45831</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45831</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45831</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45831</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45831</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45831</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45831</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45831</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45831</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45831</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45831</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45831</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45831</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45831</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45831</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45831</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45831</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45831</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45831</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45831</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45831</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45831</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45831</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45831</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45831</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45831</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45831</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45831</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45831</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45831</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45831</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45831</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45831</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45831</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45831</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45831</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45831</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45831</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45831</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45831</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45831</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45831</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45831</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45831</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45831</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45831</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45831</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45831</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45831</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45831</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45831</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45831</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45831</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45831</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45831</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45831</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45831</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45831</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45831</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45831</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45831</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45831</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45831</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45831</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45831</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45831</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45831</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45831</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45831</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45831</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45831</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45831</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45831</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45831</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45831</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45831</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45831</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45831</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45831</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45831</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45831</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45831</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45831</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45831</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45831</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45831</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45831</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45831</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45831</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45831</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45831</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45831</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45831</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45831</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45831</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45831</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45831</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45831</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45831</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45831</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45831</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45831</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45831</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45831</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45831</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45831</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45831</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45831</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45831</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45831</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45831</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45831</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45831</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45831</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45831</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45831</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45831</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45831</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45831</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45831</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45831</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45831</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45831</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45831</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45831</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45831</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45831</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45831</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45831</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45831</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45831</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45831</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45831</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45831</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45831</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45831</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45831</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45831</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45831</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45831</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45831</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45831</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45831</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45831</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45831</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45831</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45831</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45831</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45831</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45831</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45831</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45831</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45831</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45831</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45831</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45831</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45831</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45831</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45831</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45831</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45831</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45831</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45831</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45831</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45831</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45831</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45831</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45831</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45831</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45831</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45831</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45831</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45831</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45831</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45831</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45831</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45831</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45831</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45831</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45831</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45831</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45831</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45831</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45831</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45831</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45831</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45831</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45831</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45831</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45831</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45831</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45831</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45831</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45831</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45831</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45831</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45831</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45831</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45831</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45831</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45831</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45831</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45831</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45831</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45831</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45831</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45831</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45831</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45831</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45831</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45831</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45831</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45831</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45831</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45831</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45831</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45831</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45831</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45831</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45831</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45831</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45831</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45831</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45831</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45831</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45831</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45831</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45831</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45831</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45831</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45831</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45831</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45831</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45831</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45831</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45831</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45831</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45831</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45831</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45831</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45831</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45831</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45831</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45831</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45831</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45831</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45831</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45831</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45831</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45831</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45831</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45831</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45831</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45831</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45831</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45831</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45831</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45831</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45831</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45831</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45831</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45831</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45831</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45831</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45831</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45831</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45831</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45831</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45831</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45831</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45831</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45831</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45831</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45831</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45831</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45831</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45831</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45831</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45831</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45831</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45831</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45831</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45831</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45831</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45831</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45831</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45831</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45831</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45831</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45831</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45831</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45831</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45831</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45831</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45831</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45831</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45831</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45831</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45831</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45831</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45831</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45831</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45831</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45831</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45831</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45831</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45831</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45831</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45831</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45831</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45831</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45831</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45831</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45831</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45831</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45831</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45831</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45831</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45831</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45831</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45831</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45831</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45831</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45831</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45831</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45831</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45831</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45831</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45831</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45831</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45831</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45831</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45831</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45831</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45831</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45831</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45831</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45831</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45831</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45831</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45831</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45831</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45831</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45831</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45831</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45831</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45831</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45831</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45831</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45831</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45831</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45831</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45831</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45831</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45831</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45831</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45831</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45831</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45831</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45831</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45831</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45831</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45831</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45831</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45831</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45831</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45831</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45831</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45831</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45831</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45831</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45831</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45831</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45831</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45831</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45831</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45831</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45831</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45831</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45831</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45831</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45831</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45831</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45831</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45831</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45831</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45831</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45831</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45831</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45831</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45831</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45831</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45831</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45831</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45831</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45831</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45831</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45831</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45831</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45831</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45831</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45831</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45831</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45831</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45831</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45831</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45831</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45831</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45831</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45831</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45831</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45831</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45831</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45831</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45831</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45831</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45831</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45831</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45831</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45831</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45831</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45831</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45831</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45831</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45831</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45831</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45831</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45831</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45831</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45831</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45831</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45831</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45831</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45831</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45831</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45831</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45831</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45831</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45831</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45831</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45831</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45831</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45831</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45831</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45831</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45831</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45831</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45831</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45831</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45831</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45831</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45831</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45831</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45831</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45831</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45831</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45831</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45831</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45831</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45831</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45831</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45831</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45831</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45831</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45831</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45831</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45831</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45831</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45831</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45831</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45831</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45831</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45831</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45831</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45831</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45831</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45831</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45831</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45831</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45831</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45831</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45831</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45831</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45831</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45831</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45831</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45831</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45831</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45831</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45831</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45831</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45831</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45831</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45831</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45831</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45831</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45831</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45831</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45831</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45831</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45831</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45831</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45831</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45831</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45831</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45831</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45831</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45831</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45831</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45831</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45831</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45831</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45831</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45831</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45831</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45831</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45831</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45831</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45831</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45831</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45831</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45831</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45831</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45831</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45831</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45831</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45831</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45831</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45831</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45831</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45831</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45831</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45831</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45831</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45831</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45831</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45831</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45831</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45831</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45831</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45831</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45831</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45831</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45831</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45831</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45831</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45831</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45831</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45831</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45831</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45831</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45831</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45831</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45831</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45831</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45831</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45831</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45831</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45831</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45831</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45831</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45831</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45831</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45831</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45831</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45831</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45831</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45831</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45831</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45831</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45831</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45831</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45831</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45831</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45831</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45831</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45831</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45831</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45831</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45831</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45831</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45831</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45831</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45831</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45831</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45831</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45831</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45831</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45831</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45831</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45831</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45831</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45831</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45831</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45831</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45831</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45831</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45831</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45831</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45831</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45831</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45831</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45831</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45831</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45831</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45831</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45831</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45831</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45831</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45831</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45831</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45831</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45831</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45831</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45831</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45831</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45831</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45831</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45831</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45831</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45831</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45831</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45831</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45831</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45831</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45831</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45831</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45831</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45831</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45831</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45831</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45831</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45831</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45831</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45831</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45831</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45831</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45831</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45831</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45831</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45831</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45831</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45831</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45831</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45831</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45831</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45831</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45831</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45831</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45831</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45831</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45831</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45831</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45831</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45831</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45831</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45831</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45831</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45831</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45831</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45831</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45831</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45831</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45831</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45831</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45831</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45831</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45831</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45831</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45831</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45831</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45831</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45831</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45831</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45831</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45831</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45831</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45831</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45831</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45831</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45831</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45831</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45831</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45831</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45831</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45831</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45831</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45831</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45831</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45831</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45831</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45831</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45831</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45831</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45831</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45831</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45831</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45831</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45831</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45831</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45831</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45831</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45831</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45831</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45831</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45831</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45831</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45831</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45831</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45831</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45831</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45831</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45831</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45831</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45831</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45831</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45831</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45831</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45831</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45831</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45831</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45831</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45831</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45831</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45831</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45831</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45831</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45831</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45831</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45831</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45831</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45831</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45831</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45831</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45831</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45831</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45831</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45831</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45831</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45831</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45831</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45831</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45831</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45831</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45831</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45831</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45831</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45831</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45831</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45831</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45831</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45831</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45831</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45831</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45831</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45831</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45831</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45831</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45831</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45831</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45831</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45831</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45831</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45831</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45831</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45831</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45831</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45831</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45831</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45831</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45831</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45831</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45831</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45831</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45831</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45831</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45831</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45831</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45831</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45831</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45831</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45831</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45831</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45831</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45831</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45831</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45831</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45831</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45831</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45831</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45831</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45831</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45831</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45831</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45831</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45831</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45831</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45831</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45831</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45831</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45831</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45831</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45831</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45831</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45831</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45831</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45831</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45831</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45831</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45831</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45831</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45831</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45831</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45831</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45831</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45831</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45831</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45831</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45831</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45831</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45831</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45831</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45831</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45831</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45831</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45831</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45831</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45831</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45831</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45831</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45831</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45831</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45831</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45831</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45831</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45831</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45831</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45831</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45831</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45831</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45831</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45831</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45831</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45831</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45831</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45831</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45831</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45831</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45831</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45831</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45831</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45831</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45831</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45831</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45831</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45831</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45831</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45831</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45831</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45831</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45831</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45831</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45831</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45831</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45831</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45831</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45831</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45831</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45831</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45831</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45831</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45831</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45831</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45831</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45831</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45831</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45831</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45831</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45831</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45831</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45831</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45831</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45831</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45831</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45831</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45831</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45831</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45831</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45831</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45831</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45831</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45831</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45831</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45831</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45831</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45831</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45831</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45831</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45831</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45831</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45831</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45831</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45831</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45831</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45831</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45831</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45831</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45831</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45831</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45831</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45831</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45831</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45831</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45831</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45831</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45831</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45831</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45831</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45831</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45831</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45831</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45831</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45831</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45831</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45831</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45831</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45831</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45831</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45831</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45831</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45831</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45831</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45831</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45831</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45831</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45831</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45831</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45831</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45831</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45831</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45831</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45831</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45831</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45831</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45831</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45831</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45831</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45831</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45831</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45831</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45831</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45831</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45831</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45831</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45831</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45831</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45831</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45831</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45831</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45831</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45831</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45831</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45831</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45831</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45831</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45831</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45831</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45831</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45831</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45831</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45831</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45831</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45831</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45831</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45831</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45831</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45831</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45831</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45831</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45831</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45831</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45831</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45831</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45831</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45831</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45831</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45831</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45831</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45831</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45831</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45831</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45831</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45831</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45831</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45831</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45831</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45831</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45831</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45831</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45831</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45831</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45831</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45831</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45831</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45831</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45831</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45831</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45831</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45831</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45831</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45831</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45831</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45831</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45831</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45831</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45831</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45831</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45831</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45831</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45831</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45831</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45831</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45831</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45831</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45831</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45831</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45831</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45831</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45831</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45831</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45831</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45831</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45831</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45831</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45831</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45831</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45831</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45831</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45831</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45831</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45831</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45831</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45831</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45831</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45831</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45831</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45831</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45831</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45831</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45831</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45831</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45831</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45831</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45831</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45831</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45831</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45831</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45831</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45831</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45831</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45831</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45831</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45831</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45831</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45831</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45831</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45831</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25819-2025</t>
        </is>
      </c>
      <c r="B1965" s="1" t="n">
        <v>45804</v>
      </c>
      <c r="C1965" s="1" t="n">
        <v>45831</v>
      </c>
      <c r="D1965" t="inlineStr">
        <is>
          <t>KALMAR LÄN</t>
        </is>
      </c>
      <c r="E1965" t="inlineStr">
        <is>
          <t>VÄSTERVIK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45831</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45831</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45831</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26568-2025</t>
        </is>
      </c>
      <c r="B1969" s="1" t="n">
        <v>45807</v>
      </c>
      <c r="C1969" s="1" t="n">
        <v>45831</v>
      </c>
      <c r="D1969" t="inlineStr">
        <is>
          <t>KALMAR LÄN</t>
        </is>
      </c>
      <c r="E1969" t="inlineStr">
        <is>
          <t>VÄSTERVIK</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26569-2025</t>
        </is>
      </c>
      <c r="B1970" s="1" t="n">
        <v>45807</v>
      </c>
      <c r="C1970" s="1" t="n">
        <v>45831</v>
      </c>
      <c r="D1970" t="inlineStr">
        <is>
          <t>KALMAR LÄN</t>
        </is>
      </c>
      <c r="E1970" t="inlineStr">
        <is>
          <t>VÄSTERVIK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26572-2025</t>
        </is>
      </c>
      <c r="B1971" s="1" t="n">
        <v>45807</v>
      </c>
      <c r="C1971" s="1" t="n">
        <v>45831</v>
      </c>
      <c r="D1971" t="inlineStr">
        <is>
          <t>KALMAR LÄN</t>
        </is>
      </c>
      <c r="E1971" t="inlineStr">
        <is>
          <t>VÄSTERVIK</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45831</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45831</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27991-2025</t>
        </is>
      </c>
      <c r="B1974" s="1" t="n">
        <v>45817</v>
      </c>
      <c r="C1974" s="1" t="n">
        <v>45831</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27974-2025</t>
        </is>
      </c>
      <c r="B1975" s="1" t="n">
        <v>45817</v>
      </c>
      <c r="C1975" s="1" t="n">
        <v>45831</v>
      </c>
      <c r="D1975" t="inlineStr">
        <is>
          <t>KALMAR LÄN</t>
        </is>
      </c>
      <c r="E1975" t="inlineStr">
        <is>
          <t>VÄSTERVIK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27978-2025</t>
        </is>
      </c>
      <c r="B1976" s="1" t="n">
        <v>45817</v>
      </c>
      <c r="C1976" s="1" t="n">
        <v>45831</v>
      </c>
      <c r="D1976" t="inlineStr">
        <is>
          <t>KALMAR LÄN</t>
        </is>
      </c>
      <c r="E1976" t="inlineStr">
        <is>
          <t>VÄSTERVIK</t>
        </is>
      </c>
      <c r="F1976" t="inlineStr">
        <is>
          <t>Sveaskog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27980-2025</t>
        </is>
      </c>
      <c r="B1977" s="1" t="n">
        <v>45817</v>
      </c>
      <c r="C1977" s="1" t="n">
        <v>45831</v>
      </c>
      <c r="D1977" t="inlineStr">
        <is>
          <t>KALMAR LÄN</t>
        </is>
      </c>
      <c r="E1977" t="inlineStr">
        <is>
          <t>VÄSTERVIK</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45831</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45831</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45831</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28203-2025</t>
        </is>
      </c>
      <c r="B1981" s="1" t="n">
        <v>45818</v>
      </c>
      <c r="C1981" s="1" t="n">
        <v>45831</v>
      </c>
      <c r="D1981" t="inlineStr">
        <is>
          <t>KALMAR LÄN</t>
        </is>
      </c>
      <c r="E1981" t="inlineStr">
        <is>
          <t>VÄSTERVIK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45831</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45831</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29678-2025</t>
        </is>
      </c>
      <c r="B1984" s="1" t="n">
        <v>45825</v>
      </c>
      <c r="C1984" s="1" t="n">
        <v>45831</v>
      </c>
      <c r="D1984" t="inlineStr">
        <is>
          <t>KALMAR LÄN</t>
        </is>
      </c>
      <c r="E1984" t="inlineStr">
        <is>
          <t>VÄSTERVIK</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45831</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c r="A1986" t="inlineStr">
        <is>
          <t>A 29722-2025</t>
        </is>
      </c>
      <c r="B1986" s="1" t="n">
        <v>45825</v>
      </c>
      <c r="C1986" s="1" t="n">
        <v>45831</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2025-06-23T19:14:56Z</dcterms:created>
  <dcterms:modified xmlns:dcterms="http://purl.org/dc/terms/" xmlns:xsi="http://www.w3.org/2001/XMLSchema-instance" xsi:type="dcterms:W3CDTF">2025-06-23T19:14:57Z</dcterms:modified>
</cp:coreProperties>
</file>